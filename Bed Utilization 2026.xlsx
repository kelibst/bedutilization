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 codeName="ThisWorkbook" hidePivotFieldList="1" defaultThemeVersion="124226"/>
  <xr:revisionPtr revIDLastSave="0" documentId="13_ncr:1_{4A2F2634-4F40-42EB-A5DA-BA7DFD553B7A}" xr6:coauthVersionLast="47" xr6:coauthVersionMax="47" xr10:uidLastSave="{00000000-0000-0000-0000-000000000000}"/>
  <bookViews>
    <workbookView xWindow="-120" yWindow="-120" windowWidth="24240" windowHeight="13140" tabRatio="900" firstSheet="1" activeTab="6" xr2:uid="{00000000-000D-0000-FFFF-FFFF00000000}"/>
  </bookViews>
  <sheets>
    <sheet name="DASHBOARD" sheetId="13" r:id="rId1"/>
    <sheet name="MONTH" sheetId="14" r:id="rId2"/>
    <sheet name="Monthly" sheetId="10" r:id="rId3"/>
    <sheet name="Sheet1" sheetId="16" state="hidden" r:id="rId4"/>
    <sheet name="Male" sheetId="1" r:id="rId5"/>
    <sheet name="Female" sheetId="3" r:id="rId6"/>
    <sheet name="Paediatric" sheetId="2" r:id="rId7"/>
    <sheet name="BLK F" sheetId="6" r:id="rId8"/>
    <sheet name="BLK G" sheetId="5" r:id="rId9"/>
    <sheet name="BLK H" sheetId="7" r:id="rId10"/>
    <sheet name="Neonatal" sheetId="9" r:id="rId11"/>
    <sheet name="Male Emergency" sheetId="4" r:id="rId12"/>
    <sheet name="Female Emergency" sheetId="8" r:id="rId13"/>
    <sheet name="AGE_VT" sheetId="21" state="hidden" r:id="rId14"/>
    <sheet name="Ages" sheetId="15" r:id="rId15"/>
    <sheet name="Ages Auto" sheetId="31" r:id="rId16"/>
    <sheet name="Print" sheetId="11" r:id="rId17"/>
    <sheet name="Statement of Inpatient" sheetId="17" r:id="rId18"/>
    <sheet name="Deaths" sheetId="12" r:id="rId19"/>
    <sheet name="COD " sheetId="26" r:id="rId20"/>
    <sheet name="Sheet4" sheetId="19" state="hidden" r:id="rId21"/>
    <sheet name="Sheet5" sheetId="22" state="hidden" r:id="rId22"/>
  </sheets>
  <definedNames>
    <definedName name="_xlnm._FilterDatabase" localSheetId="13" hidden="1">AGE_VT!$F$2:$H$831</definedName>
    <definedName name="_xlnm._FilterDatabase" localSheetId="14" hidden="1">Ages!$U$2:$W$535</definedName>
    <definedName name="_xlnm._FilterDatabase" localSheetId="15" hidden="1">'Ages Auto'!$A$1:$D$790</definedName>
    <definedName name="_xlnm._FilterDatabase" localSheetId="19" hidden="1">'COD '!$AU$2:$AW$18</definedName>
    <definedName name="_xlnm._FilterDatabase" localSheetId="18" hidden="1">Deaths!$CU$2:$DB$26</definedName>
    <definedName name="_xlnm._FilterDatabase" localSheetId="20" hidden="1">Sheet4!$A$1:$C$16</definedName>
    <definedName name="_xlnm._FilterDatabase" localSheetId="21" hidden="1">Sheet5!$A$2:$C$628</definedName>
    <definedName name="_xlcn.WorksheetConnection_AgesAutoAD1" hidden="1">'Ages Auto'!$A:$D</definedName>
  </definedNames>
  <calcPr calcId="181029"/>
  <pivotCaches>
    <pivotCache cacheId="0" r:id="rId23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Ages Auto!$A:$D"/>
        </x15:modelTables>
      </x15:dataModel>
    </ext>
  </extLst>
</workbook>
</file>

<file path=xl/calcChain.xml><?xml version="1.0" encoding="utf-8"?>
<calcChain xmlns="http://schemas.openxmlformats.org/spreadsheetml/2006/main">
  <c r="H10" i="1" l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J236" i="10"/>
  <c r="G236" i="10"/>
  <c r="F236" i="10"/>
  <c r="E236" i="10"/>
  <c r="J233" i="10"/>
  <c r="G233" i="10"/>
  <c r="F233" i="10"/>
  <c r="E233" i="10"/>
  <c r="V472" i="4"/>
  <c r="U472" i="4"/>
  <c r="T472" i="4"/>
  <c r="S472" i="4"/>
  <c r="R472" i="4"/>
  <c r="L472" i="4" s="1"/>
  <c r="D236" i="10" s="1"/>
  <c r="Q472" i="4"/>
  <c r="K472" i="4" s="1"/>
  <c r="D233" i="10" s="1"/>
  <c r="P472" i="4"/>
  <c r="O472" i="4"/>
  <c r="N472" i="4"/>
  <c r="M472" i="4"/>
  <c r="X442" i="4"/>
  <c r="X443" i="4" s="1"/>
  <c r="X444" i="4" s="1"/>
  <c r="X445" i="4" s="1"/>
  <c r="X446" i="4" s="1"/>
  <c r="X447" i="4" s="1"/>
  <c r="X448" i="4" s="1"/>
  <c r="X449" i="4" s="1"/>
  <c r="X450" i="4" s="1"/>
  <c r="X451" i="4" s="1"/>
  <c r="X452" i="4" s="1"/>
  <c r="X453" i="4" s="1"/>
  <c r="X454" i="4" s="1"/>
  <c r="X455" i="4" s="1"/>
  <c r="X456" i="4" s="1"/>
  <c r="X457" i="4" s="1"/>
  <c r="X458" i="4" s="1"/>
  <c r="X459" i="4" s="1"/>
  <c r="X460" i="4" s="1"/>
  <c r="X461" i="4" s="1"/>
  <c r="X462" i="4" s="1"/>
  <c r="X463" i="4" s="1"/>
  <c r="X464" i="4" s="1"/>
  <c r="X465" i="4" s="1"/>
  <c r="X466" i="4" s="1"/>
  <c r="X467" i="4" s="1"/>
  <c r="X468" i="4" s="1"/>
  <c r="X469" i="4" s="1"/>
  <c r="X470" i="4" s="1"/>
  <c r="X471" i="4" s="1"/>
  <c r="X441" i="4"/>
  <c r="W441" i="4"/>
  <c r="W442" i="4" s="1"/>
  <c r="I221" i="10"/>
  <c r="M432" i="4"/>
  <c r="V432" i="4"/>
  <c r="J221" i="10" s="1"/>
  <c r="U432" i="4"/>
  <c r="J218" i="10" s="1"/>
  <c r="T432" i="4"/>
  <c r="S432" i="4"/>
  <c r="R432" i="4"/>
  <c r="G221" i="10" s="1"/>
  <c r="Q432" i="4"/>
  <c r="K432" i="4" s="1"/>
  <c r="P432" i="4"/>
  <c r="F221" i="10" s="1"/>
  <c r="O432" i="4"/>
  <c r="N432" i="4"/>
  <c r="D790" i="31"/>
  <c r="D789" i="31"/>
  <c r="L393" i="4"/>
  <c r="D206" i="10" s="1"/>
  <c r="K393" i="4"/>
  <c r="D202" i="10"/>
  <c r="W402" i="4"/>
  <c r="X403" i="4"/>
  <c r="X404" i="4" s="1"/>
  <c r="X405" i="4" s="1"/>
  <c r="X406" i="4" s="1"/>
  <c r="X407" i="4" s="1"/>
  <c r="X408" i="4" s="1"/>
  <c r="X409" i="4" s="1"/>
  <c r="X410" i="4" s="1"/>
  <c r="X411" i="4" s="1"/>
  <c r="X412" i="4" s="1"/>
  <c r="X413" i="4" s="1"/>
  <c r="X414" i="4" s="1"/>
  <c r="X415" i="4" s="1"/>
  <c r="X416" i="4" s="1"/>
  <c r="X417" i="4" s="1"/>
  <c r="X418" i="4" s="1"/>
  <c r="X419" i="4" s="1"/>
  <c r="X420" i="4" s="1"/>
  <c r="X421" i="4" s="1"/>
  <c r="X422" i="4" s="1"/>
  <c r="X423" i="4" s="1"/>
  <c r="X424" i="4" s="1"/>
  <c r="X425" i="4" s="1"/>
  <c r="X426" i="4" s="1"/>
  <c r="X427" i="4" s="1"/>
  <c r="X428" i="4" s="1"/>
  <c r="X429" i="4" s="1"/>
  <c r="X430" i="4" s="1"/>
  <c r="X431" i="4" s="1"/>
  <c r="X402" i="4"/>
  <c r="D267" i="31"/>
  <c r="D3" i="31"/>
  <c r="D4" i="31"/>
  <c r="D5" i="31"/>
  <c r="D7" i="31"/>
  <c r="D8" i="31"/>
  <c r="D9" i="31"/>
  <c r="D10" i="31"/>
  <c r="D11" i="31"/>
  <c r="D12" i="31"/>
  <c r="D13" i="31"/>
  <c r="D14" i="31"/>
  <c r="D15" i="31"/>
  <c r="D16" i="31"/>
  <c r="D17" i="31"/>
  <c r="D18" i="31"/>
  <c r="D19" i="31"/>
  <c r="D20" i="31"/>
  <c r="D21" i="31"/>
  <c r="D22" i="31"/>
  <c r="D23" i="31"/>
  <c r="D24" i="31"/>
  <c r="D25" i="31"/>
  <c r="D26" i="31"/>
  <c r="D27" i="31"/>
  <c r="D28" i="31"/>
  <c r="D29" i="31"/>
  <c r="D30" i="31"/>
  <c r="D31" i="31"/>
  <c r="D32" i="31"/>
  <c r="D33" i="31"/>
  <c r="D34" i="31"/>
  <c r="D35" i="31"/>
  <c r="D36" i="31"/>
  <c r="D37" i="31"/>
  <c r="D38" i="31"/>
  <c r="D39" i="31"/>
  <c r="D40" i="31"/>
  <c r="D41" i="31"/>
  <c r="D42" i="31"/>
  <c r="D43" i="31"/>
  <c r="D44" i="31"/>
  <c r="D45" i="31"/>
  <c r="D46" i="31"/>
  <c r="D47" i="31"/>
  <c r="D48" i="31"/>
  <c r="D49" i="31"/>
  <c r="D50" i="31"/>
  <c r="D51" i="31"/>
  <c r="D52" i="31"/>
  <c r="D53" i="31"/>
  <c r="D54" i="31"/>
  <c r="D55" i="31"/>
  <c r="D56" i="31"/>
  <c r="D57" i="31"/>
  <c r="D58" i="31"/>
  <c r="D59" i="31"/>
  <c r="D60" i="31"/>
  <c r="D61" i="31"/>
  <c r="D62" i="31"/>
  <c r="D63" i="31"/>
  <c r="D64" i="31"/>
  <c r="D65" i="31"/>
  <c r="D66" i="31"/>
  <c r="D67" i="31"/>
  <c r="D68" i="31"/>
  <c r="D69" i="31"/>
  <c r="D70" i="31"/>
  <c r="D71" i="31"/>
  <c r="D72" i="31"/>
  <c r="D73" i="31"/>
  <c r="D74" i="31"/>
  <c r="D75" i="31"/>
  <c r="D76" i="31"/>
  <c r="D77" i="31"/>
  <c r="D78" i="31"/>
  <c r="D79" i="31"/>
  <c r="D80" i="31"/>
  <c r="D81" i="31"/>
  <c r="D82" i="31"/>
  <c r="D83" i="31"/>
  <c r="D84" i="31"/>
  <c r="D85" i="31"/>
  <c r="D86" i="31"/>
  <c r="D87" i="31"/>
  <c r="D88" i="31"/>
  <c r="D89" i="31"/>
  <c r="D90" i="31"/>
  <c r="D91" i="31"/>
  <c r="D92" i="31"/>
  <c r="D93" i="31"/>
  <c r="D94" i="31"/>
  <c r="D95" i="31"/>
  <c r="D96" i="31"/>
  <c r="D97" i="31"/>
  <c r="D98" i="31"/>
  <c r="D99" i="31"/>
  <c r="D100" i="31"/>
  <c r="D101" i="31"/>
  <c r="D102" i="31"/>
  <c r="D103" i="31"/>
  <c r="D104" i="31"/>
  <c r="D105" i="31"/>
  <c r="D106" i="31"/>
  <c r="D107" i="31"/>
  <c r="D108" i="31"/>
  <c r="D109" i="31"/>
  <c r="D110" i="31"/>
  <c r="D111" i="31"/>
  <c r="D112" i="31"/>
  <c r="D113" i="31"/>
  <c r="D114" i="31"/>
  <c r="D115" i="31"/>
  <c r="D116" i="31"/>
  <c r="D117" i="31"/>
  <c r="D118" i="31"/>
  <c r="D119" i="31"/>
  <c r="D120" i="31"/>
  <c r="D121" i="31"/>
  <c r="D122" i="31"/>
  <c r="D123" i="31"/>
  <c r="D124" i="31"/>
  <c r="D125" i="31"/>
  <c r="D126" i="31"/>
  <c r="D127" i="31"/>
  <c r="D128" i="31"/>
  <c r="D129" i="31"/>
  <c r="D130" i="31"/>
  <c r="D131" i="31"/>
  <c r="D132" i="31"/>
  <c r="D133" i="31"/>
  <c r="D134" i="31"/>
  <c r="D135" i="31"/>
  <c r="D136" i="31"/>
  <c r="D137" i="31"/>
  <c r="D138" i="31"/>
  <c r="D139" i="31"/>
  <c r="D140" i="31"/>
  <c r="D141" i="31"/>
  <c r="D142" i="31"/>
  <c r="D143" i="31"/>
  <c r="D144" i="31"/>
  <c r="D145" i="31"/>
  <c r="D146" i="31"/>
  <c r="D147" i="31"/>
  <c r="D148" i="31"/>
  <c r="D149" i="31"/>
  <c r="D150" i="31"/>
  <c r="D151" i="31"/>
  <c r="D152" i="31"/>
  <c r="D153" i="31"/>
  <c r="D154" i="31"/>
  <c r="D155" i="31"/>
  <c r="D156" i="31"/>
  <c r="D157" i="31"/>
  <c r="D158" i="31"/>
  <c r="D159" i="31"/>
  <c r="D160" i="31"/>
  <c r="D161" i="31"/>
  <c r="D162" i="31"/>
  <c r="D163" i="31"/>
  <c r="D164" i="31"/>
  <c r="D165" i="31"/>
  <c r="D166" i="31"/>
  <c r="D167" i="31"/>
  <c r="D168" i="31"/>
  <c r="D169" i="31"/>
  <c r="D170" i="31"/>
  <c r="D171" i="31"/>
  <c r="D172" i="31"/>
  <c r="D173" i="31"/>
  <c r="D174" i="31"/>
  <c r="D175" i="31"/>
  <c r="D176" i="31"/>
  <c r="D177" i="31"/>
  <c r="D178" i="31"/>
  <c r="D179" i="31"/>
  <c r="D180" i="31"/>
  <c r="D181" i="31"/>
  <c r="D182" i="31"/>
  <c r="D183" i="31"/>
  <c r="D184" i="31"/>
  <c r="D185" i="31"/>
  <c r="D186" i="31"/>
  <c r="D187" i="31"/>
  <c r="D188" i="31"/>
  <c r="D189" i="31"/>
  <c r="D190" i="31"/>
  <c r="D191" i="31"/>
  <c r="D192" i="31"/>
  <c r="D193" i="31"/>
  <c r="D194" i="31"/>
  <c r="D195" i="31"/>
  <c r="D196" i="31"/>
  <c r="D197" i="31"/>
  <c r="D198" i="31"/>
  <c r="D199" i="31"/>
  <c r="D200" i="31"/>
  <c r="D201" i="31"/>
  <c r="D202" i="31"/>
  <c r="D203" i="31"/>
  <c r="D204" i="31"/>
  <c r="D205" i="31"/>
  <c r="D206" i="31"/>
  <c r="D207" i="31"/>
  <c r="D208" i="31"/>
  <c r="D209" i="31"/>
  <c r="D210" i="31"/>
  <c r="D211" i="31"/>
  <c r="D212" i="31"/>
  <c r="D213" i="31"/>
  <c r="D214" i="31"/>
  <c r="D215" i="31"/>
  <c r="D216" i="31"/>
  <c r="D217" i="31"/>
  <c r="D218" i="31"/>
  <c r="D219" i="31"/>
  <c r="D220" i="31"/>
  <c r="D221" i="31"/>
  <c r="D222" i="31"/>
  <c r="D223" i="31"/>
  <c r="D224" i="31"/>
  <c r="D225" i="31"/>
  <c r="D226" i="31"/>
  <c r="D227" i="31"/>
  <c r="D228" i="31"/>
  <c r="D229" i="31"/>
  <c r="D230" i="31"/>
  <c r="D231" i="31"/>
  <c r="D232" i="31"/>
  <c r="D233" i="31"/>
  <c r="D234" i="31"/>
  <c r="D235" i="31"/>
  <c r="D236" i="31"/>
  <c r="D237" i="31"/>
  <c r="D238" i="31"/>
  <c r="D239" i="31"/>
  <c r="D240" i="31"/>
  <c r="D241" i="31"/>
  <c r="D242" i="31"/>
  <c r="D243" i="31"/>
  <c r="D244" i="31"/>
  <c r="D245" i="31"/>
  <c r="D246" i="31"/>
  <c r="D247" i="31"/>
  <c r="D248" i="31"/>
  <c r="D249" i="31"/>
  <c r="D250" i="31"/>
  <c r="D251" i="31"/>
  <c r="D252" i="31"/>
  <c r="D253" i="31"/>
  <c r="D254" i="31"/>
  <c r="D255" i="31"/>
  <c r="D256" i="31"/>
  <c r="D257" i="31"/>
  <c r="D258" i="31"/>
  <c r="D259" i="31"/>
  <c r="D260" i="31"/>
  <c r="D261" i="31"/>
  <c r="D262" i="31"/>
  <c r="D263" i="31"/>
  <c r="D264" i="31"/>
  <c r="D265" i="31"/>
  <c r="D266" i="31"/>
  <c r="D268" i="31"/>
  <c r="D269" i="31"/>
  <c r="D270" i="31"/>
  <c r="D271" i="31"/>
  <c r="D272" i="31"/>
  <c r="D273" i="31"/>
  <c r="D274" i="31"/>
  <c r="D275" i="31"/>
  <c r="D276" i="31"/>
  <c r="D277" i="31"/>
  <c r="D278" i="31"/>
  <c r="D279" i="31"/>
  <c r="D280" i="31"/>
  <c r="D281" i="31"/>
  <c r="D282" i="31"/>
  <c r="D283" i="31"/>
  <c r="D284" i="31"/>
  <c r="D285" i="31"/>
  <c r="D286" i="31"/>
  <c r="D287" i="31"/>
  <c r="D288" i="31"/>
  <c r="D289" i="31"/>
  <c r="D290" i="31"/>
  <c r="D291" i="31"/>
  <c r="D292" i="31"/>
  <c r="D293" i="31"/>
  <c r="D294" i="31"/>
  <c r="D295" i="31"/>
  <c r="D296" i="31"/>
  <c r="D297" i="31"/>
  <c r="D298" i="31"/>
  <c r="D299" i="31"/>
  <c r="D300" i="31"/>
  <c r="D301" i="31"/>
  <c r="D302" i="31"/>
  <c r="D303" i="31"/>
  <c r="D304" i="31"/>
  <c r="D305" i="31"/>
  <c r="D306" i="31"/>
  <c r="D307" i="31"/>
  <c r="D308" i="31"/>
  <c r="D309" i="31"/>
  <c r="D310" i="31"/>
  <c r="D311" i="31"/>
  <c r="D312" i="31"/>
  <c r="D313" i="31"/>
  <c r="D314" i="31"/>
  <c r="D315" i="31"/>
  <c r="D316" i="31"/>
  <c r="D317" i="31"/>
  <c r="D318" i="31"/>
  <c r="D319" i="31"/>
  <c r="D320" i="31"/>
  <c r="D321" i="31"/>
  <c r="D322" i="31"/>
  <c r="D323" i="31"/>
  <c r="D324" i="31"/>
  <c r="E209" i="10"/>
  <c r="J206" i="10"/>
  <c r="I206" i="10"/>
  <c r="F206" i="10"/>
  <c r="E206" i="10"/>
  <c r="J203" i="10"/>
  <c r="I203" i="10"/>
  <c r="F203" i="10"/>
  <c r="F209" i="10" s="1"/>
  <c r="E203" i="10"/>
  <c r="M393" i="4"/>
  <c r="N393" i="4"/>
  <c r="O393" i="4"/>
  <c r="P393" i="4"/>
  <c r="Q393" i="4"/>
  <c r="G203" i="10" s="1"/>
  <c r="R393" i="4"/>
  <c r="G206" i="10" s="1"/>
  <c r="S393" i="4"/>
  <c r="T393" i="4"/>
  <c r="U393" i="4"/>
  <c r="V393" i="4"/>
  <c r="D203" i="10"/>
  <c r="B206" i="10"/>
  <c r="B203" i="10"/>
  <c r="Y362" i="4"/>
  <c r="X363" i="4"/>
  <c r="X364" i="4" s="1"/>
  <c r="X365" i="4" s="1"/>
  <c r="X366" i="4" s="1"/>
  <c r="W362" i="4"/>
  <c r="X362" i="4"/>
  <c r="W363" i="4"/>
  <c r="W364" i="4" s="1"/>
  <c r="W365" i="4" s="1"/>
  <c r="W366" i="4" s="1"/>
  <c r="W367" i="4" s="1"/>
  <c r="W368" i="4" s="1"/>
  <c r="W369" i="4" s="1"/>
  <c r="W370" i="4" s="1"/>
  <c r="W371" i="4" s="1"/>
  <c r="W372" i="4" s="1"/>
  <c r="W373" i="4" s="1"/>
  <c r="W374" i="4" s="1"/>
  <c r="W375" i="4" s="1"/>
  <c r="W376" i="4" s="1"/>
  <c r="W377" i="4" s="1"/>
  <c r="W378" i="4" s="1"/>
  <c r="W379" i="4" s="1"/>
  <c r="W380" i="4" s="1"/>
  <c r="W381" i="4" s="1"/>
  <c r="W382" i="4" s="1"/>
  <c r="W383" i="4" s="1"/>
  <c r="W384" i="4" s="1"/>
  <c r="W385" i="4" s="1"/>
  <c r="W386" i="4" s="1"/>
  <c r="W387" i="4" s="1"/>
  <c r="W388" i="4" s="1"/>
  <c r="W389" i="4" s="1"/>
  <c r="W390" i="4" s="1"/>
  <c r="W391" i="4" s="1"/>
  <c r="W392" i="4" s="1"/>
  <c r="H363" i="4"/>
  <c r="H362" i="4"/>
  <c r="D675" i="31"/>
  <c r="D676" i="31"/>
  <c r="D677" i="31"/>
  <c r="D678" i="31"/>
  <c r="D679" i="31"/>
  <c r="D680" i="31"/>
  <c r="D681" i="31"/>
  <c r="D682" i="31"/>
  <c r="D683" i="31"/>
  <c r="D684" i="31"/>
  <c r="D685" i="31"/>
  <c r="D686" i="31"/>
  <c r="D687" i="31"/>
  <c r="D688" i="31"/>
  <c r="D689" i="31"/>
  <c r="D690" i="31"/>
  <c r="D691" i="31"/>
  <c r="D692" i="31"/>
  <c r="D693" i="31"/>
  <c r="D694" i="31"/>
  <c r="D695" i="31"/>
  <c r="D696" i="31"/>
  <c r="D697" i="31"/>
  <c r="D698" i="31"/>
  <c r="D699" i="31"/>
  <c r="D700" i="31"/>
  <c r="D701" i="31"/>
  <c r="D702" i="31"/>
  <c r="D703" i="31"/>
  <c r="D704" i="31"/>
  <c r="D705" i="31"/>
  <c r="D706" i="31"/>
  <c r="D707" i="31"/>
  <c r="D708" i="31"/>
  <c r="D709" i="31"/>
  <c r="D710" i="31"/>
  <c r="D711" i="31"/>
  <c r="D712" i="31"/>
  <c r="D713" i="31"/>
  <c r="D714" i="31"/>
  <c r="D715" i="31"/>
  <c r="D716" i="31"/>
  <c r="D717" i="31"/>
  <c r="D718" i="31"/>
  <c r="D719" i="31"/>
  <c r="D720" i="31"/>
  <c r="D721" i="31"/>
  <c r="D722" i="31"/>
  <c r="D723" i="31"/>
  <c r="D724" i="31"/>
  <c r="D725" i="31"/>
  <c r="D726" i="31"/>
  <c r="D727" i="31"/>
  <c r="D728" i="31"/>
  <c r="D729" i="31"/>
  <c r="D730" i="31"/>
  <c r="D731" i="31"/>
  <c r="D732" i="31"/>
  <c r="D733" i="31"/>
  <c r="D734" i="31"/>
  <c r="D735" i="31"/>
  <c r="D736" i="31"/>
  <c r="D737" i="31"/>
  <c r="D738" i="31"/>
  <c r="D739" i="31"/>
  <c r="D740" i="31"/>
  <c r="D741" i="31"/>
  <c r="D742" i="31"/>
  <c r="D743" i="31"/>
  <c r="D744" i="31"/>
  <c r="D745" i="31"/>
  <c r="D746" i="31"/>
  <c r="D747" i="31"/>
  <c r="D748" i="31"/>
  <c r="D749" i="31"/>
  <c r="D750" i="31"/>
  <c r="D751" i="31"/>
  <c r="D752" i="31"/>
  <c r="D753" i="31"/>
  <c r="D754" i="31"/>
  <c r="D755" i="31"/>
  <c r="D756" i="31"/>
  <c r="D757" i="31"/>
  <c r="D758" i="31"/>
  <c r="D759" i="31"/>
  <c r="D760" i="31"/>
  <c r="D761" i="31"/>
  <c r="D762" i="31"/>
  <c r="D763" i="31"/>
  <c r="D764" i="31"/>
  <c r="D765" i="31"/>
  <c r="D766" i="31"/>
  <c r="D767" i="31"/>
  <c r="D768" i="31"/>
  <c r="D769" i="31"/>
  <c r="D770" i="31"/>
  <c r="D771" i="31"/>
  <c r="D772" i="31"/>
  <c r="D773" i="31"/>
  <c r="D774" i="31"/>
  <c r="D775" i="31"/>
  <c r="D776" i="31"/>
  <c r="D777" i="31"/>
  <c r="D778" i="31"/>
  <c r="D779" i="31"/>
  <c r="D780" i="31"/>
  <c r="D781" i="31"/>
  <c r="D782" i="31"/>
  <c r="D783" i="31"/>
  <c r="D784" i="31"/>
  <c r="D785" i="31"/>
  <c r="D786" i="31"/>
  <c r="D787" i="31"/>
  <c r="D788" i="31"/>
  <c r="D671" i="31"/>
  <c r="D672" i="31"/>
  <c r="D673" i="31"/>
  <c r="D674" i="31"/>
  <c r="D325" i="31"/>
  <c r="D326" i="31"/>
  <c r="D327" i="31"/>
  <c r="D328" i="31"/>
  <c r="D329" i="31"/>
  <c r="D330" i="31"/>
  <c r="D331" i="31"/>
  <c r="D332" i="31"/>
  <c r="D333" i="31"/>
  <c r="D334" i="31"/>
  <c r="D335" i="31"/>
  <c r="D336" i="31"/>
  <c r="D337" i="31"/>
  <c r="D338" i="31"/>
  <c r="D339" i="31"/>
  <c r="D340" i="31"/>
  <c r="D341" i="31"/>
  <c r="D342" i="31"/>
  <c r="D343" i="31"/>
  <c r="D344" i="31"/>
  <c r="D345" i="31"/>
  <c r="D346" i="31"/>
  <c r="D347" i="31"/>
  <c r="D348" i="31"/>
  <c r="D349" i="31"/>
  <c r="D350" i="31"/>
  <c r="D351" i="31"/>
  <c r="D352" i="31"/>
  <c r="D353" i="31"/>
  <c r="D354" i="31"/>
  <c r="D355" i="31"/>
  <c r="D356" i="31"/>
  <c r="D357" i="31"/>
  <c r="D358" i="31"/>
  <c r="D359" i="31"/>
  <c r="D360" i="31"/>
  <c r="D361" i="31"/>
  <c r="D362" i="31"/>
  <c r="D363" i="31"/>
  <c r="D364" i="31"/>
  <c r="D365" i="31"/>
  <c r="D366" i="31"/>
  <c r="D367" i="31"/>
  <c r="D368" i="31"/>
  <c r="D369" i="31"/>
  <c r="D370" i="31"/>
  <c r="D371" i="31"/>
  <c r="D372" i="31"/>
  <c r="D373" i="31"/>
  <c r="D374" i="31"/>
  <c r="D375" i="31"/>
  <c r="D376" i="31"/>
  <c r="D377" i="31"/>
  <c r="D378" i="31"/>
  <c r="D379" i="31"/>
  <c r="D380" i="31"/>
  <c r="D381" i="31"/>
  <c r="D382" i="31"/>
  <c r="D383" i="31"/>
  <c r="D384" i="31"/>
  <c r="D385" i="31"/>
  <c r="D386" i="31"/>
  <c r="D387" i="31"/>
  <c r="D388" i="31"/>
  <c r="D389" i="31"/>
  <c r="D390" i="31"/>
  <c r="D391" i="31"/>
  <c r="D392" i="31"/>
  <c r="D393" i="31"/>
  <c r="D394" i="31"/>
  <c r="D395" i="31"/>
  <c r="D396" i="31"/>
  <c r="D397" i="31"/>
  <c r="D398" i="31"/>
  <c r="D399" i="31"/>
  <c r="D400" i="31"/>
  <c r="D401" i="31"/>
  <c r="D402" i="31"/>
  <c r="D403" i="31"/>
  <c r="D404" i="31"/>
  <c r="D405" i="31"/>
  <c r="D406" i="31"/>
  <c r="D407" i="31"/>
  <c r="D408" i="31"/>
  <c r="D409" i="31"/>
  <c r="D410" i="31"/>
  <c r="D411" i="31"/>
  <c r="D412" i="31"/>
  <c r="D413" i="31"/>
  <c r="D414" i="31"/>
  <c r="D415" i="31"/>
  <c r="D416" i="31"/>
  <c r="D417" i="31"/>
  <c r="D418" i="31"/>
  <c r="D419" i="31"/>
  <c r="D420" i="31"/>
  <c r="D421" i="31"/>
  <c r="D422" i="31"/>
  <c r="D423" i="31"/>
  <c r="D424" i="31"/>
  <c r="D425" i="31"/>
  <c r="D426" i="31"/>
  <c r="D427" i="31"/>
  <c r="D428" i="31"/>
  <c r="D429" i="31"/>
  <c r="D430" i="31"/>
  <c r="D431" i="31"/>
  <c r="D432" i="31"/>
  <c r="D433" i="31"/>
  <c r="D434" i="31"/>
  <c r="D435" i="31"/>
  <c r="D436" i="31"/>
  <c r="D437" i="31"/>
  <c r="D438" i="31"/>
  <c r="D439" i="31"/>
  <c r="D440" i="31"/>
  <c r="D441" i="31"/>
  <c r="D442" i="31"/>
  <c r="D443" i="31"/>
  <c r="D444" i="31"/>
  <c r="D445" i="31"/>
  <c r="D446" i="31"/>
  <c r="D447" i="31"/>
  <c r="D448" i="31"/>
  <c r="D449" i="31"/>
  <c r="D450" i="31"/>
  <c r="D451" i="31"/>
  <c r="D452" i="31"/>
  <c r="D453" i="31"/>
  <c r="D454" i="31"/>
  <c r="D455" i="31"/>
  <c r="D456" i="31"/>
  <c r="D457" i="31"/>
  <c r="D458" i="31"/>
  <c r="D459" i="31"/>
  <c r="D460" i="31"/>
  <c r="D461" i="31"/>
  <c r="D462" i="31"/>
  <c r="D463" i="31"/>
  <c r="D464" i="31"/>
  <c r="D465" i="31"/>
  <c r="D466" i="31"/>
  <c r="D467" i="31"/>
  <c r="D468" i="31"/>
  <c r="D469" i="31"/>
  <c r="D470" i="31"/>
  <c r="D471" i="31"/>
  <c r="D472" i="31"/>
  <c r="D473" i="31"/>
  <c r="D474" i="31"/>
  <c r="D475" i="31"/>
  <c r="D476" i="31"/>
  <c r="D477" i="31"/>
  <c r="D478" i="31"/>
  <c r="D479" i="31"/>
  <c r="D480" i="31"/>
  <c r="D481" i="31"/>
  <c r="D482" i="31"/>
  <c r="D483" i="31"/>
  <c r="D484" i="31"/>
  <c r="D485" i="31"/>
  <c r="D486" i="31"/>
  <c r="D487" i="31"/>
  <c r="D488" i="31"/>
  <c r="D489" i="31"/>
  <c r="D490" i="31"/>
  <c r="D491" i="31"/>
  <c r="D492" i="31"/>
  <c r="D493" i="31"/>
  <c r="D494" i="31"/>
  <c r="D495" i="31"/>
  <c r="D496" i="31"/>
  <c r="D497" i="31"/>
  <c r="D498" i="31"/>
  <c r="D499" i="31"/>
  <c r="D500" i="31"/>
  <c r="D501" i="31"/>
  <c r="D502" i="31"/>
  <c r="D503" i="31"/>
  <c r="D504" i="31"/>
  <c r="D505" i="31"/>
  <c r="D506" i="31"/>
  <c r="D507" i="31"/>
  <c r="D508" i="31"/>
  <c r="D509" i="31"/>
  <c r="D510" i="31"/>
  <c r="D511" i="31"/>
  <c r="D512" i="31"/>
  <c r="D513" i="31"/>
  <c r="D514" i="31"/>
  <c r="D515" i="31"/>
  <c r="D516" i="31"/>
  <c r="D517" i="31"/>
  <c r="D518" i="31"/>
  <c r="D519" i="31"/>
  <c r="D520" i="31"/>
  <c r="D521" i="31"/>
  <c r="D522" i="31"/>
  <c r="D523" i="31"/>
  <c r="D524" i="31"/>
  <c r="D525" i="31"/>
  <c r="D526" i="31"/>
  <c r="D527" i="31"/>
  <c r="D528" i="31"/>
  <c r="D529" i="31"/>
  <c r="D530" i="31"/>
  <c r="D531" i="31"/>
  <c r="D532" i="31"/>
  <c r="D533" i="31"/>
  <c r="D534" i="31"/>
  <c r="D535" i="31"/>
  <c r="D536" i="31"/>
  <c r="D537" i="31"/>
  <c r="D538" i="31"/>
  <c r="D539" i="31"/>
  <c r="D540" i="31"/>
  <c r="D541" i="31"/>
  <c r="D542" i="31"/>
  <c r="D543" i="31"/>
  <c r="D544" i="31"/>
  <c r="D545" i="31"/>
  <c r="D546" i="31"/>
  <c r="D547" i="31"/>
  <c r="D548" i="31"/>
  <c r="D549" i="31"/>
  <c r="D550" i="31"/>
  <c r="D551" i="31"/>
  <c r="D552" i="31"/>
  <c r="D553" i="31"/>
  <c r="D554" i="31"/>
  <c r="D555" i="31"/>
  <c r="D556" i="31"/>
  <c r="D557" i="31"/>
  <c r="D558" i="31"/>
  <c r="D559" i="31"/>
  <c r="D560" i="31"/>
  <c r="D561" i="31"/>
  <c r="D562" i="31"/>
  <c r="D563" i="31"/>
  <c r="D564" i="31"/>
  <c r="D565" i="31"/>
  <c r="D566" i="31"/>
  <c r="D567" i="31"/>
  <c r="D568" i="31"/>
  <c r="D569" i="31"/>
  <c r="D570" i="31"/>
  <c r="D571" i="31"/>
  <c r="D572" i="31"/>
  <c r="D573" i="31"/>
  <c r="D574" i="31"/>
  <c r="D575" i="31"/>
  <c r="D576" i="31"/>
  <c r="D577" i="31"/>
  <c r="D578" i="31"/>
  <c r="D579" i="31"/>
  <c r="D580" i="31"/>
  <c r="D581" i="31"/>
  <c r="D582" i="31"/>
  <c r="D583" i="31"/>
  <c r="D584" i="31"/>
  <c r="D585" i="31"/>
  <c r="D586" i="31"/>
  <c r="D587" i="31"/>
  <c r="D588" i="31"/>
  <c r="D589" i="31"/>
  <c r="D590" i="31"/>
  <c r="D591" i="31"/>
  <c r="D592" i="31"/>
  <c r="D593" i="31"/>
  <c r="D594" i="31"/>
  <c r="D595" i="31"/>
  <c r="D596" i="31"/>
  <c r="D597" i="31"/>
  <c r="D598" i="31"/>
  <c r="D599" i="31"/>
  <c r="D600" i="31"/>
  <c r="D601" i="31"/>
  <c r="D602" i="31"/>
  <c r="D603" i="31"/>
  <c r="D604" i="31"/>
  <c r="D605" i="31"/>
  <c r="D606" i="31"/>
  <c r="D607" i="31"/>
  <c r="D608" i="31"/>
  <c r="D609" i="31"/>
  <c r="D610" i="31"/>
  <c r="D611" i="31"/>
  <c r="D612" i="31"/>
  <c r="D613" i="31"/>
  <c r="D614" i="31"/>
  <c r="D615" i="31"/>
  <c r="D616" i="31"/>
  <c r="D617" i="31"/>
  <c r="D618" i="31"/>
  <c r="D619" i="31"/>
  <c r="D620" i="31"/>
  <c r="D621" i="31"/>
  <c r="D622" i="31"/>
  <c r="D623" i="31"/>
  <c r="D624" i="31"/>
  <c r="D625" i="31"/>
  <c r="D626" i="31"/>
  <c r="D627" i="31"/>
  <c r="D628" i="31"/>
  <c r="D629" i="31"/>
  <c r="D630" i="31"/>
  <c r="D631" i="31"/>
  <c r="D632" i="31"/>
  <c r="D633" i="31"/>
  <c r="D634" i="31"/>
  <c r="D635" i="31"/>
  <c r="D636" i="31"/>
  <c r="D637" i="31"/>
  <c r="D638" i="31"/>
  <c r="D639" i="31"/>
  <c r="D640" i="31"/>
  <c r="D641" i="31"/>
  <c r="D642" i="31"/>
  <c r="D643" i="31"/>
  <c r="D644" i="31"/>
  <c r="D645" i="31"/>
  <c r="D646" i="31"/>
  <c r="D647" i="31"/>
  <c r="D648" i="31"/>
  <c r="D649" i="31"/>
  <c r="D650" i="31"/>
  <c r="D651" i="31"/>
  <c r="D652" i="31"/>
  <c r="D653" i="31"/>
  <c r="D654" i="31"/>
  <c r="D655" i="31"/>
  <c r="D656" i="31"/>
  <c r="D657" i="31"/>
  <c r="D658" i="31"/>
  <c r="D659" i="31"/>
  <c r="D660" i="31"/>
  <c r="D661" i="31"/>
  <c r="D662" i="31"/>
  <c r="D663" i="31"/>
  <c r="D664" i="31"/>
  <c r="D665" i="31"/>
  <c r="D666" i="31"/>
  <c r="D667" i="31"/>
  <c r="D668" i="31"/>
  <c r="D669" i="31"/>
  <c r="D670" i="31"/>
  <c r="D2" i="31"/>
  <c r="W443" i="4" l="1"/>
  <c r="Y442" i="4"/>
  <c r="X472" i="4"/>
  <c r="H236" i="10" s="1"/>
  <c r="Y441" i="4"/>
  <c r="L432" i="4"/>
  <c r="D221" i="10" s="1"/>
  <c r="G218" i="10"/>
  <c r="X432" i="4"/>
  <c r="H221" i="10" s="1"/>
  <c r="D209" i="10"/>
  <c r="W393" i="4"/>
  <c r="H203" i="10" s="1"/>
  <c r="X367" i="4"/>
  <c r="X368" i="4" s="1"/>
  <c r="X369" i="4" s="1"/>
  <c r="X370" i="4" s="1"/>
  <c r="Y366" i="4"/>
  <c r="Y365" i="4"/>
  <c r="Y364" i="4"/>
  <c r="Y363" i="4"/>
  <c r="AQ4" i="17"/>
  <c r="AR4" i="17"/>
  <c r="AS4" i="17"/>
  <c r="AT4" i="17"/>
  <c r="AQ5" i="17"/>
  <c r="AR5" i="17"/>
  <c r="AS5" i="17"/>
  <c r="AT5" i="17"/>
  <c r="AQ6" i="17"/>
  <c r="AR6" i="17"/>
  <c r="AS6" i="17"/>
  <c r="AT6" i="17"/>
  <c r="AQ7" i="17"/>
  <c r="AR7" i="17"/>
  <c r="AS7" i="17"/>
  <c r="AT7" i="17"/>
  <c r="AQ8" i="17"/>
  <c r="AR8" i="17"/>
  <c r="AS8" i="17"/>
  <c r="AT8" i="17"/>
  <c r="AQ9" i="17"/>
  <c r="AR9" i="17"/>
  <c r="AS9" i="17"/>
  <c r="AT9" i="17"/>
  <c r="AQ10" i="17"/>
  <c r="AR10" i="17"/>
  <c r="AS10" i="17"/>
  <c r="AT10" i="17"/>
  <c r="AQ11" i="17"/>
  <c r="AR11" i="17"/>
  <c r="AS11" i="17"/>
  <c r="AT11" i="17"/>
  <c r="AQ12" i="17"/>
  <c r="AR12" i="17"/>
  <c r="AS12" i="17"/>
  <c r="AT12" i="17"/>
  <c r="AQ13" i="17"/>
  <c r="AR13" i="17"/>
  <c r="AS13" i="17"/>
  <c r="AT13" i="17"/>
  <c r="AQ14" i="17"/>
  <c r="AR14" i="17"/>
  <c r="AS14" i="17"/>
  <c r="AT14" i="17"/>
  <c r="AQ15" i="17"/>
  <c r="AR15" i="17"/>
  <c r="AS15" i="17"/>
  <c r="AT15" i="17"/>
  <c r="AI16" i="17"/>
  <c r="AJ16" i="17"/>
  <c r="AK16" i="17"/>
  <c r="AL16" i="17"/>
  <c r="D21" i="10"/>
  <c r="K4" i="17"/>
  <c r="Y443" i="4" l="1"/>
  <c r="W444" i="4"/>
  <c r="Y368" i="4"/>
  <c r="Y367" i="4"/>
  <c r="Y369" i="4"/>
  <c r="X371" i="4"/>
  <c r="Y370" i="4"/>
  <c r="AS16" i="17"/>
  <c r="AT16" i="17"/>
  <c r="AQ16" i="17"/>
  <c r="AR16" i="17"/>
  <c r="Y444" i="4" l="1"/>
  <c r="W445" i="4"/>
  <c r="X372" i="4"/>
  <c r="Y371" i="4"/>
  <c r="AU16" i="17"/>
  <c r="K363" i="8"/>
  <c r="K364" i="8"/>
  <c r="K365" i="8"/>
  <c r="K366" i="8"/>
  <c r="K367" i="8"/>
  <c r="K368" i="8"/>
  <c r="K369" i="8"/>
  <c r="K370" i="8"/>
  <c r="K371" i="8"/>
  <c r="K372" i="8"/>
  <c r="K373" i="8"/>
  <c r="K374" i="8"/>
  <c r="K375" i="8"/>
  <c r="K376" i="8"/>
  <c r="K377" i="8"/>
  <c r="K378" i="8"/>
  <c r="K379" i="8"/>
  <c r="K380" i="8"/>
  <c r="K381" i="8"/>
  <c r="K382" i="8"/>
  <c r="K383" i="8"/>
  <c r="K384" i="8"/>
  <c r="K385" i="8"/>
  <c r="K386" i="8"/>
  <c r="K387" i="8"/>
  <c r="K388" i="8"/>
  <c r="K389" i="8"/>
  <c r="K390" i="8"/>
  <c r="K391" i="8"/>
  <c r="K392" i="8"/>
  <c r="K362" i="8"/>
  <c r="J363" i="8"/>
  <c r="J364" i="8"/>
  <c r="J365" i="8"/>
  <c r="J366" i="8"/>
  <c r="J367" i="8"/>
  <c r="J368" i="8"/>
  <c r="J369" i="8"/>
  <c r="J370" i="8"/>
  <c r="J371" i="8"/>
  <c r="J372" i="8"/>
  <c r="J373" i="8"/>
  <c r="J374" i="8"/>
  <c r="J375" i="8"/>
  <c r="J376" i="8"/>
  <c r="J377" i="8"/>
  <c r="J378" i="8"/>
  <c r="J379" i="8"/>
  <c r="J380" i="8"/>
  <c r="J381" i="8"/>
  <c r="J382" i="8"/>
  <c r="J383" i="8"/>
  <c r="J384" i="8"/>
  <c r="J385" i="8"/>
  <c r="J386" i="8"/>
  <c r="J387" i="8"/>
  <c r="J388" i="8"/>
  <c r="J389" i="8"/>
  <c r="J390" i="8"/>
  <c r="J391" i="8"/>
  <c r="J392" i="8"/>
  <c r="J362" i="8"/>
  <c r="FY16" i="17"/>
  <c r="FX16" i="17"/>
  <c r="FW16" i="17"/>
  <c r="FV16" i="17"/>
  <c r="FI16" i="17"/>
  <c r="FH16" i="17"/>
  <c r="FG16" i="17"/>
  <c r="FF16" i="17"/>
  <c r="ES16" i="17"/>
  <c r="ER16" i="17"/>
  <c r="EQ16" i="17"/>
  <c r="EP16" i="17"/>
  <c r="ED16" i="17"/>
  <c r="EC16" i="17"/>
  <c r="EB16" i="17"/>
  <c r="EA16" i="17"/>
  <c r="DN16" i="17"/>
  <c r="DM16" i="17"/>
  <c r="DL16" i="17"/>
  <c r="DK16" i="17"/>
  <c r="CX16" i="17"/>
  <c r="CW16" i="17"/>
  <c r="CV16" i="17"/>
  <c r="CU16" i="17"/>
  <c r="CH16" i="17"/>
  <c r="CG16" i="17"/>
  <c r="CF16" i="17"/>
  <c r="CE16" i="17"/>
  <c r="BR16" i="17"/>
  <c r="BQ16" i="17"/>
  <c r="BP16" i="17"/>
  <c r="BO16" i="17"/>
  <c r="BB16" i="17"/>
  <c r="BA16" i="17"/>
  <c r="AZ16" i="17"/>
  <c r="AY16" i="17"/>
  <c r="V16" i="17"/>
  <c r="U16" i="17"/>
  <c r="T16" i="17"/>
  <c r="S16" i="17"/>
  <c r="F16" i="17"/>
  <c r="E16" i="17"/>
  <c r="D16" i="17"/>
  <c r="C16" i="17"/>
  <c r="GG15" i="17"/>
  <c r="GF15" i="17"/>
  <c r="GE15" i="17"/>
  <c r="GD15" i="17"/>
  <c r="FQ15" i="17"/>
  <c r="FP15" i="17"/>
  <c r="FO15" i="17"/>
  <c r="FN15" i="17"/>
  <c r="FA15" i="17"/>
  <c r="EZ15" i="17"/>
  <c r="EY15" i="17"/>
  <c r="EX15" i="17"/>
  <c r="EI15" i="17"/>
  <c r="EH15" i="17"/>
  <c r="DV15" i="17"/>
  <c r="DU15" i="17"/>
  <c r="DT15" i="17"/>
  <c r="DS15" i="17"/>
  <c r="DF15" i="17"/>
  <c r="DE15" i="17"/>
  <c r="DD15" i="17"/>
  <c r="DC15" i="17"/>
  <c r="CP15" i="17"/>
  <c r="CO15" i="17"/>
  <c r="CN15" i="17"/>
  <c r="CM15" i="17"/>
  <c r="BZ15" i="17"/>
  <c r="BY15" i="17"/>
  <c r="BX15" i="17"/>
  <c r="BW15" i="17"/>
  <c r="BJ15" i="17"/>
  <c r="BI15" i="17"/>
  <c r="BH15" i="17"/>
  <c r="BG15" i="17"/>
  <c r="AD15" i="17"/>
  <c r="AC15" i="17"/>
  <c r="AB15" i="17"/>
  <c r="AA15" i="17"/>
  <c r="N15" i="17"/>
  <c r="M15" i="17"/>
  <c r="L15" i="17"/>
  <c r="K15" i="17"/>
  <c r="GG14" i="17"/>
  <c r="GF14" i="17"/>
  <c r="GE14" i="17"/>
  <c r="GD14" i="17"/>
  <c r="FQ14" i="17"/>
  <c r="FP14" i="17"/>
  <c r="FO14" i="17"/>
  <c r="FN14" i="17"/>
  <c r="FA14" i="17"/>
  <c r="EZ14" i="17"/>
  <c r="EY14" i="17"/>
  <c r="EX14" i="17"/>
  <c r="EI14" i="17"/>
  <c r="EH14" i="17"/>
  <c r="DV14" i="17"/>
  <c r="DU14" i="17"/>
  <c r="DT14" i="17"/>
  <c r="DS14" i="17"/>
  <c r="DF14" i="17"/>
  <c r="DE14" i="17"/>
  <c r="DD14" i="17"/>
  <c r="DC14" i="17"/>
  <c r="CP14" i="17"/>
  <c r="CO14" i="17"/>
  <c r="CN14" i="17"/>
  <c r="CM14" i="17"/>
  <c r="BZ14" i="17"/>
  <c r="BY14" i="17"/>
  <c r="BX14" i="17"/>
  <c r="BW14" i="17"/>
  <c r="BJ14" i="17"/>
  <c r="BI14" i="17"/>
  <c r="BH14" i="17"/>
  <c r="BG14" i="17"/>
  <c r="AD14" i="17"/>
  <c r="AC14" i="17"/>
  <c r="AB14" i="17"/>
  <c r="AA14" i="17"/>
  <c r="N14" i="17"/>
  <c r="M14" i="17"/>
  <c r="L14" i="17"/>
  <c r="K14" i="17"/>
  <c r="GG13" i="17"/>
  <c r="GF13" i="17"/>
  <c r="GE13" i="17"/>
  <c r="GD13" i="17"/>
  <c r="FQ13" i="17"/>
  <c r="FP13" i="17"/>
  <c r="FO13" i="17"/>
  <c r="FN13" i="17"/>
  <c r="FA13" i="17"/>
  <c r="EZ13" i="17"/>
  <c r="EY13" i="17"/>
  <c r="EX13" i="17"/>
  <c r="EI13" i="17"/>
  <c r="EH13" i="17"/>
  <c r="DV13" i="17"/>
  <c r="DU13" i="17"/>
  <c r="DT13" i="17"/>
  <c r="DS13" i="17"/>
  <c r="DF13" i="17"/>
  <c r="DE13" i="17"/>
  <c r="DD13" i="17"/>
  <c r="DC13" i="17"/>
  <c r="CP13" i="17"/>
  <c r="CO13" i="17"/>
  <c r="CN13" i="17"/>
  <c r="CM13" i="17"/>
  <c r="BZ13" i="17"/>
  <c r="BY13" i="17"/>
  <c r="BX13" i="17"/>
  <c r="BW13" i="17"/>
  <c r="BJ13" i="17"/>
  <c r="BI13" i="17"/>
  <c r="BH13" i="17"/>
  <c r="BG13" i="17"/>
  <c r="AD13" i="17"/>
  <c r="AC13" i="17"/>
  <c r="AB13" i="17"/>
  <c r="AA13" i="17"/>
  <c r="N13" i="17"/>
  <c r="M13" i="17"/>
  <c r="L13" i="17"/>
  <c r="K13" i="17"/>
  <c r="GG12" i="17"/>
  <c r="GF12" i="17"/>
  <c r="GE12" i="17"/>
  <c r="GD12" i="17"/>
  <c r="FQ12" i="17"/>
  <c r="FP12" i="17"/>
  <c r="FO12" i="17"/>
  <c r="FN12" i="17"/>
  <c r="FA12" i="17"/>
  <c r="EZ12" i="17"/>
  <c r="EY12" i="17"/>
  <c r="EX12" i="17"/>
  <c r="EI12" i="17"/>
  <c r="EH12" i="17"/>
  <c r="DV12" i="17"/>
  <c r="DU12" i="17"/>
  <c r="DT12" i="17"/>
  <c r="DS12" i="17"/>
  <c r="DF12" i="17"/>
  <c r="DE12" i="17"/>
  <c r="DD12" i="17"/>
  <c r="DC12" i="17"/>
  <c r="CP12" i="17"/>
  <c r="CO12" i="17"/>
  <c r="CN12" i="17"/>
  <c r="CM12" i="17"/>
  <c r="BZ12" i="17"/>
  <c r="BY12" i="17"/>
  <c r="BX12" i="17"/>
  <c r="BW12" i="17"/>
  <c r="BJ12" i="17"/>
  <c r="BI12" i="17"/>
  <c r="BH12" i="17"/>
  <c r="BG12" i="17"/>
  <c r="AD12" i="17"/>
  <c r="AC12" i="17"/>
  <c r="AB12" i="17"/>
  <c r="AA12" i="17"/>
  <c r="N12" i="17"/>
  <c r="M12" i="17"/>
  <c r="L12" i="17"/>
  <c r="K12" i="17"/>
  <c r="GG11" i="17"/>
  <c r="GF11" i="17"/>
  <c r="GE11" i="17"/>
  <c r="GD11" i="17"/>
  <c r="FQ11" i="17"/>
  <c r="FP11" i="17"/>
  <c r="FO11" i="17"/>
  <c r="FN11" i="17"/>
  <c r="FA11" i="17"/>
  <c r="EZ11" i="17"/>
  <c r="EY11" i="17"/>
  <c r="EX11" i="17"/>
  <c r="EI11" i="17"/>
  <c r="EH11" i="17"/>
  <c r="DV11" i="17"/>
  <c r="DU11" i="17"/>
  <c r="DT11" i="17"/>
  <c r="DS11" i="17"/>
  <c r="DF11" i="17"/>
  <c r="DE11" i="17"/>
  <c r="DD11" i="17"/>
  <c r="DC11" i="17"/>
  <c r="CP11" i="17"/>
  <c r="CO11" i="17"/>
  <c r="CN11" i="17"/>
  <c r="CM11" i="17"/>
  <c r="BZ11" i="17"/>
  <c r="BY11" i="17"/>
  <c r="BX11" i="17"/>
  <c r="BW11" i="17"/>
  <c r="BJ11" i="17"/>
  <c r="BI11" i="17"/>
  <c r="BH11" i="17"/>
  <c r="BG11" i="17"/>
  <c r="AD11" i="17"/>
  <c r="AC11" i="17"/>
  <c r="AB11" i="17"/>
  <c r="AA11" i="17"/>
  <c r="N11" i="17"/>
  <c r="M11" i="17"/>
  <c r="L11" i="17"/>
  <c r="K11" i="17"/>
  <c r="GG10" i="17"/>
  <c r="GF10" i="17"/>
  <c r="GE10" i="17"/>
  <c r="GD10" i="17"/>
  <c r="FQ10" i="17"/>
  <c r="FP10" i="17"/>
  <c r="FO10" i="17"/>
  <c r="FN10" i="17"/>
  <c r="FA10" i="17"/>
  <c r="EZ10" i="17"/>
  <c r="EY10" i="17"/>
  <c r="EX10" i="17"/>
  <c r="EI10" i="17"/>
  <c r="EH10" i="17"/>
  <c r="DV10" i="17"/>
  <c r="DU10" i="17"/>
  <c r="DT10" i="17"/>
  <c r="DS10" i="17"/>
  <c r="DF10" i="17"/>
  <c r="DE10" i="17"/>
  <c r="DD10" i="17"/>
  <c r="DC10" i="17"/>
  <c r="CP10" i="17"/>
  <c r="CO10" i="17"/>
  <c r="CN10" i="17"/>
  <c r="CM10" i="17"/>
  <c r="BZ10" i="17"/>
  <c r="BY10" i="17"/>
  <c r="BX10" i="17"/>
  <c r="BW10" i="17"/>
  <c r="BJ10" i="17"/>
  <c r="BI10" i="17"/>
  <c r="BH10" i="17"/>
  <c r="BG10" i="17"/>
  <c r="AD10" i="17"/>
  <c r="AC10" i="17"/>
  <c r="AB10" i="17"/>
  <c r="AA10" i="17"/>
  <c r="N10" i="17"/>
  <c r="M10" i="17"/>
  <c r="L10" i="17"/>
  <c r="K10" i="17"/>
  <c r="GG9" i="17"/>
  <c r="GF9" i="17"/>
  <c r="GE9" i="17"/>
  <c r="GD9" i="17"/>
  <c r="FQ9" i="17"/>
  <c r="FP9" i="17"/>
  <c r="FO9" i="17"/>
  <c r="FN9" i="17"/>
  <c r="FA9" i="17"/>
  <c r="EZ9" i="17"/>
  <c r="EY9" i="17"/>
  <c r="EX9" i="17"/>
  <c r="EI9" i="17"/>
  <c r="EH9" i="17"/>
  <c r="DV9" i="17"/>
  <c r="DU9" i="17"/>
  <c r="DT9" i="17"/>
  <c r="DS9" i="17"/>
  <c r="DF9" i="17"/>
  <c r="DE9" i="17"/>
  <c r="DD9" i="17"/>
  <c r="DC9" i="17"/>
  <c r="CP9" i="17"/>
  <c r="CO9" i="17"/>
  <c r="CN9" i="17"/>
  <c r="CM9" i="17"/>
  <c r="BZ9" i="17"/>
  <c r="BY9" i="17"/>
  <c r="BX9" i="17"/>
  <c r="BW9" i="17"/>
  <c r="BJ9" i="17"/>
  <c r="BI9" i="17"/>
  <c r="BH9" i="17"/>
  <c r="BG9" i="17"/>
  <c r="AD9" i="17"/>
  <c r="AC9" i="17"/>
  <c r="AB9" i="17"/>
  <c r="AA9" i="17"/>
  <c r="N9" i="17"/>
  <c r="M9" i="17"/>
  <c r="L9" i="17"/>
  <c r="K9" i="17"/>
  <c r="GG8" i="17"/>
  <c r="GF8" i="17"/>
  <c r="GE8" i="17"/>
  <c r="GD8" i="17"/>
  <c r="FQ8" i="17"/>
  <c r="FP8" i="17"/>
  <c r="FO8" i="17"/>
  <c r="FN8" i="17"/>
  <c r="FA8" i="17"/>
  <c r="EZ8" i="17"/>
  <c r="EY8" i="17"/>
  <c r="EX8" i="17"/>
  <c r="EI8" i="17"/>
  <c r="EH8" i="17"/>
  <c r="DV8" i="17"/>
  <c r="DU8" i="17"/>
  <c r="DT8" i="17"/>
  <c r="DS8" i="17"/>
  <c r="DF8" i="17"/>
  <c r="DE8" i="17"/>
  <c r="DD8" i="17"/>
  <c r="DC8" i="17"/>
  <c r="CP8" i="17"/>
  <c r="CO8" i="17"/>
  <c r="CN8" i="17"/>
  <c r="CM8" i="17"/>
  <c r="BZ8" i="17"/>
  <c r="BY8" i="17"/>
  <c r="BX8" i="17"/>
  <c r="BW8" i="17"/>
  <c r="BJ8" i="17"/>
  <c r="BI8" i="17"/>
  <c r="BH8" i="17"/>
  <c r="BG8" i="17"/>
  <c r="AD8" i="17"/>
  <c r="AC8" i="17"/>
  <c r="AB8" i="17"/>
  <c r="AA8" i="17"/>
  <c r="N8" i="17"/>
  <c r="M8" i="17"/>
  <c r="L8" i="17"/>
  <c r="K8" i="17"/>
  <c r="GG7" i="17"/>
  <c r="GF7" i="17"/>
  <c r="GE7" i="17"/>
  <c r="GD7" i="17"/>
  <c r="FQ7" i="17"/>
  <c r="FP7" i="17"/>
  <c r="FO7" i="17"/>
  <c r="FN7" i="17"/>
  <c r="FA7" i="17"/>
  <c r="EZ7" i="17"/>
  <c r="EY7" i="17"/>
  <c r="EX7" i="17"/>
  <c r="EI7" i="17"/>
  <c r="EH7" i="17"/>
  <c r="DV7" i="17"/>
  <c r="DU7" i="17"/>
  <c r="DT7" i="17"/>
  <c r="DS7" i="17"/>
  <c r="DF7" i="17"/>
  <c r="DE7" i="17"/>
  <c r="DD7" i="17"/>
  <c r="DC7" i="17"/>
  <c r="CP7" i="17"/>
  <c r="CO7" i="17"/>
  <c r="CN7" i="17"/>
  <c r="CM7" i="17"/>
  <c r="BZ7" i="17"/>
  <c r="BY7" i="17"/>
  <c r="BX7" i="17"/>
  <c r="BW7" i="17"/>
  <c r="BJ7" i="17"/>
  <c r="BI7" i="17"/>
  <c r="BH7" i="17"/>
  <c r="BG7" i="17"/>
  <c r="AD7" i="17"/>
  <c r="AC7" i="17"/>
  <c r="AB7" i="17"/>
  <c r="AA7" i="17"/>
  <c r="N7" i="17"/>
  <c r="M7" i="17"/>
  <c r="L7" i="17"/>
  <c r="K7" i="17"/>
  <c r="GG6" i="17"/>
  <c r="GF6" i="17"/>
  <c r="GE6" i="17"/>
  <c r="GD6" i="17"/>
  <c r="FQ6" i="17"/>
  <c r="FP6" i="17"/>
  <c r="FO6" i="17"/>
  <c r="FN6" i="17"/>
  <c r="FA6" i="17"/>
  <c r="EZ6" i="17"/>
  <c r="EY6" i="17"/>
  <c r="EX6" i="17"/>
  <c r="EI6" i="17"/>
  <c r="EH6" i="17"/>
  <c r="DV6" i="17"/>
  <c r="DU6" i="17"/>
  <c r="DT6" i="17"/>
  <c r="DS6" i="17"/>
  <c r="DF6" i="17"/>
  <c r="DE6" i="17"/>
  <c r="DD6" i="17"/>
  <c r="DC6" i="17"/>
  <c r="CP6" i="17"/>
  <c r="CO6" i="17"/>
  <c r="CN6" i="17"/>
  <c r="CM6" i="17"/>
  <c r="BZ6" i="17"/>
  <c r="BY6" i="17"/>
  <c r="BX6" i="17"/>
  <c r="BW6" i="17"/>
  <c r="BJ6" i="17"/>
  <c r="BI6" i="17"/>
  <c r="BH6" i="17"/>
  <c r="BG6" i="17"/>
  <c r="AD6" i="17"/>
  <c r="AC6" i="17"/>
  <c r="AB6" i="17"/>
  <c r="AA6" i="17"/>
  <c r="N6" i="17"/>
  <c r="M6" i="17"/>
  <c r="L6" i="17"/>
  <c r="K6" i="17"/>
  <c r="GG5" i="17"/>
  <c r="GF5" i="17"/>
  <c r="GE5" i="17"/>
  <c r="GD5" i="17"/>
  <c r="FQ5" i="17"/>
  <c r="FP5" i="17"/>
  <c r="FO5" i="17"/>
  <c r="FN5" i="17"/>
  <c r="FA5" i="17"/>
  <c r="EZ5" i="17"/>
  <c r="EY5" i="17"/>
  <c r="EX5" i="17"/>
  <c r="EI5" i="17"/>
  <c r="EH5" i="17"/>
  <c r="DV5" i="17"/>
  <c r="DU5" i="17"/>
  <c r="DT5" i="17"/>
  <c r="DS5" i="17"/>
  <c r="DF5" i="17"/>
  <c r="DE5" i="17"/>
  <c r="DD5" i="17"/>
  <c r="DC5" i="17"/>
  <c r="CP5" i="17"/>
  <c r="CO5" i="17"/>
  <c r="CN5" i="17"/>
  <c r="CM5" i="17"/>
  <c r="BZ5" i="17"/>
  <c r="BY5" i="17"/>
  <c r="BX5" i="17"/>
  <c r="BW5" i="17"/>
  <c r="BJ5" i="17"/>
  <c r="BI5" i="17"/>
  <c r="BH5" i="17"/>
  <c r="BG5" i="17"/>
  <c r="AD5" i="17"/>
  <c r="AC5" i="17"/>
  <c r="AB5" i="17"/>
  <c r="AA5" i="17"/>
  <c r="N5" i="17"/>
  <c r="M5" i="17"/>
  <c r="L5" i="17"/>
  <c r="K5" i="17"/>
  <c r="GG4" i="17"/>
  <c r="GF4" i="17"/>
  <c r="GE4" i="17"/>
  <c r="GD4" i="17"/>
  <c r="FQ4" i="17"/>
  <c r="FP4" i="17"/>
  <c r="FO4" i="17"/>
  <c r="FN4" i="17"/>
  <c r="FA4" i="17"/>
  <c r="EZ4" i="17"/>
  <c r="EY4" i="17"/>
  <c r="EX4" i="17"/>
  <c r="EI4" i="17"/>
  <c r="EH4" i="17"/>
  <c r="DV4" i="17"/>
  <c r="DU4" i="17"/>
  <c r="DT4" i="17"/>
  <c r="DS4" i="17"/>
  <c r="DF4" i="17"/>
  <c r="DE4" i="17"/>
  <c r="DD4" i="17"/>
  <c r="DC4" i="17"/>
  <c r="CP4" i="17"/>
  <c r="CO4" i="17"/>
  <c r="CN4" i="17"/>
  <c r="CM4" i="17"/>
  <c r="BZ4" i="17"/>
  <c r="BY4" i="17"/>
  <c r="BX4" i="17"/>
  <c r="BW4" i="17"/>
  <c r="BJ4" i="17"/>
  <c r="BI4" i="17"/>
  <c r="BH4" i="17"/>
  <c r="BG4" i="17"/>
  <c r="AD4" i="17"/>
  <c r="AC4" i="17"/>
  <c r="AB4" i="17"/>
  <c r="AA4" i="17"/>
  <c r="N4" i="17"/>
  <c r="M4" i="17"/>
  <c r="L4" i="17"/>
  <c r="B167" i="11"/>
  <c r="B166" i="11"/>
  <c r="B165" i="11"/>
  <c r="B164" i="11"/>
  <c r="B163" i="11"/>
  <c r="B162" i="11"/>
  <c r="B161" i="11"/>
  <c r="B160" i="11"/>
  <c r="B153" i="11"/>
  <c r="B152" i="11"/>
  <c r="B151" i="11"/>
  <c r="B150" i="11"/>
  <c r="B149" i="11"/>
  <c r="B148" i="11"/>
  <c r="B147" i="11"/>
  <c r="B146" i="11"/>
  <c r="B139" i="11"/>
  <c r="B138" i="11"/>
  <c r="B137" i="11"/>
  <c r="B136" i="11"/>
  <c r="B135" i="11"/>
  <c r="B134" i="11"/>
  <c r="B133" i="11"/>
  <c r="B132" i="11"/>
  <c r="B125" i="11"/>
  <c r="B124" i="11"/>
  <c r="B123" i="11"/>
  <c r="B122" i="11"/>
  <c r="B121" i="11"/>
  <c r="B120" i="11"/>
  <c r="B119" i="11"/>
  <c r="B118" i="11"/>
  <c r="B111" i="11"/>
  <c r="B110" i="11"/>
  <c r="B109" i="11"/>
  <c r="B108" i="11"/>
  <c r="B107" i="11"/>
  <c r="B106" i="11"/>
  <c r="B105" i="11"/>
  <c r="B104" i="11"/>
  <c r="B97" i="11"/>
  <c r="B96" i="11"/>
  <c r="B95" i="11"/>
  <c r="B94" i="11"/>
  <c r="B93" i="11"/>
  <c r="B92" i="11"/>
  <c r="B91" i="11"/>
  <c r="B90" i="11"/>
  <c r="B83" i="11"/>
  <c r="B82" i="11"/>
  <c r="B81" i="11"/>
  <c r="B80" i="11"/>
  <c r="B79" i="11"/>
  <c r="B78" i="11"/>
  <c r="B77" i="11"/>
  <c r="B76" i="11"/>
  <c r="B69" i="11"/>
  <c r="B68" i="11"/>
  <c r="B67" i="11"/>
  <c r="B66" i="11"/>
  <c r="B65" i="11"/>
  <c r="B64" i="11"/>
  <c r="B63" i="11"/>
  <c r="B62" i="11"/>
  <c r="B55" i="11"/>
  <c r="B54" i="11"/>
  <c r="B53" i="11"/>
  <c r="B52" i="11"/>
  <c r="B51" i="11"/>
  <c r="B50" i="11"/>
  <c r="B49" i="11"/>
  <c r="B48" i="11"/>
  <c r="B39" i="11"/>
  <c r="B38" i="11"/>
  <c r="B37" i="11"/>
  <c r="B36" i="11"/>
  <c r="B35" i="11"/>
  <c r="B34" i="11"/>
  <c r="B33" i="11"/>
  <c r="B32" i="11"/>
  <c r="B25" i="11"/>
  <c r="B24" i="11"/>
  <c r="B23" i="11"/>
  <c r="B22" i="11"/>
  <c r="B21" i="11"/>
  <c r="C20" i="11"/>
  <c r="B20" i="11"/>
  <c r="B19" i="11"/>
  <c r="B18" i="11"/>
  <c r="B11" i="11"/>
  <c r="B10" i="11"/>
  <c r="B9" i="11"/>
  <c r="B8" i="11"/>
  <c r="B7" i="11"/>
  <c r="AD6" i="11"/>
  <c r="AC6" i="11"/>
  <c r="AB6" i="11"/>
  <c r="AA6" i="11"/>
  <c r="Z6" i="11"/>
  <c r="Y6" i="11"/>
  <c r="X6" i="11"/>
  <c r="B6" i="11"/>
  <c r="B5" i="11"/>
  <c r="B4" i="11"/>
  <c r="M103" i="21"/>
  <c r="L103" i="21"/>
  <c r="G472" i="8"/>
  <c r="H166" i="11" s="1"/>
  <c r="F472" i="8"/>
  <c r="E472" i="8"/>
  <c r="D472" i="8"/>
  <c r="C472" i="8"/>
  <c r="D166" i="11" s="1"/>
  <c r="H152" i="11"/>
  <c r="G152" i="11"/>
  <c r="C152" i="11"/>
  <c r="K431" i="8"/>
  <c r="L431" i="8" s="1"/>
  <c r="K430" i="8"/>
  <c r="L430" i="8" s="1"/>
  <c r="K429" i="8"/>
  <c r="L429" i="8" s="1"/>
  <c r="K428" i="8"/>
  <c r="L428" i="8" s="1"/>
  <c r="K427" i="8"/>
  <c r="L427" i="8" s="1"/>
  <c r="K426" i="8"/>
  <c r="L426" i="8" s="1"/>
  <c r="K425" i="8"/>
  <c r="L425" i="8" s="1"/>
  <c r="K424" i="8"/>
  <c r="L424" i="8" s="1"/>
  <c r="K423" i="8"/>
  <c r="L423" i="8" s="1"/>
  <c r="K422" i="8"/>
  <c r="L422" i="8" s="1"/>
  <c r="K421" i="8"/>
  <c r="L421" i="8" s="1"/>
  <c r="K420" i="8"/>
  <c r="L420" i="8" s="1"/>
  <c r="K419" i="8"/>
  <c r="L419" i="8" s="1"/>
  <c r="K418" i="8"/>
  <c r="L418" i="8" s="1"/>
  <c r="K417" i="8"/>
  <c r="L417" i="8" s="1"/>
  <c r="K416" i="8"/>
  <c r="L416" i="8" s="1"/>
  <c r="K415" i="8"/>
  <c r="L415" i="8" s="1"/>
  <c r="K414" i="8"/>
  <c r="L414" i="8" s="1"/>
  <c r="K413" i="8"/>
  <c r="L413" i="8" s="1"/>
  <c r="K412" i="8"/>
  <c r="L412" i="8" s="1"/>
  <c r="K411" i="8"/>
  <c r="L411" i="8" s="1"/>
  <c r="K410" i="8"/>
  <c r="L410" i="8" s="1"/>
  <c r="K409" i="8"/>
  <c r="L409" i="8" s="1"/>
  <c r="K408" i="8"/>
  <c r="L408" i="8" s="1"/>
  <c r="K407" i="8"/>
  <c r="L407" i="8" s="1"/>
  <c r="K406" i="8"/>
  <c r="L406" i="8" s="1"/>
  <c r="K405" i="8"/>
  <c r="L405" i="8" s="1"/>
  <c r="K404" i="8"/>
  <c r="L404" i="8" s="1"/>
  <c r="K403" i="8"/>
  <c r="L403" i="8" s="1"/>
  <c r="K402" i="8"/>
  <c r="L402" i="8" s="1"/>
  <c r="G393" i="8"/>
  <c r="H138" i="11" s="1"/>
  <c r="F393" i="8"/>
  <c r="E393" i="8"/>
  <c r="B393" i="8" s="1"/>
  <c r="C138" i="11" s="1"/>
  <c r="D393" i="8"/>
  <c r="C393" i="8"/>
  <c r="G353" i="8"/>
  <c r="J176" i="10" s="1"/>
  <c r="H124" i="11" s="1"/>
  <c r="F353" i="8"/>
  <c r="I176" i="10" s="1"/>
  <c r="G124" i="11" s="1"/>
  <c r="E353" i="8"/>
  <c r="B353" i="8" s="1"/>
  <c r="D176" i="10" s="1"/>
  <c r="C124" i="11" s="1"/>
  <c r="D353" i="8"/>
  <c r="F176" i="10" s="1"/>
  <c r="E124" i="11" s="1"/>
  <c r="C353" i="8"/>
  <c r="E176" i="10" s="1"/>
  <c r="D124" i="11" s="1"/>
  <c r="G314" i="8"/>
  <c r="J161" i="10" s="1"/>
  <c r="H110" i="11" s="1"/>
  <c r="F314" i="8"/>
  <c r="I161" i="10" s="1"/>
  <c r="G110" i="11" s="1"/>
  <c r="E314" i="8"/>
  <c r="B314" i="8" s="1"/>
  <c r="D161" i="10" s="1"/>
  <c r="C110" i="11" s="1"/>
  <c r="D314" i="8"/>
  <c r="F161" i="10" s="1"/>
  <c r="E110" i="11" s="1"/>
  <c r="C314" i="8"/>
  <c r="E161" i="10" s="1"/>
  <c r="D110" i="11" s="1"/>
  <c r="G274" i="8"/>
  <c r="J146" i="10" s="1"/>
  <c r="H96" i="11" s="1"/>
  <c r="F274" i="8"/>
  <c r="E274" i="8"/>
  <c r="B274" i="8" s="1"/>
  <c r="D146" i="10" s="1"/>
  <c r="D274" i="8"/>
  <c r="F146" i="10" s="1"/>
  <c r="E96" i="11" s="1"/>
  <c r="C274" i="8"/>
  <c r="G234" i="8"/>
  <c r="J101" i="10" s="1"/>
  <c r="H82" i="11" s="1"/>
  <c r="F234" i="8"/>
  <c r="I101" i="10" s="1"/>
  <c r="G82" i="11" s="1"/>
  <c r="E234" i="8"/>
  <c r="G101" i="10" s="1"/>
  <c r="D234" i="8"/>
  <c r="F101" i="10" s="1"/>
  <c r="C234" i="8"/>
  <c r="G195" i="8"/>
  <c r="J86" i="10" s="1"/>
  <c r="H68" i="11" s="1"/>
  <c r="F195" i="8"/>
  <c r="I86" i="10" s="1"/>
  <c r="G68" i="11" s="1"/>
  <c r="E195" i="8"/>
  <c r="B195" i="8" s="1"/>
  <c r="D86" i="10" s="1"/>
  <c r="C68" i="11" s="1"/>
  <c r="D195" i="8"/>
  <c r="F86" i="10" s="1"/>
  <c r="E68" i="11" s="1"/>
  <c r="C195" i="8"/>
  <c r="E86" i="10" s="1"/>
  <c r="D68" i="11" s="1"/>
  <c r="G155" i="8"/>
  <c r="J71" i="10" s="1"/>
  <c r="H54" i="11" s="1"/>
  <c r="F155" i="8"/>
  <c r="I71" i="10" s="1"/>
  <c r="E155" i="8"/>
  <c r="B155" i="8" s="1"/>
  <c r="D71" i="10" s="1"/>
  <c r="D155" i="8"/>
  <c r="F71" i="10" s="1"/>
  <c r="E54" i="11" s="1"/>
  <c r="C155" i="8"/>
  <c r="E71" i="10" s="1"/>
  <c r="D54" i="11" s="1"/>
  <c r="G116" i="8"/>
  <c r="J41" i="10" s="1"/>
  <c r="H38" i="11" s="1"/>
  <c r="F116" i="8"/>
  <c r="E116" i="8"/>
  <c r="B116" i="8" s="1"/>
  <c r="D41" i="10" s="1"/>
  <c r="C38" i="11" s="1"/>
  <c r="D116" i="8"/>
  <c r="F41" i="10" s="1"/>
  <c r="C116" i="8"/>
  <c r="E41" i="10" s="1"/>
  <c r="D38" i="11" s="1"/>
  <c r="G76" i="8"/>
  <c r="J26" i="10" s="1"/>
  <c r="H24" i="11" s="1"/>
  <c r="F76" i="8"/>
  <c r="E76" i="8"/>
  <c r="B76" i="8" s="1"/>
  <c r="D26" i="10" s="1"/>
  <c r="C24" i="11" s="1"/>
  <c r="D76" i="8"/>
  <c r="F26" i="10" s="1"/>
  <c r="E24" i="11" s="1"/>
  <c r="C76" i="8"/>
  <c r="G38" i="8"/>
  <c r="J11" i="10" s="1"/>
  <c r="H10" i="11" s="1"/>
  <c r="F38" i="8"/>
  <c r="I11" i="10" s="1"/>
  <c r="G10" i="11" s="1"/>
  <c r="E38" i="8"/>
  <c r="B38" i="8" s="1"/>
  <c r="D38" i="8"/>
  <c r="C38" i="8"/>
  <c r="E11" i="10" s="1"/>
  <c r="D10" i="11" s="1"/>
  <c r="H7" i="8"/>
  <c r="G472" i="4"/>
  <c r="H164" i="11" s="1"/>
  <c r="F472" i="4"/>
  <c r="I233" i="10" s="1"/>
  <c r="G164" i="11" s="1"/>
  <c r="E472" i="4"/>
  <c r="B472" i="4" s="1"/>
  <c r="D472" i="4"/>
  <c r="E164" i="11" s="1"/>
  <c r="C472" i="4"/>
  <c r="H150" i="11"/>
  <c r="I218" i="10"/>
  <c r="G150" i="11" s="1"/>
  <c r="G393" i="4"/>
  <c r="F393" i="4"/>
  <c r="E393" i="4"/>
  <c r="B393" i="4" s="1"/>
  <c r="D393" i="4"/>
  <c r="C393" i="4"/>
  <c r="G353" i="4"/>
  <c r="J173" i="10" s="1"/>
  <c r="H122" i="11" s="1"/>
  <c r="F353" i="4"/>
  <c r="I173" i="10" s="1"/>
  <c r="G122" i="11" s="1"/>
  <c r="E353" i="4"/>
  <c r="B353" i="4" s="1"/>
  <c r="D173" i="10" s="1"/>
  <c r="C122" i="11" s="1"/>
  <c r="D353" i="4"/>
  <c r="F173" i="10" s="1"/>
  <c r="E122" i="11" s="1"/>
  <c r="C353" i="4"/>
  <c r="E173" i="10" s="1"/>
  <c r="D122" i="11" s="1"/>
  <c r="G314" i="4"/>
  <c r="J158" i="10" s="1"/>
  <c r="H108" i="11" s="1"/>
  <c r="F314" i="4"/>
  <c r="E314" i="4"/>
  <c r="B314" i="4" s="1"/>
  <c r="D158" i="10" s="1"/>
  <c r="C108" i="11" s="1"/>
  <c r="D314" i="4"/>
  <c r="F158" i="10" s="1"/>
  <c r="E108" i="11" s="1"/>
  <c r="C314" i="4"/>
  <c r="E158" i="10" s="1"/>
  <c r="D108" i="11" s="1"/>
  <c r="G274" i="4"/>
  <c r="J143" i="10" s="1"/>
  <c r="F274" i="4"/>
  <c r="I143" i="10" s="1"/>
  <c r="E274" i="4"/>
  <c r="B274" i="4" s="1"/>
  <c r="D143" i="10" s="1"/>
  <c r="C94" i="11" s="1"/>
  <c r="D274" i="4"/>
  <c r="F143" i="10" s="1"/>
  <c r="C274" i="4"/>
  <c r="E143" i="10" s="1"/>
  <c r="G234" i="4"/>
  <c r="J98" i="10" s="1"/>
  <c r="F234" i="4"/>
  <c r="I98" i="10" s="1"/>
  <c r="G80" i="11" s="1"/>
  <c r="E234" i="4"/>
  <c r="G98" i="10" s="1"/>
  <c r="G104" i="10" s="1"/>
  <c r="D234" i="4"/>
  <c r="F98" i="10" s="1"/>
  <c r="E80" i="11" s="1"/>
  <c r="C234" i="4"/>
  <c r="E98" i="10" s="1"/>
  <c r="D80" i="11" s="1"/>
  <c r="G195" i="4"/>
  <c r="J83" i="10" s="1"/>
  <c r="H66" i="11" s="1"/>
  <c r="F195" i="4"/>
  <c r="I83" i="10" s="1"/>
  <c r="E195" i="4"/>
  <c r="G83" i="10" s="1"/>
  <c r="D195" i="4"/>
  <c r="F83" i="10" s="1"/>
  <c r="E66" i="11" s="1"/>
  <c r="C195" i="4"/>
  <c r="E83" i="10" s="1"/>
  <c r="G155" i="4"/>
  <c r="J68" i="10" s="1"/>
  <c r="F155" i="4"/>
  <c r="E155" i="4"/>
  <c r="B155" i="4" s="1"/>
  <c r="D68" i="10" s="1"/>
  <c r="C52" i="11" s="1"/>
  <c r="D155" i="4"/>
  <c r="F68" i="10" s="1"/>
  <c r="C155" i="4"/>
  <c r="E68" i="10" s="1"/>
  <c r="D52" i="11" s="1"/>
  <c r="G116" i="4"/>
  <c r="J38" i="10" s="1"/>
  <c r="H36" i="11" s="1"/>
  <c r="F116" i="4"/>
  <c r="E116" i="4"/>
  <c r="B116" i="4" s="1"/>
  <c r="D38" i="10" s="1"/>
  <c r="D116" i="4"/>
  <c r="F38" i="10" s="1"/>
  <c r="E36" i="11" s="1"/>
  <c r="C116" i="4"/>
  <c r="E38" i="10" s="1"/>
  <c r="D36" i="11" s="1"/>
  <c r="G76" i="4"/>
  <c r="J23" i="10" s="1"/>
  <c r="H22" i="11" s="1"/>
  <c r="F76" i="4"/>
  <c r="I23" i="10" s="1"/>
  <c r="E76" i="4"/>
  <c r="B76" i="4" s="1"/>
  <c r="D23" i="10" s="1"/>
  <c r="C22" i="11" s="1"/>
  <c r="D76" i="4"/>
  <c r="F23" i="10" s="1"/>
  <c r="E22" i="11" s="1"/>
  <c r="C76" i="4"/>
  <c r="E23" i="10" s="1"/>
  <c r="G38" i="4"/>
  <c r="J8" i="10" s="1"/>
  <c r="H8" i="11" s="1"/>
  <c r="F38" i="4"/>
  <c r="I8" i="10" s="1"/>
  <c r="E38" i="4"/>
  <c r="B38" i="4" s="1"/>
  <c r="D8" i="10" s="1"/>
  <c r="C8" i="11" s="1"/>
  <c r="D38" i="4"/>
  <c r="F8" i="10" s="1"/>
  <c r="C38" i="4"/>
  <c r="E8" i="10" s="1"/>
  <c r="H7" i="4"/>
  <c r="G472" i="9"/>
  <c r="J237" i="10" s="1"/>
  <c r="H167" i="11" s="1"/>
  <c r="F472" i="9"/>
  <c r="E472" i="9"/>
  <c r="D472" i="9"/>
  <c r="F237" i="10" s="1"/>
  <c r="E167" i="11" s="1"/>
  <c r="C472" i="9"/>
  <c r="E237" i="10" s="1"/>
  <c r="D167" i="11" s="1"/>
  <c r="G432" i="9"/>
  <c r="F432" i="9"/>
  <c r="I222" i="10" s="1"/>
  <c r="G153" i="11" s="1"/>
  <c r="E432" i="9"/>
  <c r="B432" i="9" s="1"/>
  <c r="D222" i="10" s="1"/>
  <c r="C153" i="11" s="1"/>
  <c r="D432" i="9"/>
  <c r="F222" i="10" s="1"/>
  <c r="E153" i="11" s="1"/>
  <c r="C432" i="9"/>
  <c r="E222" i="10" s="1"/>
  <c r="D153" i="11" s="1"/>
  <c r="G393" i="9"/>
  <c r="J207" i="10" s="1"/>
  <c r="H139" i="11" s="1"/>
  <c r="F393" i="9"/>
  <c r="I207" i="10" s="1"/>
  <c r="G139" i="11" s="1"/>
  <c r="E393" i="9"/>
  <c r="B393" i="9" s="1"/>
  <c r="D207" i="10" s="1"/>
  <c r="C139" i="11" s="1"/>
  <c r="D393" i="9"/>
  <c r="F207" i="10" s="1"/>
  <c r="C393" i="9"/>
  <c r="E207" i="10" s="1"/>
  <c r="D139" i="11" s="1"/>
  <c r="G353" i="9"/>
  <c r="J177" i="10" s="1"/>
  <c r="H125" i="11" s="1"/>
  <c r="F353" i="9"/>
  <c r="I177" i="10" s="1"/>
  <c r="G125" i="11" s="1"/>
  <c r="E353" i="9"/>
  <c r="B353" i="9" s="1"/>
  <c r="D177" i="10" s="1"/>
  <c r="C125" i="11" s="1"/>
  <c r="D353" i="9"/>
  <c r="C353" i="9"/>
  <c r="E177" i="10" s="1"/>
  <c r="D125" i="11" s="1"/>
  <c r="G314" i="9"/>
  <c r="J162" i="10" s="1"/>
  <c r="H111" i="11" s="1"/>
  <c r="F314" i="9"/>
  <c r="E314" i="9"/>
  <c r="B314" i="9" s="1"/>
  <c r="D162" i="10" s="1"/>
  <c r="C111" i="11" s="1"/>
  <c r="D314" i="9"/>
  <c r="C314" i="9"/>
  <c r="E162" i="10" s="1"/>
  <c r="D111" i="11" s="1"/>
  <c r="G274" i="9"/>
  <c r="F274" i="9"/>
  <c r="E274" i="9"/>
  <c r="B274" i="9" s="1"/>
  <c r="D147" i="10" s="1"/>
  <c r="C97" i="11" s="1"/>
  <c r="D274" i="9"/>
  <c r="F147" i="10" s="1"/>
  <c r="C274" i="9"/>
  <c r="E147" i="10" s="1"/>
  <c r="G234" i="9"/>
  <c r="F234" i="9"/>
  <c r="E234" i="9"/>
  <c r="B234" i="9" s="1"/>
  <c r="D102" i="10" s="1"/>
  <c r="C83" i="11" s="1"/>
  <c r="D234" i="9"/>
  <c r="C234" i="9"/>
  <c r="E102" i="10" s="1"/>
  <c r="D83" i="11" s="1"/>
  <c r="G195" i="9"/>
  <c r="J87" i="10" s="1"/>
  <c r="H69" i="11" s="1"/>
  <c r="F195" i="9"/>
  <c r="I87" i="10" s="1"/>
  <c r="G69" i="11" s="1"/>
  <c r="E195" i="9"/>
  <c r="B195" i="9" s="1"/>
  <c r="D87" i="10" s="1"/>
  <c r="C69" i="11" s="1"/>
  <c r="D195" i="9"/>
  <c r="F87" i="10" s="1"/>
  <c r="E69" i="11" s="1"/>
  <c r="C195" i="9"/>
  <c r="E87" i="10" s="1"/>
  <c r="G155" i="9"/>
  <c r="J72" i="10" s="1"/>
  <c r="F155" i="9"/>
  <c r="I72" i="10" s="1"/>
  <c r="G55" i="11" s="1"/>
  <c r="E155" i="9"/>
  <c r="B155" i="9" s="1"/>
  <c r="D72" i="10" s="1"/>
  <c r="C55" i="11" s="1"/>
  <c r="D155" i="9"/>
  <c r="F72" i="10" s="1"/>
  <c r="C155" i="9"/>
  <c r="E72" i="10" s="1"/>
  <c r="D55" i="11" s="1"/>
  <c r="G116" i="9"/>
  <c r="F116" i="9"/>
  <c r="I42" i="10" s="1"/>
  <c r="G39" i="11" s="1"/>
  <c r="E116" i="9"/>
  <c r="B116" i="9" s="1"/>
  <c r="D42" i="10" s="1"/>
  <c r="C39" i="11" s="1"/>
  <c r="D116" i="9"/>
  <c r="F42" i="10" s="1"/>
  <c r="E39" i="11" s="1"/>
  <c r="C116" i="9"/>
  <c r="E42" i="10" s="1"/>
  <c r="D39" i="11" s="1"/>
  <c r="G76" i="9"/>
  <c r="J27" i="10" s="1"/>
  <c r="H25" i="11" s="1"/>
  <c r="F76" i="9"/>
  <c r="I27" i="10" s="1"/>
  <c r="G25" i="11" s="1"/>
  <c r="E76" i="9"/>
  <c r="B76" i="9" s="1"/>
  <c r="D27" i="10" s="1"/>
  <c r="C25" i="11" s="1"/>
  <c r="D76" i="9"/>
  <c r="F27" i="10" s="1"/>
  <c r="E25" i="11" s="1"/>
  <c r="C76" i="9"/>
  <c r="E27" i="10" s="1"/>
  <c r="G38" i="9"/>
  <c r="J12" i="10" s="1"/>
  <c r="F38" i="9"/>
  <c r="E38" i="9"/>
  <c r="D38" i="9"/>
  <c r="F12" i="10" s="1"/>
  <c r="E11" i="11" s="1"/>
  <c r="C38" i="9"/>
  <c r="E12" i="10" s="1"/>
  <c r="B38" i="9"/>
  <c r="D12" i="10" s="1"/>
  <c r="C11" i="11" s="1"/>
  <c r="H7" i="9"/>
  <c r="G472" i="7"/>
  <c r="J235" i="10" s="1"/>
  <c r="F472" i="7"/>
  <c r="I235" i="10" s="1"/>
  <c r="E472" i="7"/>
  <c r="B472" i="7" s="1"/>
  <c r="D235" i="10" s="1"/>
  <c r="D472" i="7"/>
  <c r="F235" i="10" s="1"/>
  <c r="C472" i="7"/>
  <c r="E235" i="10" s="1"/>
  <c r="G432" i="7"/>
  <c r="J220" i="10" s="1"/>
  <c r="F432" i="7"/>
  <c r="I220" i="10" s="1"/>
  <c r="E432" i="7"/>
  <c r="B432" i="7" s="1"/>
  <c r="D220" i="10" s="1"/>
  <c r="D432" i="7"/>
  <c r="F220" i="10" s="1"/>
  <c r="C432" i="7"/>
  <c r="E220" i="10" s="1"/>
  <c r="G393" i="7"/>
  <c r="F393" i="7"/>
  <c r="I205" i="10" s="1"/>
  <c r="E393" i="7"/>
  <c r="B393" i="7" s="1"/>
  <c r="D205" i="10" s="1"/>
  <c r="D393" i="7"/>
  <c r="F205" i="10" s="1"/>
  <c r="P205" i="10" s="1"/>
  <c r="C393" i="7"/>
  <c r="E205" i="10" s="1"/>
  <c r="G353" i="7"/>
  <c r="J175" i="10" s="1"/>
  <c r="F353" i="7"/>
  <c r="I175" i="10" s="1"/>
  <c r="E353" i="7"/>
  <c r="B353" i="7" s="1"/>
  <c r="D175" i="10" s="1"/>
  <c r="D353" i="7"/>
  <c r="C353" i="7"/>
  <c r="E175" i="10" s="1"/>
  <c r="G314" i="7"/>
  <c r="J160" i="10" s="1"/>
  <c r="F314" i="7"/>
  <c r="I160" i="10" s="1"/>
  <c r="E314" i="7"/>
  <c r="D314" i="7"/>
  <c r="C314" i="7"/>
  <c r="E160" i="10" s="1"/>
  <c r="B314" i="7"/>
  <c r="D160" i="10" s="1"/>
  <c r="G274" i="7"/>
  <c r="J145" i="10" s="1"/>
  <c r="F274" i="7"/>
  <c r="I145" i="10" s="1"/>
  <c r="E274" i="7"/>
  <c r="B274" i="7" s="1"/>
  <c r="D145" i="10" s="1"/>
  <c r="D274" i="7"/>
  <c r="F145" i="10" s="1"/>
  <c r="C274" i="7"/>
  <c r="E145" i="10" s="1"/>
  <c r="G234" i="7"/>
  <c r="J100" i="10" s="1"/>
  <c r="F234" i="7"/>
  <c r="I100" i="10" s="1"/>
  <c r="E234" i="7"/>
  <c r="B234" i="7" s="1"/>
  <c r="D100" i="10" s="1"/>
  <c r="D234" i="7"/>
  <c r="C234" i="7"/>
  <c r="E100" i="10" s="1"/>
  <c r="G195" i="7"/>
  <c r="J85" i="10" s="1"/>
  <c r="F195" i="7"/>
  <c r="I85" i="10" s="1"/>
  <c r="E195" i="7"/>
  <c r="D195" i="7"/>
  <c r="C195" i="7"/>
  <c r="E85" i="10" s="1"/>
  <c r="B195" i="7"/>
  <c r="D85" i="10" s="1"/>
  <c r="G155" i="7"/>
  <c r="J70" i="10" s="1"/>
  <c r="F155" i="7"/>
  <c r="I70" i="10" s="1"/>
  <c r="E155" i="7"/>
  <c r="B155" i="7" s="1"/>
  <c r="D70" i="10" s="1"/>
  <c r="D155" i="7"/>
  <c r="F70" i="10" s="1"/>
  <c r="C155" i="7"/>
  <c r="E70" i="10" s="1"/>
  <c r="G116" i="7"/>
  <c r="J40" i="10" s="1"/>
  <c r="F116" i="7"/>
  <c r="I40" i="10" s="1"/>
  <c r="E116" i="7"/>
  <c r="B116" i="7" s="1"/>
  <c r="D40" i="10" s="1"/>
  <c r="D116" i="7"/>
  <c r="F40" i="10" s="1"/>
  <c r="C116" i="7"/>
  <c r="E40" i="10" s="1"/>
  <c r="G76" i="7"/>
  <c r="J25" i="10" s="1"/>
  <c r="F76" i="7"/>
  <c r="I25" i="10" s="1"/>
  <c r="E76" i="7"/>
  <c r="B76" i="7" s="1"/>
  <c r="D25" i="10" s="1"/>
  <c r="D76" i="7"/>
  <c r="F25" i="10" s="1"/>
  <c r="C76" i="7"/>
  <c r="E25" i="10" s="1"/>
  <c r="G38" i="7"/>
  <c r="J10" i="10" s="1"/>
  <c r="F38" i="7"/>
  <c r="E38" i="7"/>
  <c r="B38" i="7" s="1"/>
  <c r="D10" i="10" s="1"/>
  <c r="D38" i="7"/>
  <c r="C38" i="7"/>
  <c r="E10" i="10" s="1"/>
  <c r="H7" i="7"/>
  <c r="G472" i="5"/>
  <c r="F472" i="5"/>
  <c r="I234" i="10" s="1"/>
  <c r="E472" i="5"/>
  <c r="B472" i="5" s="1"/>
  <c r="D234" i="10" s="1"/>
  <c r="D472" i="5"/>
  <c r="C472" i="5"/>
  <c r="E234" i="10" s="1"/>
  <c r="G432" i="5"/>
  <c r="J219" i="10" s="1"/>
  <c r="F432" i="5"/>
  <c r="I219" i="10" s="1"/>
  <c r="E432" i="5"/>
  <c r="G219" i="10" s="1"/>
  <c r="D432" i="5"/>
  <c r="F219" i="10" s="1"/>
  <c r="C432" i="5"/>
  <c r="E219" i="10" s="1"/>
  <c r="B432" i="5"/>
  <c r="D219" i="10" s="1"/>
  <c r="G393" i="5"/>
  <c r="J204" i="10" s="1"/>
  <c r="F393" i="5"/>
  <c r="I204" i="10" s="1"/>
  <c r="E393" i="5"/>
  <c r="D393" i="5"/>
  <c r="C393" i="5"/>
  <c r="E204" i="10" s="1"/>
  <c r="G353" i="5"/>
  <c r="J174" i="10" s="1"/>
  <c r="F353" i="5"/>
  <c r="I174" i="10" s="1"/>
  <c r="E353" i="5"/>
  <c r="B353" i="5" s="1"/>
  <c r="D174" i="10" s="1"/>
  <c r="D353" i="5"/>
  <c r="F174" i="10" s="1"/>
  <c r="C353" i="5"/>
  <c r="E174" i="10" s="1"/>
  <c r="G314" i="5"/>
  <c r="J159" i="10" s="1"/>
  <c r="F314" i="5"/>
  <c r="I159" i="10" s="1"/>
  <c r="E314" i="5"/>
  <c r="B314" i="5" s="1"/>
  <c r="D159" i="10" s="1"/>
  <c r="D314" i="5"/>
  <c r="F159" i="10" s="1"/>
  <c r="C314" i="5"/>
  <c r="E159" i="10" s="1"/>
  <c r="G274" i="5"/>
  <c r="J144" i="10" s="1"/>
  <c r="F274" i="5"/>
  <c r="I144" i="10" s="1"/>
  <c r="E274" i="5"/>
  <c r="B274" i="5" s="1"/>
  <c r="D144" i="10" s="1"/>
  <c r="D274" i="5"/>
  <c r="F144" i="10" s="1"/>
  <c r="C274" i="5"/>
  <c r="E144" i="10" s="1"/>
  <c r="G234" i="5"/>
  <c r="J99" i="10" s="1"/>
  <c r="F234" i="5"/>
  <c r="I99" i="10" s="1"/>
  <c r="E234" i="5"/>
  <c r="B234" i="5" s="1"/>
  <c r="D99" i="10" s="1"/>
  <c r="D234" i="5"/>
  <c r="F99" i="10" s="1"/>
  <c r="C234" i="5"/>
  <c r="E99" i="10" s="1"/>
  <c r="G195" i="5"/>
  <c r="J84" i="10" s="1"/>
  <c r="F195" i="5"/>
  <c r="I84" i="10" s="1"/>
  <c r="E195" i="5"/>
  <c r="B195" i="5" s="1"/>
  <c r="D84" i="10" s="1"/>
  <c r="D195" i="5"/>
  <c r="C195" i="5"/>
  <c r="E84" i="10" s="1"/>
  <c r="G155" i="5"/>
  <c r="J69" i="10" s="1"/>
  <c r="F155" i="5"/>
  <c r="I69" i="10" s="1"/>
  <c r="E155" i="5"/>
  <c r="B155" i="5" s="1"/>
  <c r="D69" i="10" s="1"/>
  <c r="D155" i="5"/>
  <c r="F69" i="10" s="1"/>
  <c r="C155" i="5"/>
  <c r="E69" i="10" s="1"/>
  <c r="G116" i="5"/>
  <c r="J39" i="10" s="1"/>
  <c r="F116" i="5"/>
  <c r="I39" i="10" s="1"/>
  <c r="E116" i="5"/>
  <c r="D116" i="5"/>
  <c r="F39" i="10" s="1"/>
  <c r="C116" i="5"/>
  <c r="E39" i="10" s="1"/>
  <c r="B116" i="5"/>
  <c r="D39" i="10" s="1"/>
  <c r="G76" i="5"/>
  <c r="J24" i="10" s="1"/>
  <c r="F76" i="5"/>
  <c r="I24" i="10" s="1"/>
  <c r="E76" i="5"/>
  <c r="B76" i="5" s="1"/>
  <c r="D24" i="10" s="1"/>
  <c r="D76" i="5"/>
  <c r="F24" i="10" s="1"/>
  <c r="C76" i="5"/>
  <c r="E24" i="10" s="1"/>
  <c r="G38" i="5"/>
  <c r="J9" i="10" s="1"/>
  <c r="F38" i="5"/>
  <c r="I9" i="10" s="1"/>
  <c r="E38" i="5"/>
  <c r="B38" i="5" s="1"/>
  <c r="D9" i="10" s="1"/>
  <c r="D38" i="5"/>
  <c r="F9" i="10" s="1"/>
  <c r="C38" i="5"/>
  <c r="E9" i="10" s="1"/>
  <c r="H7" i="5"/>
  <c r="G472" i="6"/>
  <c r="J232" i="10" s="1"/>
  <c r="H163" i="11" s="1"/>
  <c r="F472" i="6"/>
  <c r="I232" i="10" s="1"/>
  <c r="G163" i="11" s="1"/>
  <c r="E472" i="6"/>
  <c r="B472" i="6" s="1"/>
  <c r="D232" i="10" s="1"/>
  <c r="C163" i="11" s="1"/>
  <c r="D472" i="6"/>
  <c r="F232" i="10" s="1"/>
  <c r="C472" i="6"/>
  <c r="E232" i="10" s="1"/>
  <c r="D163" i="11" s="1"/>
  <c r="G432" i="6"/>
  <c r="J217" i="10" s="1"/>
  <c r="H149" i="11" s="1"/>
  <c r="F432" i="6"/>
  <c r="I217" i="10" s="1"/>
  <c r="G149" i="11" s="1"/>
  <c r="E432" i="6"/>
  <c r="G217" i="10" s="1"/>
  <c r="D432" i="6"/>
  <c r="C432" i="6"/>
  <c r="E217" i="10" s="1"/>
  <c r="D149" i="11" s="1"/>
  <c r="G393" i="6"/>
  <c r="J202" i="10" s="1"/>
  <c r="H135" i="11" s="1"/>
  <c r="F393" i="6"/>
  <c r="I202" i="10" s="1"/>
  <c r="E393" i="6"/>
  <c r="D393" i="6"/>
  <c r="F202" i="10" s="1"/>
  <c r="E135" i="11" s="1"/>
  <c r="C393" i="6"/>
  <c r="E202" i="10" s="1"/>
  <c r="B393" i="6"/>
  <c r="G353" i="6"/>
  <c r="J172" i="10" s="1"/>
  <c r="H121" i="11" s="1"/>
  <c r="F353" i="6"/>
  <c r="I172" i="10" s="1"/>
  <c r="G121" i="11" s="1"/>
  <c r="E353" i="6"/>
  <c r="G172" i="10" s="1"/>
  <c r="D353" i="6"/>
  <c r="F172" i="10" s="1"/>
  <c r="E121" i="11" s="1"/>
  <c r="C353" i="6"/>
  <c r="E172" i="10" s="1"/>
  <c r="D121" i="11" s="1"/>
  <c r="G314" i="6"/>
  <c r="J157" i="10" s="1"/>
  <c r="H107" i="11" s="1"/>
  <c r="F314" i="6"/>
  <c r="I157" i="10" s="1"/>
  <c r="G107" i="11" s="1"/>
  <c r="E314" i="6"/>
  <c r="D314" i="6"/>
  <c r="C314" i="6"/>
  <c r="E157" i="10" s="1"/>
  <c r="D107" i="11" s="1"/>
  <c r="B314" i="6"/>
  <c r="D157" i="10" s="1"/>
  <c r="C107" i="11" s="1"/>
  <c r="G274" i="6"/>
  <c r="F274" i="6"/>
  <c r="E274" i="6"/>
  <c r="D274" i="6"/>
  <c r="F142" i="10" s="1"/>
  <c r="E93" i="11" s="1"/>
  <c r="C274" i="6"/>
  <c r="E142" i="10" s="1"/>
  <c r="G234" i="6"/>
  <c r="J97" i="10" s="1"/>
  <c r="H79" i="11" s="1"/>
  <c r="F234" i="6"/>
  <c r="I97" i="10" s="1"/>
  <c r="G79" i="11" s="1"/>
  <c r="E234" i="6"/>
  <c r="G97" i="10" s="1"/>
  <c r="D234" i="6"/>
  <c r="C234" i="6"/>
  <c r="E97" i="10" s="1"/>
  <c r="D79" i="11" s="1"/>
  <c r="G195" i="6"/>
  <c r="J82" i="10" s="1"/>
  <c r="H65" i="11" s="1"/>
  <c r="F195" i="6"/>
  <c r="I82" i="10" s="1"/>
  <c r="G65" i="11" s="1"/>
  <c r="E195" i="6"/>
  <c r="B195" i="6" s="1"/>
  <c r="D82" i="10" s="1"/>
  <c r="C65" i="11" s="1"/>
  <c r="D195" i="6"/>
  <c r="F82" i="10" s="1"/>
  <c r="E65" i="11" s="1"/>
  <c r="C195" i="6"/>
  <c r="E82" i="10" s="1"/>
  <c r="D65" i="11" s="1"/>
  <c r="G155" i="6"/>
  <c r="J67" i="10" s="1"/>
  <c r="H51" i="11" s="1"/>
  <c r="F155" i="6"/>
  <c r="I67" i="10" s="1"/>
  <c r="G51" i="11" s="1"/>
  <c r="E155" i="6"/>
  <c r="B155" i="6" s="1"/>
  <c r="D67" i="10" s="1"/>
  <c r="D155" i="6"/>
  <c r="F67" i="10" s="1"/>
  <c r="C155" i="6"/>
  <c r="E67" i="10" s="1"/>
  <c r="D51" i="11" s="1"/>
  <c r="G116" i="6"/>
  <c r="F116" i="6"/>
  <c r="I37" i="10" s="1"/>
  <c r="G35" i="11" s="1"/>
  <c r="E116" i="6"/>
  <c r="B116" i="6" s="1"/>
  <c r="D37" i="10" s="1"/>
  <c r="C35" i="11" s="1"/>
  <c r="D116" i="6"/>
  <c r="F37" i="10" s="1"/>
  <c r="C116" i="6"/>
  <c r="E37" i="10" s="1"/>
  <c r="D35" i="11" s="1"/>
  <c r="G76" i="6"/>
  <c r="J22" i="10" s="1"/>
  <c r="H21" i="11" s="1"/>
  <c r="F76" i="6"/>
  <c r="I22" i="10" s="1"/>
  <c r="G21" i="11" s="1"/>
  <c r="E76" i="6"/>
  <c r="B76" i="6" s="1"/>
  <c r="D22" i="10" s="1"/>
  <c r="D76" i="6"/>
  <c r="C76" i="6"/>
  <c r="E22" i="10" s="1"/>
  <c r="D21" i="11" s="1"/>
  <c r="G38" i="6"/>
  <c r="J7" i="10" s="1"/>
  <c r="H7" i="11" s="1"/>
  <c r="F38" i="6"/>
  <c r="I7" i="10" s="1"/>
  <c r="G7" i="11" s="1"/>
  <c r="E38" i="6"/>
  <c r="B38" i="6" s="1"/>
  <c r="D7" i="10" s="1"/>
  <c r="C7" i="11" s="1"/>
  <c r="D38" i="6"/>
  <c r="F7" i="10" s="1"/>
  <c r="E7" i="11" s="1"/>
  <c r="C38" i="6"/>
  <c r="E7" i="10" s="1"/>
  <c r="H7" i="6"/>
  <c r="G472" i="2"/>
  <c r="J230" i="10" s="1"/>
  <c r="H161" i="11" s="1"/>
  <c r="F472" i="2"/>
  <c r="I230" i="10" s="1"/>
  <c r="G161" i="11" s="1"/>
  <c r="E472" i="2"/>
  <c r="B472" i="2" s="1"/>
  <c r="D230" i="10" s="1"/>
  <c r="C161" i="11" s="1"/>
  <c r="D472" i="2"/>
  <c r="F230" i="10" s="1"/>
  <c r="C472" i="2"/>
  <c r="E230" i="10" s="1"/>
  <c r="D161" i="11" s="1"/>
  <c r="G432" i="2"/>
  <c r="J215" i="10" s="1"/>
  <c r="H147" i="11" s="1"/>
  <c r="F432" i="2"/>
  <c r="I215" i="10" s="1"/>
  <c r="G147" i="11" s="1"/>
  <c r="E432" i="2"/>
  <c r="B432" i="2" s="1"/>
  <c r="D215" i="10" s="1"/>
  <c r="C147" i="11" s="1"/>
  <c r="D432" i="2"/>
  <c r="F215" i="10" s="1"/>
  <c r="C432" i="2"/>
  <c r="E215" i="10" s="1"/>
  <c r="D147" i="11" s="1"/>
  <c r="G393" i="2"/>
  <c r="J200" i="10" s="1"/>
  <c r="H133" i="11" s="1"/>
  <c r="F393" i="2"/>
  <c r="I200" i="10" s="1"/>
  <c r="G133" i="11" s="1"/>
  <c r="E393" i="2"/>
  <c r="B393" i="2" s="1"/>
  <c r="D200" i="10" s="1"/>
  <c r="D393" i="2"/>
  <c r="F200" i="10" s="1"/>
  <c r="C393" i="2"/>
  <c r="E200" i="10" s="1"/>
  <c r="D133" i="11" s="1"/>
  <c r="G353" i="2"/>
  <c r="J170" i="10" s="1"/>
  <c r="H119" i="11" s="1"/>
  <c r="F353" i="2"/>
  <c r="I170" i="10" s="1"/>
  <c r="G119" i="11" s="1"/>
  <c r="E353" i="2"/>
  <c r="B353" i="2" s="1"/>
  <c r="D170" i="10" s="1"/>
  <c r="C119" i="11" s="1"/>
  <c r="D353" i="2"/>
  <c r="C353" i="2"/>
  <c r="E170" i="10" s="1"/>
  <c r="D119" i="11" s="1"/>
  <c r="G314" i="2"/>
  <c r="F314" i="2"/>
  <c r="I155" i="10" s="1"/>
  <c r="G105" i="11" s="1"/>
  <c r="E314" i="2"/>
  <c r="B314" i="2" s="1"/>
  <c r="D155" i="10" s="1"/>
  <c r="C105" i="11" s="1"/>
  <c r="D314" i="2"/>
  <c r="F155" i="10" s="1"/>
  <c r="E105" i="11" s="1"/>
  <c r="C314" i="2"/>
  <c r="E155" i="10" s="1"/>
  <c r="D105" i="11" s="1"/>
  <c r="G274" i="2"/>
  <c r="J140" i="10" s="1"/>
  <c r="H91" i="11" s="1"/>
  <c r="F274" i="2"/>
  <c r="I140" i="10" s="1"/>
  <c r="E274" i="2"/>
  <c r="B274" i="2" s="1"/>
  <c r="D140" i="10" s="1"/>
  <c r="D274" i="2"/>
  <c r="F140" i="10" s="1"/>
  <c r="E91" i="11" s="1"/>
  <c r="C274" i="2"/>
  <c r="E140" i="10" s="1"/>
  <c r="G234" i="2"/>
  <c r="F234" i="2"/>
  <c r="I95" i="10" s="1"/>
  <c r="G77" i="11" s="1"/>
  <c r="E234" i="2"/>
  <c r="B234" i="2" s="1"/>
  <c r="D95" i="10" s="1"/>
  <c r="C77" i="11" s="1"/>
  <c r="D234" i="2"/>
  <c r="F95" i="10" s="1"/>
  <c r="C234" i="2"/>
  <c r="E95" i="10" s="1"/>
  <c r="D77" i="11" s="1"/>
  <c r="G195" i="2"/>
  <c r="J80" i="10" s="1"/>
  <c r="H63" i="11" s="1"/>
  <c r="F195" i="2"/>
  <c r="I80" i="10" s="1"/>
  <c r="G63" i="11" s="1"/>
  <c r="E195" i="2"/>
  <c r="D195" i="2"/>
  <c r="C195" i="2"/>
  <c r="E80" i="10" s="1"/>
  <c r="D63" i="11" s="1"/>
  <c r="G155" i="2"/>
  <c r="J65" i="10" s="1"/>
  <c r="H49" i="11" s="1"/>
  <c r="F155" i="2"/>
  <c r="I65" i="10" s="1"/>
  <c r="G49" i="11" s="1"/>
  <c r="E155" i="2"/>
  <c r="B155" i="2" s="1"/>
  <c r="D65" i="10" s="1"/>
  <c r="D155" i="2"/>
  <c r="F65" i="10" s="1"/>
  <c r="E49" i="11" s="1"/>
  <c r="C155" i="2"/>
  <c r="E65" i="10" s="1"/>
  <c r="G116" i="2"/>
  <c r="J35" i="10" s="1"/>
  <c r="H33" i="11" s="1"/>
  <c r="F116" i="2"/>
  <c r="I35" i="10" s="1"/>
  <c r="G33" i="11" s="1"/>
  <c r="E116" i="2"/>
  <c r="D116" i="2"/>
  <c r="F35" i="10" s="1"/>
  <c r="C116" i="2"/>
  <c r="E35" i="10" s="1"/>
  <c r="D33" i="11" s="1"/>
  <c r="G76" i="2"/>
  <c r="J20" i="10" s="1"/>
  <c r="H19" i="11" s="1"/>
  <c r="F76" i="2"/>
  <c r="I20" i="10" s="1"/>
  <c r="G19" i="11" s="1"/>
  <c r="E76" i="2"/>
  <c r="B76" i="2" s="1"/>
  <c r="D20" i="10" s="1"/>
  <c r="C19" i="11" s="1"/>
  <c r="D76" i="2"/>
  <c r="F20" i="10" s="1"/>
  <c r="C76" i="2"/>
  <c r="E20" i="10" s="1"/>
  <c r="D19" i="11" s="1"/>
  <c r="G38" i="2"/>
  <c r="J5" i="10" s="1"/>
  <c r="H5" i="11" s="1"/>
  <c r="F38" i="2"/>
  <c r="I5" i="10" s="1"/>
  <c r="G5" i="11" s="1"/>
  <c r="E38" i="2"/>
  <c r="B38" i="2" s="1"/>
  <c r="D5" i="10" s="1"/>
  <c r="C5" i="11" s="1"/>
  <c r="D38" i="2"/>
  <c r="F5" i="10" s="1"/>
  <c r="E5" i="11" s="1"/>
  <c r="C38" i="2"/>
  <c r="E5" i="10" s="1"/>
  <c r="H7" i="2"/>
  <c r="G472" i="3"/>
  <c r="J231" i="10" s="1"/>
  <c r="H162" i="11" s="1"/>
  <c r="F472" i="3"/>
  <c r="I231" i="10" s="1"/>
  <c r="G162" i="11" s="1"/>
  <c r="E472" i="3"/>
  <c r="B472" i="3" s="1"/>
  <c r="D231" i="10" s="1"/>
  <c r="C162" i="11" s="1"/>
  <c r="D472" i="3"/>
  <c r="F231" i="10" s="1"/>
  <c r="E162" i="11" s="1"/>
  <c r="C472" i="3"/>
  <c r="E231" i="10" s="1"/>
  <c r="D162" i="11" s="1"/>
  <c r="G432" i="3"/>
  <c r="J216" i="10" s="1"/>
  <c r="H148" i="11" s="1"/>
  <c r="F432" i="3"/>
  <c r="I216" i="10" s="1"/>
  <c r="G148" i="11" s="1"/>
  <c r="E432" i="3"/>
  <c r="B432" i="3" s="1"/>
  <c r="D216" i="10" s="1"/>
  <c r="C148" i="11" s="1"/>
  <c r="D432" i="3"/>
  <c r="F216" i="10" s="1"/>
  <c r="E148" i="11" s="1"/>
  <c r="C432" i="3"/>
  <c r="E216" i="10" s="1"/>
  <c r="D148" i="11" s="1"/>
  <c r="G393" i="3"/>
  <c r="J201" i="10" s="1"/>
  <c r="F393" i="3"/>
  <c r="I201" i="10" s="1"/>
  <c r="E393" i="3"/>
  <c r="B393" i="3" s="1"/>
  <c r="D201" i="10" s="1"/>
  <c r="C134" i="11" s="1"/>
  <c r="D393" i="3"/>
  <c r="F201" i="10" s="1"/>
  <c r="C393" i="3"/>
  <c r="E201" i="10" s="1"/>
  <c r="G353" i="3"/>
  <c r="J171" i="10" s="1"/>
  <c r="H120" i="11" s="1"/>
  <c r="F353" i="3"/>
  <c r="I171" i="10" s="1"/>
  <c r="G120" i="11" s="1"/>
  <c r="E353" i="3"/>
  <c r="B353" i="3" s="1"/>
  <c r="D171" i="10" s="1"/>
  <c r="C120" i="11" s="1"/>
  <c r="D353" i="3"/>
  <c r="F171" i="10" s="1"/>
  <c r="C353" i="3"/>
  <c r="E171" i="10" s="1"/>
  <c r="D120" i="11" s="1"/>
  <c r="G314" i="3"/>
  <c r="J156" i="10" s="1"/>
  <c r="H106" i="11" s="1"/>
  <c r="F314" i="3"/>
  <c r="I156" i="10" s="1"/>
  <c r="G106" i="11" s="1"/>
  <c r="E314" i="3"/>
  <c r="G156" i="10" s="1"/>
  <c r="D314" i="3"/>
  <c r="F156" i="10" s="1"/>
  <c r="E106" i="11" s="1"/>
  <c r="C314" i="3"/>
  <c r="E156" i="10" s="1"/>
  <c r="D106" i="11" s="1"/>
  <c r="G274" i="3"/>
  <c r="J141" i="10" s="1"/>
  <c r="F274" i="3"/>
  <c r="I141" i="10" s="1"/>
  <c r="E274" i="3"/>
  <c r="B274" i="3" s="1"/>
  <c r="D274" i="3"/>
  <c r="F141" i="10" s="1"/>
  <c r="C274" i="3"/>
  <c r="E141" i="10" s="1"/>
  <c r="G234" i="3"/>
  <c r="J96" i="10" s="1"/>
  <c r="H78" i="11" s="1"/>
  <c r="F234" i="3"/>
  <c r="I96" i="10" s="1"/>
  <c r="G78" i="11" s="1"/>
  <c r="E234" i="3"/>
  <c r="B234" i="3" s="1"/>
  <c r="D96" i="10" s="1"/>
  <c r="C78" i="11" s="1"/>
  <c r="D234" i="3"/>
  <c r="F96" i="10" s="1"/>
  <c r="E78" i="11" s="1"/>
  <c r="C234" i="3"/>
  <c r="E96" i="10" s="1"/>
  <c r="D78" i="11" s="1"/>
  <c r="G195" i="3"/>
  <c r="J81" i="10" s="1"/>
  <c r="H64" i="11" s="1"/>
  <c r="F195" i="3"/>
  <c r="I81" i="10" s="1"/>
  <c r="G64" i="11" s="1"/>
  <c r="E195" i="3"/>
  <c r="G81" i="10" s="1"/>
  <c r="D195" i="3"/>
  <c r="F81" i="10" s="1"/>
  <c r="E64" i="11" s="1"/>
  <c r="C195" i="3"/>
  <c r="E81" i="10" s="1"/>
  <c r="G155" i="3"/>
  <c r="J66" i="10" s="1"/>
  <c r="F155" i="3"/>
  <c r="I66" i="10" s="1"/>
  <c r="G50" i="11" s="1"/>
  <c r="E155" i="3"/>
  <c r="B155" i="3" s="1"/>
  <c r="D66" i="10" s="1"/>
  <c r="C50" i="11" s="1"/>
  <c r="D155" i="3"/>
  <c r="F66" i="10" s="1"/>
  <c r="C155" i="3"/>
  <c r="E66" i="10" s="1"/>
  <c r="D50" i="11" s="1"/>
  <c r="G116" i="3"/>
  <c r="J36" i="10" s="1"/>
  <c r="H34" i="11" s="1"/>
  <c r="F116" i="3"/>
  <c r="I36" i="10" s="1"/>
  <c r="G34" i="11" s="1"/>
  <c r="E116" i="3"/>
  <c r="B116" i="3" s="1"/>
  <c r="D36" i="10" s="1"/>
  <c r="C34" i="11" s="1"/>
  <c r="D116" i="3"/>
  <c r="F36" i="10" s="1"/>
  <c r="E34" i="11" s="1"/>
  <c r="C116" i="3"/>
  <c r="E36" i="10" s="1"/>
  <c r="D34" i="11" s="1"/>
  <c r="G76" i="3"/>
  <c r="J21" i="10" s="1"/>
  <c r="H20" i="11" s="1"/>
  <c r="F76" i="3"/>
  <c r="I21" i="10" s="1"/>
  <c r="G20" i="11" s="1"/>
  <c r="E76" i="3"/>
  <c r="D76" i="3"/>
  <c r="F21" i="10" s="1"/>
  <c r="E20" i="11" s="1"/>
  <c r="C76" i="3"/>
  <c r="E21" i="10" s="1"/>
  <c r="G38" i="3"/>
  <c r="J6" i="10" s="1"/>
  <c r="H6" i="11" s="1"/>
  <c r="F38" i="3"/>
  <c r="I6" i="10" s="1"/>
  <c r="E38" i="3"/>
  <c r="B38" i="3" s="1"/>
  <c r="D6" i="10" s="1"/>
  <c r="C6" i="11" s="1"/>
  <c r="D38" i="3"/>
  <c r="F6" i="10" s="1"/>
  <c r="C38" i="3"/>
  <c r="E6" i="10" s="1"/>
  <c r="H7" i="3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G472" i="1"/>
  <c r="J229" i="10" s="1"/>
  <c r="H160" i="11" s="1"/>
  <c r="F472" i="1"/>
  <c r="I229" i="10" s="1"/>
  <c r="G160" i="11" s="1"/>
  <c r="E472" i="1"/>
  <c r="B472" i="1" s="1"/>
  <c r="D229" i="10" s="1"/>
  <c r="C160" i="11" s="1"/>
  <c r="D472" i="1"/>
  <c r="F229" i="10" s="1"/>
  <c r="E160" i="11" s="1"/>
  <c r="C472" i="1"/>
  <c r="E229" i="10" s="1"/>
  <c r="D160" i="11" s="1"/>
  <c r="G432" i="1"/>
  <c r="J214" i="10" s="1"/>
  <c r="H146" i="11" s="1"/>
  <c r="F432" i="1"/>
  <c r="I214" i="10" s="1"/>
  <c r="G146" i="11" s="1"/>
  <c r="E432" i="1"/>
  <c r="B432" i="1" s="1"/>
  <c r="D214" i="10" s="1"/>
  <c r="C146" i="11" s="1"/>
  <c r="D432" i="1"/>
  <c r="F214" i="10" s="1"/>
  <c r="E146" i="11" s="1"/>
  <c r="C432" i="1"/>
  <c r="E214" i="10" s="1"/>
  <c r="D146" i="11" s="1"/>
  <c r="G393" i="1"/>
  <c r="J199" i="10" s="1"/>
  <c r="F393" i="1"/>
  <c r="I199" i="10" s="1"/>
  <c r="E393" i="1"/>
  <c r="B393" i="1" s="1"/>
  <c r="D199" i="10" s="1"/>
  <c r="C132" i="11" s="1"/>
  <c r="D393" i="1"/>
  <c r="F199" i="10" s="1"/>
  <c r="C393" i="1"/>
  <c r="E199" i="10" s="1"/>
  <c r="G353" i="1"/>
  <c r="J169" i="10" s="1"/>
  <c r="H118" i="11" s="1"/>
  <c r="F353" i="1"/>
  <c r="I169" i="10" s="1"/>
  <c r="G118" i="11" s="1"/>
  <c r="E353" i="1"/>
  <c r="B353" i="1" s="1"/>
  <c r="D169" i="10" s="1"/>
  <c r="C118" i="11" s="1"/>
  <c r="D353" i="1"/>
  <c r="F169" i="10" s="1"/>
  <c r="E118" i="11" s="1"/>
  <c r="C353" i="1"/>
  <c r="E169" i="10" s="1"/>
  <c r="G314" i="1"/>
  <c r="J154" i="10" s="1"/>
  <c r="H104" i="11" s="1"/>
  <c r="F314" i="1"/>
  <c r="I154" i="10" s="1"/>
  <c r="G104" i="11" s="1"/>
  <c r="E314" i="1"/>
  <c r="B314" i="1" s="1"/>
  <c r="D154" i="10" s="1"/>
  <c r="C104" i="11" s="1"/>
  <c r="D314" i="1"/>
  <c r="F154" i="10" s="1"/>
  <c r="E104" i="11" s="1"/>
  <c r="C314" i="1"/>
  <c r="E154" i="10" s="1"/>
  <c r="D104" i="11" s="1"/>
  <c r="G274" i="1"/>
  <c r="J139" i="10" s="1"/>
  <c r="F274" i="1"/>
  <c r="I139" i="10" s="1"/>
  <c r="E274" i="1"/>
  <c r="B274" i="1" s="1"/>
  <c r="D139" i="10" s="1"/>
  <c r="C90" i="11" s="1"/>
  <c r="D274" i="1"/>
  <c r="C274" i="1"/>
  <c r="E139" i="10" s="1"/>
  <c r="G234" i="1"/>
  <c r="F234" i="1"/>
  <c r="I94" i="10" s="1"/>
  <c r="E234" i="1"/>
  <c r="B234" i="1" s="1"/>
  <c r="D94" i="10" s="1"/>
  <c r="D234" i="1"/>
  <c r="F94" i="10" s="1"/>
  <c r="E76" i="11" s="1"/>
  <c r="C234" i="1"/>
  <c r="E94" i="10" s="1"/>
  <c r="D76" i="11" s="1"/>
  <c r="G195" i="1"/>
  <c r="J79" i="10" s="1"/>
  <c r="H62" i="11" s="1"/>
  <c r="F195" i="1"/>
  <c r="I79" i="10" s="1"/>
  <c r="E195" i="1"/>
  <c r="B195" i="1" s="1"/>
  <c r="D79" i="10" s="1"/>
  <c r="C62" i="11" s="1"/>
  <c r="D195" i="1"/>
  <c r="F79" i="10" s="1"/>
  <c r="E62" i="11" s="1"/>
  <c r="C195" i="1"/>
  <c r="E79" i="10" s="1"/>
  <c r="G155" i="1"/>
  <c r="J64" i="10" s="1"/>
  <c r="F155" i="1"/>
  <c r="I64" i="10" s="1"/>
  <c r="G48" i="11" s="1"/>
  <c r="E155" i="1"/>
  <c r="G64" i="10" s="1"/>
  <c r="D155" i="1"/>
  <c r="F64" i="10" s="1"/>
  <c r="C155" i="1"/>
  <c r="E64" i="10" s="1"/>
  <c r="D48" i="11" s="1"/>
  <c r="G116" i="1"/>
  <c r="J34" i="10" s="1"/>
  <c r="H32" i="11" s="1"/>
  <c r="F116" i="1"/>
  <c r="I34" i="10" s="1"/>
  <c r="G32" i="11" s="1"/>
  <c r="E116" i="1"/>
  <c r="G34" i="10" s="1"/>
  <c r="D116" i="1"/>
  <c r="F34" i="10" s="1"/>
  <c r="E32" i="11" s="1"/>
  <c r="C116" i="1"/>
  <c r="E34" i="10" s="1"/>
  <c r="D32" i="11" s="1"/>
  <c r="G76" i="1"/>
  <c r="J19" i="10" s="1"/>
  <c r="H18" i="11" s="1"/>
  <c r="F76" i="1"/>
  <c r="I19" i="10" s="1"/>
  <c r="G18" i="11" s="1"/>
  <c r="E76" i="1"/>
  <c r="B76" i="1" s="1"/>
  <c r="D19" i="10" s="1"/>
  <c r="D76" i="1"/>
  <c r="F19" i="10" s="1"/>
  <c r="E18" i="11" s="1"/>
  <c r="C76" i="1"/>
  <c r="E19" i="10" s="1"/>
  <c r="D18" i="11" s="1"/>
  <c r="G38" i="1"/>
  <c r="J4" i="10" s="1"/>
  <c r="F38" i="1"/>
  <c r="I4" i="10" s="1"/>
  <c r="E38" i="1"/>
  <c r="D38" i="1"/>
  <c r="F4" i="10" s="1"/>
  <c r="E4" i="11" s="1"/>
  <c r="C38" i="1"/>
  <c r="E4" i="10" s="1"/>
  <c r="B38" i="1"/>
  <c r="D4" i="10" s="1"/>
  <c r="C4" i="11" s="1"/>
  <c r="H7" i="1"/>
  <c r="J12" i="16"/>
  <c r="I12" i="16"/>
  <c r="H12" i="16"/>
  <c r="G12" i="16"/>
  <c r="F12" i="16"/>
  <c r="E12" i="16"/>
  <c r="D12" i="16"/>
  <c r="C12" i="16"/>
  <c r="B12" i="16"/>
  <c r="P11" i="16"/>
  <c r="O11" i="16"/>
  <c r="N11" i="16"/>
  <c r="M11" i="16"/>
  <c r="L11" i="16"/>
  <c r="K11" i="16"/>
  <c r="P10" i="16"/>
  <c r="O10" i="16"/>
  <c r="N10" i="16"/>
  <c r="M10" i="16"/>
  <c r="L10" i="16"/>
  <c r="K10" i="16"/>
  <c r="J6" i="16"/>
  <c r="I6" i="16"/>
  <c r="H6" i="16"/>
  <c r="G6" i="16"/>
  <c r="F6" i="16"/>
  <c r="E6" i="16"/>
  <c r="D6" i="16"/>
  <c r="C6" i="16"/>
  <c r="O6" i="16" s="1"/>
  <c r="B6" i="16"/>
  <c r="P5" i="16"/>
  <c r="O5" i="16"/>
  <c r="N5" i="16"/>
  <c r="M5" i="16"/>
  <c r="L5" i="16"/>
  <c r="K5" i="16"/>
  <c r="P4" i="16"/>
  <c r="O4" i="16"/>
  <c r="N4" i="16"/>
  <c r="M4" i="16"/>
  <c r="L4" i="16"/>
  <c r="K4" i="16"/>
  <c r="C284" i="10"/>
  <c r="C283" i="10"/>
  <c r="C269" i="10"/>
  <c r="C268" i="10"/>
  <c r="C254" i="10"/>
  <c r="C253" i="10"/>
  <c r="C239" i="10"/>
  <c r="C238" i="10"/>
  <c r="I237" i="10"/>
  <c r="G167" i="11" s="1"/>
  <c r="I236" i="10"/>
  <c r="G166" i="11" s="1"/>
  <c r="G235" i="10"/>
  <c r="J234" i="10"/>
  <c r="F234" i="10"/>
  <c r="C224" i="10"/>
  <c r="C223" i="10"/>
  <c r="J222" i="10"/>
  <c r="H153" i="11" s="1"/>
  <c r="G220" i="10"/>
  <c r="F217" i="10"/>
  <c r="C209" i="10"/>
  <c r="C208" i="10"/>
  <c r="G207" i="10"/>
  <c r="J205" i="10"/>
  <c r="F204" i="10"/>
  <c r="G202" i="10"/>
  <c r="G199" i="10"/>
  <c r="C194" i="10"/>
  <c r="C193" i="10"/>
  <c r="C179" i="10"/>
  <c r="C178" i="10"/>
  <c r="G177" i="10"/>
  <c r="F177" i="10"/>
  <c r="E125" i="11" s="1"/>
  <c r="G176" i="10"/>
  <c r="F175" i="10"/>
  <c r="F170" i="10"/>
  <c r="E119" i="11" s="1"/>
  <c r="C164" i="10"/>
  <c r="C163" i="10"/>
  <c r="I162" i="10"/>
  <c r="G111" i="11" s="1"/>
  <c r="G162" i="10"/>
  <c r="F162" i="10"/>
  <c r="E111" i="11" s="1"/>
  <c r="G161" i="10"/>
  <c r="G160" i="10"/>
  <c r="F160" i="10"/>
  <c r="I158" i="10"/>
  <c r="G108" i="11" s="1"/>
  <c r="G157" i="10"/>
  <c r="F157" i="10"/>
  <c r="E107" i="11" s="1"/>
  <c r="J155" i="10"/>
  <c r="H105" i="11" s="1"/>
  <c r="C149" i="10"/>
  <c r="C148" i="10"/>
  <c r="J147" i="10"/>
  <c r="I147" i="10"/>
  <c r="G147" i="10"/>
  <c r="I146" i="10"/>
  <c r="E146" i="10"/>
  <c r="J142" i="10"/>
  <c r="H93" i="11" s="1"/>
  <c r="I142" i="10"/>
  <c r="F139" i="10"/>
  <c r="C134" i="10"/>
  <c r="C133" i="10"/>
  <c r="C119" i="10"/>
  <c r="C118" i="10"/>
  <c r="C104" i="10"/>
  <c r="C103" i="10"/>
  <c r="J102" i="10"/>
  <c r="H83" i="11" s="1"/>
  <c r="I102" i="10"/>
  <c r="G83" i="11" s="1"/>
  <c r="F102" i="10"/>
  <c r="E83" i="11" s="1"/>
  <c r="E101" i="10"/>
  <c r="D82" i="11" s="1"/>
  <c r="F100" i="10"/>
  <c r="F97" i="10"/>
  <c r="J95" i="10"/>
  <c r="H77" i="11" s="1"/>
  <c r="J94" i="10"/>
  <c r="H76" i="11" s="1"/>
  <c r="C89" i="10"/>
  <c r="C88" i="10"/>
  <c r="G87" i="10"/>
  <c r="G85" i="10"/>
  <c r="F85" i="10"/>
  <c r="F84" i="10"/>
  <c r="F80" i="10"/>
  <c r="E63" i="11" s="1"/>
  <c r="C74" i="10"/>
  <c r="C73" i="10"/>
  <c r="I68" i="10"/>
  <c r="G52" i="11" s="1"/>
  <c r="G65" i="10"/>
  <c r="C59" i="10"/>
  <c r="C58" i="10"/>
  <c r="C44" i="10"/>
  <c r="C43" i="10"/>
  <c r="J42" i="10"/>
  <c r="H39" i="11" s="1"/>
  <c r="I41" i="10"/>
  <c r="G38" i="11" s="1"/>
  <c r="G41" i="10"/>
  <c r="G39" i="10"/>
  <c r="I38" i="10"/>
  <c r="G36" i="11" s="1"/>
  <c r="J37" i="10"/>
  <c r="H35" i="11" s="1"/>
  <c r="C29" i="10"/>
  <c r="C28" i="10"/>
  <c r="G27" i="10"/>
  <c r="I26" i="10"/>
  <c r="G24" i="11" s="1"/>
  <c r="E26" i="10"/>
  <c r="D24" i="11" s="1"/>
  <c r="G25" i="10"/>
  <c r="F22" i="10"/>
  <c r="E21" i="11" s="1"/>
  <c r="C14" i="10"/>
  <c r="C13" i="10"/>
  <c r="I12" i="10"/>
  <c r="G12" i="10"/>
  <c r="B12" i="10"/>
  <c r="B282" i="10" s="1"/>
  <c r="F11" i="10"/>
  <c r="E10" i="11" s="1"/>
  <c r="D11" i="10"/>
  <c r="C10" i="11" s="1"/>
  <c r="B11" i="10"/>
  <c r="I10" i="10"/>
  <c r="F10" i="10"/>
  <c r="B10" i="10"/>
  <c r="B280" i="10" s="1"/>
  <c r="B9" i="10"/>
  <c r="B8" i="10"/>
  <c r="B278" i="10" s="1"/>
  <c r="B7" i="10"/>
  <c r="B6" i="10"/>
  <c r="B276" i="10" s="1"/>
  <c r="G5" i="10"/>
  <c r="B5" i="10"/>
  <c r="G4" i="10"/>
  <c r="B4" i="10"/>
  <c r="B274" i="10" s="1"/>
  <c r="G170" i="10" l="1"/>
  <c r="G214" i="10"/>
  <c r="D118" i="11"/>
  <c r="N169" i="10"/>
  <c r="B155" i="1"/>
  <c r="D64" i="10" s="1"/>
  <c r="C48" i="11" s="1"/>
  <c r="W446" i="4"/>
  <c r="Y445" i="4"/>
  <c r="X373" i="4"/>
  <c r="Y372" i="4"/>
  <c r="G171" i="10"/>
  <c r="P160" i="10"/>
  <c r="G158" i="10"/>
  <c r="G19" i="10"/>
  <c r="G49" i="10" s="1"/>
  <c r="G22" i="10"/>
  <c r="G40" i="10"/>
  <c r="N160" i="10"/>
  <c r="G11" i="10"/>
  <c r="G24" i="10"/>
  <c r="G174" i="10"/>
  <c r="G232" i="10"/>
  <c r="G247" i="10" s="1"/>
  <c r="G234" i="10"/>
  <c r="B353" i="6"/>
  <c r="D172" i="10" s="1"/>
  <c r="C121" i="11" s="1"/>
  <c r="G140" i="10"/>
  <c r="G222" i="10"/>
  <c r="G42" i="10"/>
  <c r="G79" i="10"/>
  <c r="P203" i="10"/>
  <c r="N143" i="10"/>
  <c r="G146" i="10"/>
  <c r="G81" i="11"/>
  <c r="H81" i="11"/>
  <c r="B234" i="4"/>
  <c r="D98" i="10" s="1"/>
  <c r="P98" i="10" s="1"/>
  <c r="BW16" i="17"/>
  <c r="FQ16" i="17"/>
  <c r="G68" i="10"/>
  <c r="G74" i="10" s="1"/>
  <c r="E137" i="11"/>
  <c r="BG16" i="17"/>
  <c r="B154" i="11"/>
  <c r="B70" i="11"/>
  <c r="B112" i="11"/>
  <c r="P235" i="10"/>
  <c r="FA16" i="17"/>
  <c r="BJ16" i="17"/>
  <c r="BZ16" i="17"/>
  <c r="CM16" i="17"/>
  <c r="G94" i="10"/>
  <c r="G154" i="10"/>
  <c r="B126" i="11"/>
  <c r="B168" i="11"/>
  <c r="G144" i="10"/>
  <c r="CP16" i="17"/>
  <c r="EJ16" i="17"/>
  <c r="G6" i="10"/>
  <c r="G36" i="10"/>
  <c r="I115" i="10"/>
  <c r="DC16" i="17"/>
  <c r="G82" i="10"/>
  <c r="H95" i="11"/>
  <c r="G155" i="10"/>
  <c r="G37" i="11"/>
  <c r="N12" i="16"/>
  <c r="G71" i="10"/>
  <c r="G215" i="10"/>
  <c r="G229" i="10"/>
  <c r="G244" i="10" s="1"/>
  <c r="DF16" i="17"/>
  <c r="G96" i="10"/>
  <c r="G145" i="10"/>
  <c r="DS16" i="17"/>
  <c r="B140" i="11"/>
  <c r="G20" i="10"/>
  <c r="G9" i="10"/>
  <c r="G66" i="10"/>
  <c r="G201" i="10"/>
  <c r="N16" i="17"/>
  <c r="DV16" i="17"/>
  <c r="G72" i="10"/>
  <c r="G84" i="10"/>
  <c r="G139" i="10"/>
  <c r="G231" i="10"/>
  <c r="EK16" i="17"/>
  <c r="P12" i="16"/>
  <c r="G23" i="10"/>
  <c r="G67" i="10"/>
  <c r="N40" i="10"/>
  <c r="G57" i="10"/>
  <c r="AD16" i="17"/>
  <c r="AA16" i="17"/>
  <c r="G21" i="10"/>
  <c r="J55" i="10"/>
  <c r="I55" i="10"/>
  <c r="K16" i="17"/>
  <c r="G7" i="10"/>
  <c r="B12" i="11"/>
  <c r="G8" i="10"/>
  <c r="G14" i="10" s="1"/>
  <c r="G102" i="10"/>
  <c r="H9" i="11"/>
  <c r="E109" i="11"/>
  <c r="E112" i="11" s="1"/>
  <c r="G100" i="10"/>
  <c r="E67" i="11"/>
  <c r="E70" i="11" s="1"/>
  <c r="J115" i="10"/>
  <c r="D55" i="10"/>
  <c r="H23" i="11"/>
  <c r="H26" i="11" s="1"/>
  <c r="F55" i="10"/>
  <c r="G10" i="10"/>
  <c r="G55" i="10" s="1"/>
  <c r="G13" i="10"/>
  <c r="E139" i="11"/>
  <c r="P207" i="10"/>
  <c r="L6" i="16"/>
  <c r="K6" i="16"/>
  <c r="D141" i="10"/>
  <c r="C92" i="11" s="1"/>
  <c r="G141" i="10"/>
  <c r="B195" i="2"/>
  <c r="D80" i="10" s="1"/>
  <c r="C63" i="11" s="1"/>
  <c r="G80" i="10"/>
  <c r="P100" i="10"/>
  <c r="B472" i="8"/>
  <c r="C166" i="11" s="1"/>
  <c r="H11" i="11"/>
  <c r="J57" i="10"/>
  <c r="P40" i="10"/>
  <c r="B57" i="10"/>
  <c r="I114" i="10"/>
  <c r="E95" i="11"/>
  <c r="B393" i="5"/>
  <c r="D204" i="10" s="1"/>
  <c r="D264" i="10" s="1"/>
  <c r="G204" i="10"/>
  <c r="G249" i="10" s="1"/>
  <c r="B472" i="9"/>
  <c r="D237" i="10" s="1"/>
  <c r="C167" i="11" s="1"/>
  <c r="G237" i="10"/>
  <c r="G252" i="10" s="1"/>
  <c r="B234" i="8"/>
  <c r="D101" i="10" s="1"/>
  <c r="C82" i="11" s="1"/>
  <c r="B55" i="10"/>
  <c r="F57" i="10"/>
  <c r="B116" i="2"/>
  <c r="D35" i="10" s="1"/>
  <c r="C33" i="11" s="1"/>
  <c r="G35" i="10"/>
  <c r="P202" i="10"/>
  <c r="E23" i="11"/>
  <c r="H67" i="11"/>
  <c r="H70" i="11" s="1"/>
  <c r="N70" i="10"/>
  <c r="E9" i="11"/>
  <c r="P42" i="10"/>
  <c r="N100" i="10"/>
  <c r="H109" i="11"/>
  <c r="H112" i="11" s="1"/>
  <c r="B274" i="6"/>
  <c r="D142" i="10" s="1"/>
  <c r="P142" i="10" s="1"/>
  <c r="G142" i="10"/>
  <c r="D37" i="11"/>
  <c r="H37" i="11"/>
  <c r="H40" i="11" s="1"/>
  <c r="D81" i="11"/>
  <c r="D84" i="11" s="1"/>
  <c r="M6" i="16"/>
  <c r="L12" i="16"/>
  <c r="P199" i="10"/>
  <c r="L16" i="17"/>
  <c r="AB16" i="17"/>
  <c r="BH16" i="17"/>
  <c r="BX16" i="17"/>
  <c r="CN16" i="17"/>
  <c r="DD16" i="17"/>
  <c r="DT16" i="17"/>
  <c r="B40" i="11"/>
  <c r="M16" i="17"/>
  <c r="AC16" i="17"/>
  <c r="BI16" i="17"/>
  <c r="BY16" i="17"/>
  <c r="CO16" i="17"/>
  <c r="DE16" i="17"/>
  <c r="DU16" i="17"/>
  <c r="FP16" i="17"/>
  <c r="B26" i="11"/>
  <c r="I7" i="8"/>
  <c r="P206" i="10"/>
  <c r="G86" i="10"/>
  <c r="G89" i="10" s="1"/>
  <c r="G54" i="11"/>
  <c r="I116" i="10"/>
  <c r="P71" i="10"/>
  <c r="E116" i="10"/>
  <c r="G26" i="10"/>
  <c r="G56" i="10" s="1"/>
  <c r="D56" i="10"/>
  <c r="I56" i="10"/>
  <c r="E56" i="10"/>
  <c r="G164" i="10"/>
  <c r="G143" i="10"/>
  <c r="G148" i="10" s="1"/>
  <c r="H80" i="11"/>
  <c r="J104" i="10"/>
  <c r="B195" i="4"/>
  <c r="D83" i="10" s="1"/>
  <c r="C66" i="11" s="1"/>
  <c r="D74" i="10"/>
  <c r="P38" i="10"/>
  <c r="G38" i="10"/>
  <c r="G44" i="10" s="1"/>
  <c r="B53" i="10"/>
  <c r="E8" i="11"/>
  <c r="F53" i="10"/>
  <c r="J53" i="10"/>
  <c r="N220" i="10"/>
  <c r="G175" i="10"/>
  <c r="E123" i="11"/>
  <c r="F265" i="10"/>
  <c r="P175" i="10"/>
  <c r="G159" i="10"/>
  <c r="G99" i="10"/>
  <c r="E114" i="10"/>
  <c r="J114" i="10"/>
  <c r="F114" i="10"/>
  <c r="P69" i="10"/>
  <c r="G69" i="10"/>
  <c r="D54" i="10"/>
  <c r="E54" i="10"/>
  <c r="I54" i="10"/>
  <c r="G54" i="10"/>
  <c r="B432" i="6"/>
  <c r="D217" i="10" s="1"/>
  <c r="G262" i="10"/>
  <c r="B234" i="6"/>
  <c r="D97" i="10" s="1"/>
  <c r="C79" i="11" s="1"/>
  <c r="E51" i="11"/>
  <c r="P67" i="10"/>
  <c r="E112" i="10"/>
  <c r="I112" i="10"/>
  <c r="G37" i="10"/>
  <c r="D7" i="11"/>
  <c r="E52" i="10"/>
  <c r="I52" i="10"/>
  <c r="G230" i="10"/>
  <c r="E133" i="11"/>
  <c r="P200" i="10"/>
  <c r="G95" i="10"/>
  <c r="G110" i="10" s="1"/>
  <c r="D49" i="11"/>
  <c r="E110" i="10"/>
  <c r="I110" i="10"/>
  <c r="P65" i="10"/>
  <c r="G50" i="10"/>
  <c r="D5" i="11"/>
  <c r="E50" i="10"/>
  <c r="I50" i="10"/>
  <c r="G216" i="10"/>
  <c r="P201" i="10"/>
  <c r="B314" i="3"/>
  <c r="D156" i="10" s="1"/>
  <c r="C106" i="11" s="1"/>
  <c r="F148" i="10"/>
  <c r="B195" i="3"/>
  <c r="D81" i="10" s="1"/>
  <c r="C64" i="11" s="1"/>
  <c r="J88" i="10"/>
  <c r="N66" i="10"/>
  <c r="P36" i="10"/>
  <c r="E43" i="10"/>
  <c r="G51" i="10"/>
  <c r="J51" i="10"/>
  <c r="B51" i="10"/>
  <c r="F163" i="10"/>
  <c r="J163" i="10"/>
  <c r="G76" i="11"/>
  <c r="G84" i="11" s="1"/>
  <c r="I103" i="10"/>
  <c r="G109" i="10"/>
  <c r="E103" i="10"/>
  <c r="F88" i="10"/>
  <c r="H4" i="11"/>
  <c r="J13" i="10"/>
  <c r="I43" i="10"/>
  <c r="B116" i="1"/>
  <c r="D34" i="10" s="1"/>
  <c r="C32" i="11" s="1"/>
  <c r="P34" i="10"/>
  <c r="J28" i="10"/>
  <c r="P19" i="10"/>
  <c r="J49" i="10"/>
  <c r="F49" i="10"/>
  <c r="F13" i="10"/>
  <c r="D2" i="14" s="1"/>
  <c r="B49" i="10"/>
  <c r="GG16" i="17"/>
  <c r="GF16" i="17"/>
  <c r="GE16" i="17"/>
  <c r="GD16" i="17"/>
  <c r="H165" i="11"/>
  <c r="H168" i="11" s="1"/>
  <c r="G165" i="11"/>
  <c r="G168" i="11" s="1"/>
  <c r="F239" i="10"/>
  <c r="D164" i="11"/>
  <c r="E239" i="10"/>
  <c r="P233" i="10"/>
  <c r="P237" i="10"/>
  <c r="N235" i="10"/>
  <c r="D165" i="11"/>
  <c r="P231" i="10"/>
  <c r="P229" i="10"/>
  <c r="E238" i="10"/>
  <c r="FO16" i="17"/>
  <c r="FN16" i="17"/>
  <c r="I250" i="10"/>
  <c r="J250" i="10"/>
  <c r="L432" i="8"/>
  <c r="H151" i="11"/>
  <c r="H154" i="11" s="1"/>
  <c r="P222" i="10"/>
  <c r="G151" i="11"/>
  <c r="G154" i="11" s="1"/>
  <c r="E250" i="10"/>
  <c r="D151" i="11"/>
  <c r="P220" i="10"/>
  <c r="D250" i="10"/>
  <c r="P216" i="10"/>
  <c r="P214" i="10"/>
  <c r="EZ16" i="17"/>
  <c r="EY16" i="17"/>
  <c r="EX16" i="17"/>
  <c r="G205" i="10"/>
  <c r="G250" i="10" s="1"/>
  <c r="G200" i="10"/>
  <c r="G267" i="10"/>
  <c r="H137" i="11"/>
  <c r="I245" i="10"/>
  <c r="N201" i="10"/>
  <c r="EI16" i="17"/>
  <c r="EH16" i="17"/>
  <c r="G169" i="10"/>
  <c r="G173" i="10"/>
  <c r="G178" i="10" s="1"/>
  <c r="I186" i="10"/>
  <c r="E120" i="11"/>
  <c r="E126" i="11" s="1"/>
  <c r="F178" i="10"/>
  <c r="J178" i="10"/>
  <c r="J265" i="10"/>
  <c r="E265" i="10"/>
  <c r="H123" i="11"/>
  <c r="H126" i="11" s="1"/>
  <c r="I265" i="10"/>
  <c r="D190" i="10"/>
  <c r="P10" i="10"/>
  <c r="G16" i="14" s="1"/>
  <c r="E55" i="10"/>
  <c r="P55" i="10" s="1"/>
  <c r="N10" i="10"/>
  <c r="G11" i="11"/>
  <c r="I57" i="10"/>
  <c r="C18" i="11"/>
  <c r="D28" i="10"/>
  <c r="E52" i="11"/>
  <c r="F113" i="10"/>
  <c r="F74" i="10"/>
  <c r="P68" i="10"/>
  <c r="N68" i="10"/>
  <c r="P96" i="10"/>
  <c r="P102" i="10"/>
  <c r="G4" i="11"/>
  <c r="I13" i="10"/>
  <c r="I49" i="10"/>
  <c r="D11" i="11"/>
  <c r="P12" i="10"/>
  <c r="H16" i="14" s="1"/>
  <c r="E57" i="10"/>
  <c r="N12" i="10"/>
  <c r="E33" i="11"/>
  <c r="P35" i="10"/>
  <c r="N35" i="10"/>
  <c r="E35" i="11"/>
  <c r="P37" i="10"/>
  <c r="N37" i="10"/>
  <c r="E37" i="11"/>
  <c r="P39" i="10"/>
  <c r="N39" i="10"/>
  <c r="E38" i="11"/>
  <c r="P41" i="10"/>
  <c r="N41" i="10"/>
  <c r="F44" i="10"/>
  <c r="C49" i="11"/>
  <c r="C51" i="11"/>
  <c r="C53" i="11"/>
  <c r="D114" i="10"/>
  <c r="H55" i="11"/>
  <c r="J117" i="10"/>
  <c r="J132" i="10" s="1"/>
  <c r="D62" i="11"/>
  <c r="E88" i="10"/>
  <c r="P79" i="10"/>
  <c r="N79" i="10"/>
  <c r="D64" i="11"/>
  <c r="P81" i="10"/>
  <c r="N81" i="10"/>
  <c r="D66" i="11"/>
  <c r="P83" i="10"/>
  <c r="E89" i="10"/>
  <c r="N83" i="10"/>
  <c r="P85" i="10"/>
  <c r="N85" i="10"/>
  <c r="D69" i="11"/>
  <c r="P87" i="10"/>
  <c r="N87" i="10"/>
  <c r="H90" i="11"/>
  <c r="J259" i="10"/>
  <c r="J148" i="10"/>
  <c r="J184" i="10"/>
  <c r="H44" i="3"/>
  <c r="H47" i="3" s="1"/>
  <c r="B21" i="10"/>
  <c r="B275" i="10"/>
  <c r="B125" i="10"/>
  <c r="B50" i="10"/>
  <c r="B277" i="10"/>
  <c r="B127" i="10"/>
  <c r="B52" i="10"/>
  <c r="E48" i="11"/>
  <c r="F109" i="10"/>
  <c r="F73" i="10"/>
  <c r="P64" i="10"/>
  <c r="N64" i="10"/>
  <c r="G62" i="11"/>
  <c r="I88" i="10"/>
  <c r="G66" i="11"/>
  <c r="I89" i="10"/>
  <c r="C76" i="11"/>
  <c r="P94" i="10"/>
  <c r="G6" i="11"/>
  <c r="I51" i="10"/>
  <c r="B279" i="10"/>
  <c r="B129" i="10"/>
  <c r="B54" i="10"/>
  <c r="D4" i="11"/>
  <c r="E13" i="10"/>
  <c r="P4" i="10"/>
  <c r="B16" i="14" s="1"/>
  <c r="E49" i="10"/>
  <c r="N4" i="10"/>
  <c r="G8" i="11"/>
  <c r="I53" i="10"/>
  <c r="I14" i="10"/>
  <c r="B281" i="10"/>
  <c r="B284" i="10" s="1"/>
  <c r="B131" i="10"/>
  <c r="B14" i="10"/>
  <c r="B56" i="10"/>
  <c r="G22" i="11"/>
  <c r="I29" i="10"/>
  <c r="C36" i="11"/>
  <c r="D44" i="10"/>
  <c r="J44" i="10"/>
  <c r="E115" i="10"/>
  <c r="E55" i="11"/>
  <c r="F117" i="10"/>
  <c r="P72" i="10"/>
  <c r="N72" i="10"/>
  <c r="C21" i="11"/>
  <c r="D52" i="10"/>
  <c r="D115" i="10"/>
  <c r="D20" i="11"/>
  <c r="P21" i="10"/>
  <c r="N21" i="10"/>
  <c r="E50" i="11"/>
  <c r="F111" i="10"/>
  <c r="P66" i="10"/>
  <c r="D6" i="11"/>
  <c r="E51" i="10"/>
  <c r="N6" i="10"/>
  <c r="D8" i="11"/>
  <c r="P8" i="10"/>
  <c r="E53" i="10"/>
  <c r="E14" i="10"/>
  <c r="N8" i="10"/>
  <c r="B13" i="10"/>
  <c r="E19" i="11"/>
  <c r="P20" i="10"/>
  <c r="N20" i="10"/>
  <c r="D22" i="11"/>
  <c r="P23" i="10"/>
  <c r="E29" i="10"/>
  <c r="N23" i="10"/>
  <c r="P25" i="10"/>
  <c r="N25" i="10"/>
  <c r="D25" i="11"/>
  <c r="P27" i="10"/>
  <c r="N27" i="10"/>
  <c r="F28" i="10"/>
  <c r="H48" i="11"/>
  <c r="J109" i="10"/>
  <c r="J73" i="10"/>
  <c r="H50" i="11"/>
  <c r="J111" i="10"/>
  <c r="J126" i="10" s="1"/>
  <c r="H52" i="11"/>
  <c r="J113" i="10"/>
  <c r="J74" i="10"/>
  <c r="F115" i="10"/>
  <c r="P70" i="10"/>
  <c r="C54" i="11"/>
  <c r="E77" i="11"/>
  <c r="P95" i="10"/>
  <c r="N95" i="10"/>
  <c r="E79" i="11"/>
  <c r="N97" i="10"/>
  <c r="E81" i="11"/>
  <c r="P99" i="10"/>
  <c r="N99" i="10"/>
  <c r="E82" i="11"/>
  <c r="N101" i="10"/>
  <c r="F104" i="10"/>
  <c r="E6" i="11"/>
  <c r="F51" i="10"/>
  <c r="P6" i="10"/>
  <c r="C16" i="14" s="1"/>
  <c r="D90" i="11"/>
  <c r="E259" i="10"/>
  <c r="D92" i="11"/>
  <c r="E261" i="10"/>
  <c r="G94" i="11"/>
  <c r="I263" i="10"/>
  <c r="D97" i="11"/>
  <c r="E267" i="10"/>
  <c r="G185" i="10"/>
  <c r="E188" i="10"/>
  <c r="I190" i="10"/>
  <c r="E192" i="10"/>
  <c r="D132" i="11"/>
  <c r="E244" i="10"/>
  <c r="G134" i="11"/>
  <c r="I246" i="10"/>
  <c r="D136" i="11"/>
  <c r="J224" i="10"/>
  <c r="E161" i="11"/>
  <c r="P230" i="10"/>
  <c r="E163" i="11"/>
  <c r="P232" i="10"/>
  <c r="E165" i="11"/>
  <c r="P234" i="10"/>
  <c r="F249" i="10"/>
  <c r="J251" i="10"/>
  <c r="D265" i="10"/>
  <c r="H38" i="3"/>
  <c r="H6" i="10" s="1"/>
  <c r="P5" i="10"/>
  <c r="D16" i="14" s="1"/>
  <c r="P7" i="10"/>
  <c r="E16" i="14" s="1"/>
  <c r="C9" i="11"/>
  <c r="C12" i="11" s="1"/>
  <c r="P9" i="10"/>
  <c r="F16" i="14" s="1"/>
  <c r="P11" i="10"/>
  <c r="D14" i="10"/>
  <c r="P22" i="10"/>
  <c r="C23" i="11"/>
  <c r="P24" i="10"/>
  <c r="P26" i="10"/>
  <c r="D29" i="10"/>
  <c r="D40" i="11"/>
  <c r="G40" i="11"/>
  <c r="F43" i="10"/>
  <c r="J43" i="10"/>
  <c r="F50" i="10"/>
  <c r="J50" i="10"/>
  <c r="D51" i="10"/>
  <c r="F52" i="10"/>
  <c r="J52" i="10"/>
  <c r="D53" i="10"/>
  <c r="F54" i="10"/>
  <c r="J54" i="10"/>
  <c r="F56" i="10"/>
  <c r="J56" i="10"/>
  <c r="D57" i="10"/>
  <c r="D53" i="11"/>
  <c r="G53" i="11"/>
  <c r="G70" i="10"/>
  <c r="D73" i="10"/>
  <c r="E74" i="10"/>
  <c r="I74" i="10"/>
  <c r="P80" i="10"/>
  <c r="P82" i="10"/>
  <c r="C67" i="11"/>
  <c r="P84" i="10"/>
  <c r="P86" i="10"/>
  <c r="F103" i="10"/>
  <c r="J103" i="10"/>
  <c r="D109" i="10"/>
  <c r="F110" i="10"/>
  <c r="J110" i="10"/>
  <c r="F112" i="10"/>
  <c r="J112" i="10"/>
  <c r="F116" i="10"/>
  <c r="J116" i="10"/>
  <c r="D117" i="10"/>
  <c r="B124" i="10"/>
  <c r="B126" i="10"/>
  <c r="B128" i="10"/>
  <c r="B130" i="10"/>
  <c r="B132" i="10"/>
  <c r="E90" i="11"/>
  <c r="F259" i="10"/>
  <c r="N139" i="10"/>
  <c r="C91" i="11"/>
  <c r="D260" i="10"/>
  <c r="P140" i="10"/>
  <c r="E92" i="11"/>
  <c r="F261" i="10"/>
  <c r="H92" i="11"/>
  <c r="J261" i="10"/>
  <c r="N141" i="10"/>
  <c r="E94" i="11"/>
  <c r="H94" i="11"/>
  <c r="J263" i="10"/>
  <c r="C95" i="11"/>
  <c r="P144" i="10"/>
  <c r="N145" i="10"/>
  <c r="C96" i="11"/>
  <c r="D266" i="10"/>
  <c r="P146" i="10"/>
  <c r="E97" i="11"/>
  <c r="F267" i="10"/>
  <c r="H97" i="11"/>
  <c r="J267" i="10"/>
  <c r="N147" i="10"/>
  <c r="D149" i="10"/>
  <c r="N154" i="10"/>
  <c r="P155" i="10"/>
  <c r="N156" i="10"/>
  <c r="P157" i="10"/>
  <c r="N158" i="10"/>
  <c r="C109" i="11"/>
  <c r="P159" i="10"/>
  <c r="P161" i="10"/>
  <c r="N162" i="10"/>
  <c r="D164" i="10"/>
  <c r="P170" i="10"/>
  <c r="N171" i="10"/>
  <c r="P172" i="10"/>
  <c r="N173" i="10"/>
  <c r="C123" i="11"/>
  <c r="P174" i="10"/>
  <c r="N175" i="10"/>
  <c r="P176" i="10"/>
  <c r="N177" i="10"/>
  <c r="D179" i="10"/>
  <c r="F184" i="10"/>
  <c r="D185" i="10"/>
  <c r="F186" i="10"/>
  <c r="J186" i="10"/>
  <c r="F188" i="10"/>
  <c r="J188" i="10"/>
  <c r="D189" i="10"/>
  <c r="F190" i="10"/>
  <c r="J190" i="10"/>
  <c r="D191" i="10"/>
  <c r="F192" i="10"/>
  <c r="J192" i="10"/>
  <c r="E132" i="11"/>
  <c r="F244" i="10"/>
  <c r="F208" i="10"/>
  <c r="H132" i="11"/>
  <c r="J244" i="10"/>
  <c r="J208" i="10"/>
  <c r="N199" i="10"/>
  <c r="C133" i="11"/>
  <c r="D245" i="10"/>
  <c r="E134" i="11"/>
  <c r="F246" i="10"/>
  <c r="H134" i="11"/>
  <c r="J246" i="10"/>
  <c r="C135" i="11"/>
  <c r="E136" i="11"/>
  <c r="H136" i="11"/>
  <c r="J248" i="10"/>
  <c r="N203" i="10"/>
  <c r="D137" i="11"/>
  <c r="E249" i="10"/>
  <c r="G137" i="11"/>
  <c r="I249" i="10"/>
  <c r="N204" i="10"/>
  <c r="E138" i="11"/>
  <c r="E208" i="10"/>
  <c r="E147" i="11"/>
  <c r="P215" i="10"/>
  <c r="E149" i="11"/>
  <c r="P217" i="10"/>
  <c r="E151" i="11"/>
  <c r="P219" i="10"/>
  <c r="E152" i="11"/>
  <c r="N230" i="10"/>
  <c r="N232" i="10"/>
  <c r="N234" i="10"/>
  <c r="N236" i="10"/>
  <c r="J245" i="10"/>
  <c r="D246" i="10"/>
  <c r="F247" i="10"/>
  <c r="J249" i="10"/>
  <c r="F264" i="10"/>
  <c r="J266" i="10"/>
  <c r="N6" i="16"/>
  <c r="M12" i="16"/>
  <c r="G90" i="11"/>
  <c r="I259" i="10"/>
  <c r="G92" i="11"/>
  <c r="I261" i="10"/>
  <c r="D94" i="11"/>
  <c r="G97" i="11"/>
  <c r="I267" i="10"/>
  <c r="E184" i="10"/>
  <c r="I184" i="10"/>
  <c r="E186" i="10"/>
  <c r="G187" i="10"/>
  <c r="I188" i="10"/>
  <c r="E190" i="10"/>
  <c r="G191" i="10"/>
  <c r="I192" i="10"/>
  <c r="G132" i="11"/>
  <c r="I244" i="10"/>
  <c r="D134" i="11"/>
  <c r="E246" i="10"/>
  <c r="G136" i="11"/>
  <c r="I248" i="10"/>
  <c r="D138" i="11"/>
  <c r="J209" i="10"/>
  <c r="E166" i="11"/>
  <c r="P236" i="10"/>
  <c r="J260" i="10"/>
  <c r="F266" i="10"/>
  <c r="H8" i="5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H37" i="5" s="1"/>
  <c r="H8" i="9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H32" i="9" s="1"/>
  <c r="H33" i="9" s="1"/>
  <c r="H34" i="9" s="1"/>
  <c r="H35" i="9" s="1"/>
  <c r="H36" i="9" s="1"/>
  <c r="H37" i="9" s="1"/>
  <c r="D9" i="11"/>
  <c r="G9" i="11"/>
  <c r="D13" i="10"/>
  <c r="B2" i="14" s="1"/>
  <c r="E26" i="11"/>
  <c r="N19" i="10"/>
  <c r="D23" i="11"/>
  <c r="G23" i="11"/>
  <c r="N34" i="10"/>
  <c r="N36" i="10"/>
  <c r="N38" i="10"/>
  <c r="C37" i="11"/>
  <c r="N42" i="10"/>
  <c r="N65" i="10"/>
  <c r="N67" i="10"/>
  <c r="E53" i="11"/>
  <c r="H53" i="11"/>
  <c r="N69" i="10"/>
  <c r="N71" i="10"/>
  <c r="E73" i="10"/>
  <c r="I73" i="10"/>
  <c r="D67" i="11"/>
  <c r="G67" i="11"/>
  <c r="N94" i="10"/>
  <c r="N96" i="10"/>
  <c r="N98" i="10"/>
  <c r="C81" i="11"/>
  <c r="N102" i="10"/>
  <c r="E109" i="10"/>
  <c r="I109" i="10"/>
  <c r="E111" i="10"/>
  <c r="I111" i="10"/>
  <c r="E113" i="10"/>
  <c r="I113" i="10"/>
  <c r="E117" i="10"/>
  <c r="I117" i="10"/>
  <c r="D91" i="11"/>
  <c r="E260" i="10"/>
  <c r="G91" i="11"/>
  <c r="I260" i="10"/>
  <c r="D93" i="11"/>
  <c r="E262" i="10"/>
  <c r="G93" i="11"/>
  <c r="I262" i="10"/>
  <c r="D95" i="11"/>
  <c r="E264" i="10"/>
  <c r="G95" i="11"/>
  <c r="I264" i="10"/>
  <c r="D96" i="11"/>
  <c r="G96" i="11"/>
  <c r="I266" i="10"/>
  <c r="E149" i="10"/>
  <c r="I149" i="10"/>
  <c r="D109" i="11"/>
  <c r="D112" i="11" s="1"/>
  <c r="G109" i="11"/>
  <c r="G112" i="11" s="1"/>
  <c r="E164" i="10"/>
  <c r="I164" i="10"/>
  <c r="D123" i="11"/>
  <c r="D126" i="11" s="1"/>
  <c r="G123" i="11"/>
  <c r="G126" i="11" s="1"/>
  <c r="E179" i="10"/>
  <c r="I179" i="10"/>
  <c r="E185" i="10"/>
  <c r="I185" i="10"/>
  <c r="G186" i="10"/>
  <c r="E187" i="10"/>
  <c r="I187" i="10"/>
  <c r="E189" i="10"/>
  <c r="I189" i="10"/>
  <c r="E191" i="10"/>
  <c r="I191" i="10"/>
  <c r="G192" i="10"/>
  <c r="D135" i="11"/>
  <c r="E247" i="10"/>
  <c r="G135" i="11"/>
  <c r="I247" i="10"/>
  <c r="F250" i="10"/>
  <c r="N205" i="10"/>
  <c r="N206" i="10"/>
  <c r="N215" i="10"/>
  <c r="N217" i="10"/>
  <c r="N219" i="10"/>
  <c r="I238" i="10"/>
  <c r="I239" i="10"/>
  <c r="E245" i="10"/>
  <c r="J247" i="10"/>
  <c r="F262" i="10"/>
  <c r="J264" i="10"/>
  <c r="O12" i="16"/>
  <c r="K12" i="16"/>
  <c r="N5" i="10"/>
  <c r="N7" i="10"/>
  <c r="N9" i="10"/>
  <c r="N11" i="10"/>
  <c r="F14" i="10"/>
  <c r="J14" i="10"/>
  <c r="N22" i="10"/>
  <c r="N24" i="10"/>
  <c r="N26" i="10"/>
  <c r="E28" i="10"/>
  <c r="I28" i="10"/>
  <c r="F29" i="10"/>
  <c r="J29" i="10"/>
  <c r="E44" i="10"/>
  <c r="I44" i="10"/>
  <c r="N80" i="10"/>
  <c r="N82" i="10"/>
  <c r="N84" i="10"/>
  <c r="N86" i="10"/>
  <c r="F89" i="10"/>
  <c r="J89" i="10"/>
  <c r="E104" i="10"/>
  <c r="I104" i="10"/>
  <c r="P139" i="10"/>
  <c r="N140" i="10"/>
  <c r="N142" i="10"/>
  <c r="P143" i="10"/>
  <c r="N144" i="10"/>
  <c r="P145" i="10"/>
  <c r="N146" i="10"/>
  <c r="P147" i="10"/>
  <c r="E148" i="10"/>
  <c r="I148" i="10"/>
  <c r="F149" i="10"/>
  <c r="J149" i="10"/>
  <c r="P154" i="10"/>
  <c r="N155" i="10"/>
  <c r="N157" i="10"/>
  <c r="P158" i="10"/>
  <c r="N159" i="10"/>
  <c r="N161" i="10"/>
  <c r="P162" i="10"/>
  <c r="E163" i="10"/>
  <c r="I163" i="10"/>
  <c r="F164" i="10"/>
  <c r="J164" i="10"/>
  <c r="P169" i="10"/>
  <c r="N170" i="10"/>
  <c r="P171" i="10"/>
  <c r="N172" i="10"/>
  <c r="P173" i="10"/>
  <c r="N174" i="10"/>
  <c r="N176" i="10"/>
  <c r="P177" i="10"/>
  <c r="E178" i="10"/>
  <c r="I178" i="10"/>
  <c r="F179" i="10"/>
  <c r="J179" i="10"/>
  <c r="D184" i="10"/>
  <c r="F185" i="10"/>
  <c r="J185" i="10"/>
  <c r="F187" i="10"/>
  <c r="J187" i="10"/>
  <c r="D188" i="10"/>
  <c r="F189" i="10"/>
  <c r="J189" i="10"/>
  <c r="F191" i="10"/>
  <c r="J191" i="10"/>
  <c r="D192" i="10"/>
  <c r="N200" i="10"/>
  <c r="N202" i="10"/>
  <c r="C136" i="11"/>
  <c r="G138" i="11"/>
  <c r="I251" i="10"/>
  <c r="I208" i="10"/>
  <c r="I209" i="10"/>
  <c r="I223" i="10"/>
  <c r="I224" i="10"/>
  <c r="C164" i="11"/>
  <c r="D239" i="10"/>
  <c r="J239" i="10"/>
  <c r="D244" i="10"/>
  <c r="F245" i="10"/>
  <c r="F251" i="10"/>
  <c r="D259" i="10"/>
  <c r="F260" i="10"/>
  <c r="J262" i="10"/>
  <c r="J223" i="10"/>
  <c r="F238" i="10"/>
  <c r="J238" i="10"/>
  <c r="E252" i="10"/>
  <c r="I252" i="10"/>
  <c r="P6" i="16"/>
  <c r="N207" i="10"/>
  <c r="N214" i="10"/>
  <c r="N216" i="10"/>
  <c r="C151" i="11"/>
  <c r="N222" i="10"/>
  <c r="N229" i="10"/>
  <c r="N231" i="10"/>
  <c r="N233" i="10"/>
  <c r="C165" i="11"/>
  <c r="N237" i="10"/>
  <c r="D251" i="10"/>
  <c r="F252" i="10"/>
  <c r="J252" i="10"/>
  <c r="H8" i="1"/>
  <c r="H9" i="1" s="1"/>
  <c r="H8" i="2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H8" i="7"/>
  <c r="H9" i="7" s="1"/>
  <c r="H10" i="7" s="1"/>
  <c r="H11" i="7" s="1"/>
  <c r="H12" i="7" s="1"/>
  <c r="H13" i="7" s="1"/>
  <c r="H14" i="7" s="1"/>
  <c r="H15" i="7" s="1"/>
  <c r="H16" i="7" s="1"/>
  <c r="H17" i="7" s="1"/>
  <c r="H18" i="7" s="1"/>
  <c r="H19" i="7" s="1"/>
  <c r="H20" i="7" s="1"/>
  <c r="H21" i="7" s="1"/>
  <c r="H22" i="7" s="1"/>
  <c r="H23" i="7" s="1"/>
  <c r="H24" i="7" s="1"/>
  <c r="H25" i="7" s="1"/>
  <c r="H26" i="7" s="1"/>
  <c r="H27" i="7" s="1"/>
  <c r="H28" i="7" s="1"/>
  <c r="H29" i="7" s="1"/>
  <c r="H30" i="7" s="1"/>
  <c r="H31" i="7" s="1"/>
  <c r="H32" i="7" s="1"/>
  <c r="H33" i="7" s="1"/>
  <c r="H34" i="7" s="1"/>
  <c r="H35" i="7" s="1"/>
  <c r="H36" i="7" s="1"/>
  <c r="H37" i="7" s="1"/>
  <c r="H8" i="6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H34" i="6" s="1"/>
  <c r="H35" i="6" s="1"/>
  <c r="H36" i="6" s="1"/>
  <c r="H37" i="6" s="1"/>
  <c r="H8" i="4"/>
  <c r="H8" i="8"/>
  <c r="H9" i="8" s="1"/>
  <c r="H10" i="8" s="1"/>
  <c r="H11" i="8" s="1"/>
  <c r="H12" i="8" s="1"/>
  <c r="H13" i="8" s="1"/>
  <c r="H14" i="8" s="1"/>
  <c r="H15" i="8" s="1"/>
  <c r="H16" i="8" s="1"/>
  <c r="H17" i="8" s="1"/>
  <c r="H18" i="8" s="1"/>
  <c r="H19" i="8" s="1"/>
  <c r="H20" i="8" s="1"/>
  <c r="H21" i="8" s="1"/>
  <c r="H22" i="8" s="1"/>
  <c r="H23" i="8" s="1"/>
  <c r="H24" i="8" s="1"/>
  <c r="H25" i="8" s="1"/>
  <c r="H26" i="8" s="1"/>
  <c r="H27" i="8" s="1"/>
  <c r="H28" i="8" s="1"/>
  <c r="H29" i="8" s="1"/>
  <c r="H30" i="8" s="1"/>
  <c r="H31" i="8" s="1"/>
  <c r="H32" i="8" s="1"/>
  <c r="H33" i="8" s="1"/>
  <c r="H34" i="8" s="1"/>
  <c r="H35" i="8" s="1"/>
  <c r="H36" i="8" s="1"/>
  <c r="H37" i="8" s="1"/>
  <c r="K432" i="8"/>
  <c r="B84" i="11"/>
  <c r="B56" i="11"/>
  <c r="B98" i="11"/>
  <c r="G245" i="10" l="1"/>
  <c r="G163" i="10"/>
  <c r="G261" i="10"/>
  <c r="G111" i="10"/>
  <c r="W447" i="4"/>
  <c r="Y446" i="4"/>
  <c r="D238" i="10"/>
  <c r="G113" i="10"/>
  <c r="X374" i="4"/>
  <c r="Y373" i="4"/>
  <c r="D249" i="10"/>
  <c r="G184" i="10"/>
  <c r="D178" i="10"/>
  <c r="C126" i="11"/>
  <c r="P156" i="10"/>
  <c r="P141" i="10"/>
  <c r="B59" i="10"/>
  <c r="G238" i="10"/>
  <c r="G190" i="10"/>
  <c r="C112" i="11"/>
  <c r="G248" i="10"/>
  <c r="G29" i="10"/>
  <c r="Q29" i="10" s="1"/>
  <c r="G88" i="10"/>
  <c r="G246" i="10"/>
  <c r="G112" i="10"/>
  <c r="G43" i="10"/>
  <c r="G189" i="10"/>
  <c r="G209" i="10"/>
  <c r="G239" i="10"/>
  <c r="G117" i="10"/>
  <c r="G132" i="10" s="1"/>
  <c r="DW16" i="17"/>
  <c r="DG16" i="17"/>
  <c r="G188" i="10"/>
  <c r="G149" i="10"/>
  <c r="D194" i="10"/>
  <c r="D187" i="10"/>
  <c r="C93" i="11"/>
  <c r="CQ16" i="17"/>
  <c r="H84" i="11"/>
  <c r="C80" i="11"/>
  <c r="C84" i="11" s="1"/>
  <c r="D103" i="10"/>
  <c r="P103" i="10" s="1"/>
  <c r="CA16" i="17"/>
  <c r="P114" i="10"/>
  <c r="P110" i="10"/>
  <c r="D89" i="10"/>
  <c r="D88" i="10"/>
  <c r="D111" i="10"/>
  <c r="D126" i="10" s="1"/>
  <c r="C70" i="11"/>
  <c r="BK16" i="17"/>
  <c r="E127" i="10"/>
  <c r="E277" i="10" s="1"/>
  <c r="I129" i="10"/>
  <c r="I279" i="10" s="1"/>
  <c r="G56" i="11"/>
  <c r="I127" i="10"/>
  <c r="I277" i="10" s="1"/>
  <c r="P112" i="10"/>
  <c r="I125" i="10"/>
  <c r="I275" i="10" s="1"/>
  <c r="E129" i="10"/>
  <c r="E279" i="10" s="1"/>
  <c r="P101" i="10"/>
  <c r="N114" i="10"/>
  <c r="D208" i="10"/>
  <c r="P208" i="10" s="1"/>
  <c r="N88" i="10"/>
  <c r="B134" i="10"/>
  <c r="P53" i="10"/>
  <c r="P164" i="10"/>
  <c r="D163" i="10"/>
  <c r="P163" i="10" s="1"/>
  <c r="G116" i="10"/>
  <c r="G131" i="10" s="1"/>
  <c r="C137" i="11"/>
  <c r="C140" i="11" s="1"/>
  <c r="I130" i="10"/>
  <c r="I280" i="10" s="1"/>
  <c r="P97" i="10"/>
  <c r="G264" i="10"/>
  <c r="J130" i="10"/>
  <c r="J280" i="10" s="1"/>
  <c r="P204" i="10"/>
  <c r="N104" i="10"/>
  <c r="G208" i="10"/>
  <c r="D56" i="11"/>
  <c r="D112" i="10"/>
  <c r="G259" i="10"/>
  <c r="G224" i="10"/>
  <c r="G126" i="10"/>
  <c r="G276" i="10" s="1"/>
  <c r="N111" i="10"/>
  <c r="D113" i="10"/>
  <c r="D128" i="10" s="1"/>
  <c r="D261" i="10"/>
  <c r="D148" i="10"/>
  <c r="P148" i="10" s="1"/>
  <c r="G26" i="11"/>
  <c r="N249" i="10"/>
  <c r="D104" i="10"/>
  <c r="P104" i="10" s="1"/>
  <c r="D110" i="10"/>
  <c r="G52" i="10"/>
  <c r="G127" i="10" s="1"/>
  <c r="G277" i="10" s="1"/>
  <c r="G194" i="10"/>
  <c r="D267" i="10"/>
  <c r="P89" i="10"/>
  <c r="D252" i="10"/>
  <c r="D116" i="10"/>
  <c r="D131" i="10" s="1"/>
  <c r="D281" i="10" s="1"/>
  <c r="D186" i="10"/>
  <c r="J129" i="10"/>
  <c r="J279" i="10" s="1"/>
  <c r="C56" i="11"/>
  <c r="Q74" i="10"/>
  <c r="G53" i="10"/>
  <c r="G58" i="10" s="1"/>
  <c r="Q44" i="10"/>
  <c r="D49" i="10"/>
  <c r="D124" i="10" s="1"/>
  <c r="D43" i="10"/>
  <c r="D50" i="10"/>
  <c r="AE16" i="17"/>
  <c r="G28" i="10"/>
  <c r="P29" i="10"/>
  <c r="N52" i="10"/>
  <c r="D129" i="10"/>
  <c r="D279" i="10" s="1"/>
  <c r="P57" i="10"/>
  <c r="O16" i="17"/>
  <c r="H12" i="11"/>
  <c r="E12" i="11"/>
  <c r="D130" i="10"/>
  <c r="D280" i="10" s="1"/>
  <c r="G282" i="10"/>
  <c r="N117" i="10"/>
  <c r="N190" i="10"/>
  <c r="C149" i="11"/>
  <c r="D247" i="10"/>
  <c r="G103" i="10"/>
  <c r="H38" i="9"/>
  <c r="H12" i="10" s="1"/>
  <c r="L12" i="10" s="1"/>
  <c r="N115" i="10"/>
  <c r="N54" i="10"/>
  <c r="P239" i="10"/>
  <c r="P149" i="10"/>
  <c r="C98" i="11"/>
  <c r="N149" i="10"/>
  <c r="I119" i="10"/>
  <c r="I131" i="10"/>
  <c r="I281" i="10" s="1"/>
  <c r="E131" i="10"/>
  <c r="P116" i="10"/>
  <c r="N74" i="10"/>
  <c r="N44" i="10"/>
  <c r="I16" i="14"/>
  <c r="P209" i="10"/>
  <c r="P14" i="10"/>
  <c r="N265" i="10"/>
  <c r="N189" i="10"/>
  <c r="N148" i="10"/>
  <c r="G114" i="10"/>
  <c r="G129" i="10" s="1"/>
  <c r="G279" i="10" s="1"/>
  <c r="N73" i="10"/>
  <c r="P43" i="10"/>
  <c r="E40" i="11"/>
  <c r="D26" i="11"/>
  <c r="B283" i="10"/>
  <c r="B58" i="10"/>
  <c r="D262" i="10"/>
  <c r="N163" i="10"/>
  <c r="N187" i="10"/>
  <c r="E84" i="11"/>
  <c r="P13" i="10"/>
  <c r="I2" i="14" s="1"/>
  <c r="G98" i="11"/>
  <c r="G125" i="10"/>
  <c r="E125" i="10"/>
  <c r="E275" i="10" s="1"/>
  <c r="H38" i="2"/>
  <c r="H5" i="10" s="1"/>
  <c r="L5" i="10" s="1"/>
  <c r="P88" i="10"/>
  <c r="E56" i="11"/>
  <c r="N43" i="10"/>
  <c r="F58" i="10"/>
  <c r="G12" i="11"/>
  <c r="G124" i="10"/>
  <c r="P49" i="10"/>
  <c r="N28" i="10"/>
  <c r="GH16" i="17"/>
  <c r="N239" i="10"/>
  <c r="D168" i="11"/>
  <c r="P238" i="10"/>
  <c r="C168" i="11"/>
  <c r="E168" i="11"/>
  <c r="N245" i="10"/>
  <c r="FR16" i="17"/>
  <c r="G251" i="10"/>
  <c r="G223" i="10"/>
  <c r="P250" i="10"/>
  <c r="FB16" i="17"/>
  <c r="G266" i="10"/>
  <c r="J254" i="10"/>
  <c r="G265" i="10"/>
  <c r="G260" i="10"/>
  <c r="N252" i="10"/>
  <c r="J282" i="10"/>
  <c r="P247" i="10"/>
  <c r="N208" i="10"/>
  <c r="P246" i="10"/>
  <c r="EL16" i="17"/>
  <c r="N186" i="10"/>
  <c r="P191" i="10"/>
  <c r="G179" i="10"/>
  <c r="G263" i="10"/>
  <c r="P262" i="10"/>
  <c r="P260" i="10"/>
  <c r="N178" i="10"/>
  <c r="J269" i="10"/>
  <c r="P179" i="10"/>
  <c r="N179" i="10"/>
  <c r="P261" i="10"/>
  <c r="P185" i="10"/>
  <c r="P264" i="10"/>
  <c r="P265" i="10"/>
  <c r="P267" i="10"/>
  <c r="P192" i="10"/>
  <c r="H44" i="8"/>
  <c r="H47" i="8" s="1"/>
  <c r="B26" i="10"/>
  <c r="I253" i="10"/>
  <c r="N209" i="10"/>
  <c r="P184" i="10"/>
  <c r="F193" i="10"/>
  <c r="P259" i="10"/>
  <c r="G115" i="10"/>
  <c r="G73" i="10"/>
  <c r="H38" i="6"/>
  <c r="H7" i="10" s="1"/>
  <c r="D98" i="11"/>
  <c r="I128" i="10"/>
  <c r="I59" i="10"/>
  <c r="J268" i="10"/>
  <c r="P187" i="10"/>
  <c r="N185" i="10"/>
  <c r="N164" i="10"/>
  <c r="I118" i="10"/>
  <c r="H38" i="5"/>
  <c r="H9" i="10" s="1"/>
  <c r="G140" i="11"/>
  <c r="I194" i="10"/>
  <c r="E193" i="10"/>
  <c r="N184" i="10"/>
  <c r="E98" i="11"/>
  <c r="P56" i="10"/>
  <c r="F131" i="10"/>
  <c r="D59" i="10"/>
  <c r="J125" i="10"/>
  <c r="J275" i="10" s="1"/>
  <c r="F6" i="11"/>
  <c r="L6" i="10"/>
  <c r="O6" i="10"/>
  <c r="K6" i="10"/>
  <c r="M6" i="10"/>
  <c r="D140" i="11"/>
  <c r="E194" i="10"/>
  <c r="N188" i="10"/>
  <c r="N267" i="10"/>
  <c r="N261" i="10"/>
  <c r="N116" i="10"/>
  <c r="J119" i="10"/>
  <c r="J128" i="10"/>
  <c r="N56" i="10"/>
  <c r="P28" i="10"/>
  <c r="N110" i="10"/>
  <c r="P117" i="10"/>
  <c r="F132" i="10"/>
  <c r="C2" i="14"/>
  <c r="N13" i="10"/>
  <c r="F2" i="14" s="1"/>
  <c r="H48" i="3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7" i="3" s="1"/>
  <c r="H68" i="3" s="1"/>
  <c r="H69" i="3" s="1"/>
  <c r="H70" i="3" s="1"/>
  <c r="H71" i="3" s="1"/>
  <c r="H72" i="3" s="1"/>
  <c r="H73" i="3" s="1"/>
  <c r="H74" i="3" s="1"/>
  <c r="H75" i="3" s="1"/>
  <c r="H82" i="3" s="1"/>
  <c r="H98" i="11"/>
  <c r="N112" i="10"/>
  <c r="P44" i="10"/>
  <c r="C26" i="11"/>
  <c r="E130" i="10"/>
  <c r="N55" i="10"/>
  <c r="H44" i="6"/>
  <c r="H47" i="6" s="1"/>
  <c r="B22" i="10"/>
  <c r="H44" i="5"/>
  <c r="H47" i="5" s="1"/>
  <c r="B24" i="10"/>
  <c r="I254" i="10"/>
  <c r="I193" i="10"/>
  <c r="H140" i="11"/>
  <c r="P190" i="10"/>
  <c r="J131" i="10"/>
  <c r="J281" i="10" s="1"/>
  <c r="P249" i="10"/>
  <c r="N244" i="10"/>
  <c r="J58" i="10"/>
  <c r="N29" i="10"/>
  <c r="F119" i="10"/>
  <c r="P113" i="10"/>
  <c r="F128" i="10"/>
  <c r="H44" i="7"/>
  <c r="H47" i="7" s="1"/>
  <c r="B25" i="10"/>
  <c r="I8" i="8"/>
  <c r="H9" i="4"/>
  <c r="H38" i="7"/>
  <c r="H10" i="10" s="1"/>
  <c r="P245" i="10"/>
  <c r="P189" i="10"/>
  <c r="N247" i="10"/>
  <c r="N264" i="10"/>
  <c r="N113" i="10"/>
  <c r="E119" i="10"/>
  <c r="N109" i="10"/>
  <c r="E118" i="10"/>
  <c r="H44" i="9"/>
  <c r="H47" i="9" s="1"/>
  <c r="B27" i="10"/>
  <c r="N238" i="10"/>
  <c r="N246" i="10"/>
  <c r="P244" i="10"/>
  <c r="J194" i="10"/>
  <c r="P186" i="10"/>
  <c r="B133" i="10"/>
  <c r="J127" i="10"/>
  <c r="J277" i="10" s="1"/>
  <c r="P50" i="10"/>
  <c r="F125" i="10"/>
  <c r="N192" i="10"/>
  <c r="P51" i="10"/>
  <c r="F126" i="10"/>
  <c r="Q104" i="10"/>
  <c r="P115" i="10"/>
  <c r="F130" i="10"/>
  <c r="J118" i="10"/>
  <c r="J124" i="10"/>
  <c r="N50" i="10"/>
  <c r="N14" i="10"/>
  <c r="P111" i="10"/>
  <c r="P178" i="10"/>
  <c r="N103" i="10"/>
  <c r="C40" i="11"/>
  <c r="D12" i="11"/>
  <c r="I126" i="10"/>
  <c r="I276" i="10" s="1"/>
  <c r="P73" i="10"/>
  <c r="J193" i="10"/>
  <c r="Q89" i="10"/>
  <c r="N89" i="10"/>
  <c r="E132" i="10"/>
  <c r="N57" i="10"/>
  <c r="I124" i="10"/>
  <c r="I58" i="10"/>
  <c r="I132" i="10"/>
  <c r="I282" i="10" s="1"/>
  <c r="N191" i="10"/>
  <c r="N250" i="10"/>
  <c r="H38" i="8"/>
  <c r="H11" i="10" s="1"/>
  <c r="H44" i="2"/>
  <c r="H47" i="2" s="1"/>
  <c r="B20" i="10"/>
  <c r="P252" i="10"/>
  <c r="N262" i="10"/>
  <c r="N260" i="10"/>
  <c r="I268" i="10"/>
  <c r="J253" i="10"/>
  <c r="E140" i="11"/>
  <c r="F194" i="10"/>
  <c r="P188" i="10"/>
  <c r="D132" i="10"/>
  <c r="P54" i="10"/>
  <c r="F129" i="10"/>
  <c r="P52" i="10"/>
  <c r="F127" i="10"/>
  <c r="I269" i="10"/>
  <c r="N259" i="10"/>
  <c r="J276" i="10"/>
  <c r="H56" i="11"/>
  <c r="F59" i="10"/>
  <c r="E128" i="10"/>
  <c r="N53" i="10"/>
  <c r="E59" i="10"/>
  <c r="E126" i="10"/>
  <c r="N51" i="10"/>
  <c r="E124" i="10"/>
  <c r="N49" i="10"/>
  <c r="E58" i="10"/>
  <c r="G70" i="11"/>
  <c r="F118" i="10"/>
  <c r="P109" i="10"/>
  <c r="F124" i="10"/>
  <c r="D70" i="11"/>
  <c r="J59" i="10"/>
  <c r="Q14" i="10"/>
  <c r="P74" i="10"/>
  <c r="G193" i="10" l="1"/>
  <c r="W448" i="4"/>
  <c r="Y447" i="4"/>
  <c r="X375" i="4"/>
  <c r="Y374" i="4"/>
  <c r="G254" i="10"/>
  <c r="B19" i="10"/>
  <c r="D193" i="10"/>
  <c r="P194" i="10"/>
  <c r="D282" i="10"/>
  <c r="D276" i="10"/>
  <c r="G119" i="10"/>
  <c r="N129" i="10"/>
  <c r="D125" i="10"/>
  <c r="D275" i="10" s="1"/>
  <c r="D118" i="10"/>
  <c r="K12" i="10"/>
  <c r="O12" i="10"/>
  <c r="F11" i="11"/>
  <c r="G128" i="10"/>
  <c r="G134" i="10" s="1"/>
  <c r="D127" i="10"/>
  <c r="P127" i="10" s="1"/>
  <c r="G59" i="10"/>
  <c r="Q59" i="10" s="1"/>
  <c r="D119" i="10"/>
  <c r="P119" i="10" s="1"/>
  <c r="M12" i="10"/>
  <c r="G274" i="10"/>
  <c r="D58" i="10"/>
  <c r="G275" i="10"/>
  <c r="G281" i="10"/>
  <c r="F5" i="11"/>
  <c r="N59" i="10"/>
  <c r="N131" i="10"/>
  <c r="O5" i="10"/>
  <c r="M5" i="10"/>
  <c r="N119" i="10"/>
  <c r="N125" i="10"/>
  <c r="P118" i="10"/>
  <c r="N58" i="10"/>
  <c r="K5" i="10"/>
  <c r="G253" i="10"/>
  <c r="G268" i="10"/>
  <c r="G269" i="10"/>
  <c r="N193" i="10"/>
  <c r="F277" i="10"/>
  <c r="F10" i="11"/>
  <c r="M11" i="10"/>
  <c r="L11" i="10"/>
  <c r="O11" i="10"/>
  <c r="K11" i="10"/>
  <c r="E282" i="10"/>
  <c r="N132" i="10"/>
  <c r="J274" i="10"/>
  <c r="J133" i="10"/>
  <c r="F275" i="10"/>
  <c r="H48" i="9"/>
  <c r="H49" i="9" s="1"/>
  <c r="H50" i="9" s="1"/>
  <c r="H51" i="9" s="1"/>
  <c r="H52" i="9" s="1"/>
  <c r="H53" i="9" s="1"/>
  <c r="H54" i="9" s="1"/>
  <c r="H55" i="9" s="1"/>
  <c r="H56" i="9" s="1"/>
  <c r="H57" i="9" s="1"/>
  <c r="H58" i="9" s="1"/>
  <c r="H59" i="9" s="1"/>
  <c r="H60" i="9" s="1"/>
  <c r="H61" i="9" s="1"/>
  <c r="H62" i="9" s="1"/>
  <c r="H63" i="9" s="1"/>
  <c r="H64" i="9" s="1"/>
  <c r="H65" i="9" s="1"/>
  <c r="H66" i="9" s="1"/>
  <c r="H67" i="9" s="1"/>
  <c r="H68" i="9" s="1"/>
  <c r="H69" i="9" s="1"/>
  <c r="H70" i="9" s="1"/>
  <c r="H71" i="9" s="1"/>
  <c r="H72" i="9" s="1"/>
  <c r="H73" i="9" s="1"/>
  <c r="H74" i="9" s="1"/>
  <c r="H75" i="9" s="1"/>
  <c r="H82" i="9" s="1"/>
  <c r="H76" i="3"/>
  <c r="H21" i="10" s="1"/>
  <c r="F282" i="10"/>
  <c r="P132" i="10"/>
  <c r="J278" i="10"/>
  <c r="J284" i="10" s="1"/>
  <c r="J134" i="10"/>
  <c r="F7" i="11"/>
  <c r="M7" i="10"/>
  <c r="L7" i="10"/>
  <c r="K7" i="10"/>
  <c r="O7" i="10"/>
  <c r="H48" i="2"/>
  <c r="H49" i="2" s="1"/>
  <c r="H50" i="2" s="1"/>
  <c r="H51" i="2" s="1"/>
  <c r="H52" i="2" s="1"/>
  <c r="H53" i="2" s="1"/>
  <c r="H54" i="2" s="1"/>
  <c r="H55" i="2" s="1"/>
  <c r="H56" i="2" s="1"/>
  <c r="H57" i="2" s="1"/>
  <c r="H58" i="2" s="1"/>
  <c r="H59" i="2" s="1"/>
  <c r="H60" i="2" s="1"/>
  <c r="H61" i="2" s="1"/>
  <c r="H62" i="2" s="1"/>
  <c r="H63" i="2" s="1"/>
  <c r="H64" i="2" s="1"/>
  <c r="H65" i="2" s="1"/>
  <c r="H66" i="2" s="1"/>
  <c r="H67" i="2" s="1"/>
  <c r="H68" i="2" s="1"/>
  <c r="H69" i="2" s="1"/>
  <c r="H70" i="2" s="1"/>
  <c r="H71" i="2" s="1"/>
  <c r="H72" i="2" s="1"/>
  <c r="H73" i="2" s="1"/>
  <c r="H74" i="2" s="1"/>
  <c r="H75" i="2" s="1"/>
  <c r="H82" i="2" s="1"/>
  <c r="I9" i="8"/>
  <c r="H10" i="4"/>
  <c r="D274" i="10"/>
  <c r="E280" i="10"/>
  <c r="N130" i="10"/>
  <c r="F9" i="11"/>
  <c r="M9" i="10"/>
  <c r="L9" i="10"/>
  <c r="K9" i="10"/>
  <c r="O9" i="10"/>
  <c r="F276" i="10"/>
  <c r="P126" i="10"/>
  <c r="N118" i="10"/>
  <c r="H48" i="6"/>
  <c r="H49" i="6" s="1"/>
  <c r="H50" i="6" s="1"/>
  <c r="H51" i="6" s="1"/>
  <c r="H52" i="6" s="1"/>
  <c r="H53" i="6" s="1"/>
  <c r="H54" i="6" s="1"/>
  <c r="H55" i="6" s="1"/>
  <c r="H56" i="6" s="1"/>
  <c r="H57" i="6" s="1"/>
  <c r="H58" i="6" s="1"/>
  <c r="H59" i="6" s="1"/>
  <c r="H60" i="6" s="1"/>
  <c r="H61" i="6" s="1"/>
  <c r="H62" i="6" s="1"/>
  <c r="H63" i="6" s="1"/>
  <c r="H64" i="6" s="1"/>
  <c r="H65" i="6" s="1"/>
  <c r="H66" i="6" s="1"/>
  <c r="H67" i="6" s="1"/>
  <c r="H68" i="6" s="1"/>
  <c r="H69" i="6" s="1"/>
  <c r="H70" i="6" s="1"/>
  <c r="H71" i="6" s="1"/>
  <c r="H72" i="6" s="1"/>
  <c r="H73" i="6" s="1"/>
  <c r="H74" i="6" s="1"/>
  <c r="H75" i="6" s="1"/>
  <c r="H82" i="6" s="1"/>
  <c r="H85" i="3"/>
  <c r="B36" i="10"/>
  <c r="N127" i="10"/>
  <c r="F281" i="10"/>
  <c r="P281" i="10" s="1"/>
  <c r="P131" i="10"/>
  <c r="P193" i="10"/>
  <c r="E276" i="10"/>
  <c r="N126" i="10"/>
  <c r="F134" i="10"/>
  <c r="P128" i="10"/>
  <c r="H48" i="5"/>
  <c r="H49" i="5" s="1"/>
  <c r="H50" i="5" s="1"/>
  <c r="H51" i="5" s="1"/>
  <c r="H52" i="5" s="1"/>
  <c r="H53" i="5" s="1"/>
  <c r="H54" i="5" s="1"/>
  <c r="H55" i="5" s="1"/>
  <c r="H56" i="5" s="1"/>
  <c r="H57" i="5" s="1"/>
  <c r="H58" i="5" s="1"/>
  <c r="H59" i="5" s="1"/>
  <c r="H60" i="5" s="1"/>
  <c r="H61" i="5" s="1"/>
  <c r="H62" i="5" s="1"/>
  <c r="H63" i="5" s="1"/>
  <c r="H64" i="5" s="1"/>
  <c r="H65" i="5" s="1"/>
  <c r="H66" i="5" s="1"/>
  <c r="H67" i="5" s="1"/>
  <c r="H68" i="5" s="1"/>
  <c r="H69" i="5" s="1"/>
  <c r="H70" i="5" s="1"/>
  <c r="H71" i="5" s="1"/>
  <c r="H72" i="5" s="1"/>
  <c r="H73" i="5" s="1"/>
  <c r="H74" i="5" s="1"/>
  <c r="H75" i="5" s="1"/>
  <c r="H82" i="5" s="1"/>
  <c r="D134" i="10"/>
  <c r="P58" i="10"/>
  <c r="E274" i="10"/>
  <c r="E133" i="10"/>
  <c r="N124" i="10"/>
  <c r="P59" i="10"/>
  <c r="F274" i="10"/>
  <c r="F133" i="10"/>
  <c r="P124" i="10"/>
  <c r="E134" i="10"/>
  <c r="N128" i="10"/>
  <c r="F279" i="10"/>
  <c r="P279" i="10" s="1"/>
  <c r="P129" i="10"/>
  <c r="I274" i="10"/>
  <c r="I133" i="10"/>
  <c r="F280" i="10"/>
  <c r="P280" i="10" s="1"/>
  <c r="P130" i="10"/>
  <c r="L10" i="10"/>
  <c r="O10" i="10"/>
  <c r="K10" i="10"/>
  <c r="M10" i="10"/>
  <c r="H48" i="7"/>
  <c r="H49" i="7" s="1"/>
  <c r="H50" i="7" s="1"/>
  <c r="H51" i="7" s="1"/>
  <c r="H52" i="7" s="1"/>
  <c r="H53" i="7" s="1"/>
  <c r="H54" i="7" s="1"/>
  <c r="H55" i="7" s="1"/>
  <c r="H56" i="7" s="1"/>
  <c r="H57" i="7" s="1"/>
  <c r="H58" i="7" s="1"/>
  <c r="H59" i="7" s="1"/>
  <c r="H60" i="7" s="1"/>
  <c r="H61" i="7" s="1"/>
  <c r="H62" i="7" s="1"/>
  <c r="H63" i="7" s="1"/>
  <c r="H64" i="7" s="1"/>
  <c r="H65" i="7" s="1"/>
  <c r="H66" i="7" s="1"/>
  <c r="H67" i="7" s="1"/>
  <c r="H68" i="7" s="1"/>
  <c r="H69" i="7" s="1"/>
  <c r="H70" i="7" s="1"/>
  <c r="H71" i="7" s="1"/>
  <c r="H72" i="7" s="1"/>
  <c r="H73" i="7" s="1"/>
  <c r="H74" i="7" s="1"/>
  <c r="H75" i="7" s="1"/>
  <c r="H82" i="7" s="1"/>
  <c r="Q119" i="10"/>
  <c r="N194" i="10"/>
  <c r="I278" i="10"/>
  <c r="I284" i="10" s="1"/>
  <c r="I134" i="10"/>
  <c r="G118" i="10"/>
  <c r="G130" i="10"/>
  <c r="H48" i="8"/>
  <c r="H49" i="8" s="1"/>
  <c r="H50" i="8" s="1"/>
  <c r="H51" i="8" s="1"/>
  <c r="H52" i="8" s="1"/>
  <c r="H53" i="8" s="1"/>
  <c r="H54" i="8" s="1"/>
  <c r="H55" i="8" s="1"/>
  <c r="H56" i="8" s="1"/>
  <c r="H57" i="8" s="1"/>
  <c r="H58" i="8" s="1"/>
  <c r="H59" i="8" s="1"/>
  <c r="H60" i="8" s="1"/>
  <c r="H61" i="8" s="1"/>
  <c r="H62" i="8" s="1"/>
  <c r="H63" i="8" s="1"/>
  <c r="H64" i="8" s="1"/>
  <c r="H65" i="8" s="1"/>
  <c r="H66" i="8" s="1"/>
  <c r="H67" i="8" s="1"/>
  <c r="H68" i="8" s="1"/>
  <c r="H69" i="8" s="1"/>
  <c r="H70" i="8" s="1"/>
  <c r="H71" i="8" s="1"/>
  <c r="H72" i="8" s="1"/>
  <c r="H73" i="8" s="1"/>
  <c r="H74" i="8" s="1"/>
  <c r="H75" i="8" s="1"/>
  <c r="H82" i="8" s="1"/>
  <c r="H85" i="8" s="1"/>
  <c r="H86" i="8" s="1"/>
  <c r="H87" i="8" s="1"/>
  <c r="H88" i="8" s="1"/>
  <c r="H89" i="8" s="1"/>
  <c r="H90" i="8" s="1"/>
  <c r="H91" i="8" s="1"/>
  <c r="H92" i="8" s="1"/>
  <c r="H93" i="8" s="1"/>
  <c r="H94" i="8" s="1"/>
  <c r="H95" i="8" s="1"/>
  <c r="H96" i="8" s="1"/>
  <c r="H97" i="8" s="1"/>
  <c r="H98" i="8" s="1"/>
  <c r="H99" i="8" s="1"/>
  <c r="H100" i="8" s="1"/>
  <c r="H101" i="8" s="1"/>
  <c r="H102" i="8" s="1"/>
  <c r="H103" i="8" s="1"/>
  <c r="H104" i="8" s="1"/>
  <c r="H105" i="8" s="1"/>
  <c r="H106" i="8" s="1"/>
  <c r="H107" i="8" s="1"/>
  <c r="H108" i="8" s="1"/>
  <c r="H109" i="8" s="1"/>
  <c r="H110" i="8" s="1"/>
  <c r="H111" i="8" s="1"/>
  <c r="H112" i="8" s="1"/>
  <c r="H113" i="8" s="1"/>
  <c r="H114" i="8" s="1"/>
  <c r="H115" i="8" s="1"/>
  <c r="Y448" i="4" l="1"/>
  <c r="W449" i="4"/>
  <c r="P282" i="10"/>
  <c r="X376" i="4"/>
  <c r="Y375" i="4"/>
  <c r="H44" i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82" i="1" s="1"/>
  <c r="B34" i="10" s="1"/>
  <c r="H38" i="1"/>
  <c r="H4" i="10" s="1"/>
  <c r="P276" i="10"/>
  <c r="P275" i="10"/>
  <c r="P125" i="10"/>
  <c r="G278" i="10"/>
  <c r="G284" i="10" s="1"/>
  <c r="D277" i="10"/>
  <c r="P277" i="10" s="1"/>
  <c r="D133" i="10"/>
  <c r="P133" i="10" s="1"/>
  <c r="M21" i="10"/>
  <c r="O21" i="10"/>
  <c r="K21" i="10"/>
  <c r="H76" i="9"/>
  <c r="H27" i="10" s="1"/>
  <c r="N134" i="10"/>
  <c r="N277" i="10"/>
  <c r="N279" i="10"/>
  <c r="N276" i="10"/>
  <c r="J283" i="10"/>
  <c r="B41" i="10"/>
  <c r="G280" i="10"/>
  <c r="G133" i="10"/>
  <c r="N133" i="10"/>
  <c r="P134" i="10"/>
  <c r="H76" i="6"/>
  <c r="H22" i="10" s="1"/>
  <c r="Q134" i="10"/>
  <c r="B40" i="10"/>
  <c r="H85" i="7"/>
  <c r="I283" i="10"/>
  <c r="P274" i="10"/>
  <c r="N274" i="10"/>
  <c r="H85" i="6"/>
  <c r="B37" i="10"/>
  <c r="N280" i="10"/>
  <c r="H85" i="2"/>
  <c r="B35" i="10"/>
  <c r="F20" i="11"/>
  <c r="L21" i="10"/>
  <c r="N282" i="10"/>
  <c r="H86" i="3"/>
  <c r="H87" i="3" s="1"/>
  <c r="H88" i="3" s="1"/>
  <c r="H89" i="3" s="1"/>
  <c r="H90" i="3" s="1"/>
  <c r="H91" i="3" s="1"/>
  <c r="H92" i="3" s="1"/>
  <c r="H93" i="3" s="1"/>
  <c r="H94" i="3" s="1"/>
  <c r="H95" i="3" s="1"/>
  <c r="H96" i="3" s="1"/>
  <c r="H97" i="3" s="1"/>
  <c r="H98" i="3" s="1"/>
  <c r="H99" i="3" s="1"/>
  <c r="H100" i="3" s="1"/>
  <c r="H101" i="3" s="1"/>
  <c r="H102" i="3" s="1"/>
  <c r="H103" i="3" s="1"/>
  <c r="H104" i="3" s="1"/>
  <c r="H105" i="3" s="1"/>
  <c r="H106" i="3" s="1"/>
  <c r="H107" i="3" s="1"/>
  <c r="H108" i="3" s="1"/>
  <c r="H109" i="3" s="1"/>
  <c r="H110" i="3" s="1"/>
  <c r="H111" i="3" s="1"/>
  <c r="H112" i="3" s="1"/>
  <c r="H113" i="3" s="1"/>
  <c r="H114" i="3" s="1"/>
  <c r="H115" i="3" s="1"/>
  <c r="H122" i="3" s="1"/>
  <c r="H85" i="5"/>
  <c r="B39" i="10"/>
  <c r="H76" i="8"/>
  <c r="H26" i="10" s="1"/>
  <c r="H76" i="7"/>
  <c r="H25" i="10" s="1"/>
  <c r="H76" i="5"/>
  <c r="H24" i="10" s="1"/>
  <c r="I10" i="8"/>
  <c r="H11" i="4"/>
  <c r="H76" i="2"/>
  <c r="H20" i="10" s="1"/>
  <c r="H85" i="9"/>
  <c r="B42" i="10"/>
  <c r="N275" i="10"/>
  <c r="W450" i="4" l="1"/>
  <c r="Y449" i="4"/>
  <c r="X377" i="4"/>
  <c r="Y376" i="4"/>
  <c r="H85" i="1"/>
  <c r="H76" i="1"/>
  <c r="H19" i="10" s="1"/>
  <c r="K19" i="10" s="1"/>
  <c r="O4" i="10"/>
  <c r="K4" i="10"/>
  <c r="M4" i="10"/>
  <c r="L4" i="10"/>
  <c r="F4" i="11"/>
  <c r="G283" i="10"/>
  <c r="M20" i="10"/>
  <c r="O20" i="10"/>
  <c r="K20" i="10"/>
  <c r="O22" i="10"/>
  <c r="M22" i="10"/>
  <c r="K22" i="10"/>
  <c r="K24" i="10"/>
  <c r="O24" i="10"/>
  <c r="M24" i="10"/>
  <c r="M25" i="10"/>
  <c r="O25" i="10"/>
  <c r="K25" i="10"/>
  <c r="F25" i="11"/>
  <c r="K27" i="10"/>
  <c r="M27" i="10"/>
  <c r="O27" i="10"/>
  <c r="O26" i="10"/>
  <c r="M26" i="10"/>
  <c r="K26" i="10"/>
  <c r="L27" i="10"/>
  <c r="F18" i="11"/>
  <c r="L19" i="10"/>
  <c r="F23" i="11"/>
  <c r="L24" i="10"/>
  <c r="H86" i="5"/>
  <c r="H87" i="5" s="1"/>
  <c r="H88" i="5" s="1"/>
  <c r="H89" i="5" s="1"/>
  <c r="H90" i="5" s="1"/>
  <c r="H91" i="5" s="1"/>
  <c r="H92" i="5" s="1"/>
  <c r="H93" i="5" s="1"/>
  <c r="H94" i="5" s="1"/>
  <c r="H95" i="5" s="1"/>
  <c r="H96" i="5" s="1"/>
  <c r="H97" i="5" s="1"/>
  <c r="H98" i="5" s="1"/>
  <c r="H99" i="5" s="1"/>
  <c r="H100" i="5" s="1"/>
  <c r="H101" i="5" s="1"/>
  <c r="H102" i="5" s="1"/>
  <c r="H103" i="5" s="1"/>
  <c r="H104" i="5" s="1"/>
  <c r="H105" i="5" s="1"/>
  <c r="H106" i="5" s="1"/>
  <c r="H107" i="5" s="1"/>
  <c r="H108" i="5" s="1"/>
  <c r="H109" i="5" s="1"/>
  <c r="H110" i="5" s="1"/>
  <c r="H111" i="5" s="1"/>
  <c r="H112" i="5" s="1"/>
  <c r="H113" i="5" s="1"/>
  <c r="H114" i="5" s="1"/>
  <c r="H115" i="5" s="1"/>
  <c r="H122" i="5" s="1"/>
  <c r="F19" i="11"/>
  <c r="L20" i="10"/>
  <c r="H116" i="3"/>
  <c r="H36" i="10" s="1"/>
  <c r="H86" i="6"/>
  <c r="H87" i="6" s="1"/>
  <c r="H88" i="6" s="1"/>
  <c r="H89" i="6" s="1"/>
  <c r="H90" i="6" s="1"/>
  <c r="H91" i="6" s="1"/>
  <c r="H92" i="6" s="1"/>
  <c r="H93" i="6" s="1"/>
  <c r="H94" i="6" s="1"/>
  <c r="H95" i="6" s="1"/>
  <c r="H96" i="6" s="1"/>
  <c r="H97" i="6" s="1"/>
  <c r="H98" i="6" s="1"/>
  <c r="H99" i="6" s="1"/>
  <c r="H100" i="6" s="1"/>
  <c r="H101" i="6" s="1"/>
  <c r="H102" i="6" s="1"/>
  <c r="H103" i="6" s="1"/>
  <c r="H104" i="6" s="1"/>
  <c r="H105" i="6" s="1"/>
  <c r="H106" i="6" s="1"/>
  <c r="H107" i="6" s="1"/>
  <c r="H108" i="6" s="1"/>
  <c r="H109" i="6" s="1"/>
  <c r="H110" i="6" s="1"/>
  <c r="H111" i="6" s="1"/>
  <c r="H112" i="6" s="1"/>
  <c r="H113" i="6" s="1"/>
  <c r="H114" i="6" s="1"/>
  <c r="H115" i="6" s="1"/>
  <c r="H122" i="6" s="1"/>
  <c r="H86" i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22" i="1" s="1"/>
  <c r="H86" i="9"/>
  <c r="H87" i="9" s="1"/>
  <c r="H88" i="9" s="1"/>
  <c r="H89" i="9" s="1"/>
  <c r="H90" i="9" s="1"/>
  <c r="H91" i="9" s="1"/>
  <c r="H92" i="9" s="1"/>
  <c r="H93" i="9" s="1"/>
  <c r="H94" i="9" s="1"/>
  <c r="H95" i="9" s="1"/>
  <c r="H96" i="9" s="1"/>
  <c r="H97" i="9" s="1"/>
  <c r="H98" i="9" s="1"/>
  <c r="H99" i="9" s="1"/>
  <c r="H100" i="9" s="1"/>
  <c r="H101" i="9" s="1"/>
  <c r="H102" i="9" s="1"/>
  <c r="H103" i="9" s="1"/>
  <c r="H104" i="9" s="1"/>
  <c r="H105" i="9" s="1"/>
  <c r="H106" i="9" s="1"/>
  <c r="H107" i="9" s="1"/>
  <c r="H108" i="9" s="1"/>
  <c r="H109" i="9" s="1"/>
  <c r="H110" i="9" s="1"/>
  <c r="H111" i="9" s="1"/>
  <c r="H112" i="9" s="1"/>
  <c r="H113" i="9" s="1"/>
  <c r="H114" i="9" s="1"/>
  <c r="H115" i="9" s="1"/>
  <c r="H122" i="9" s="1"/>
  <c r="F24" i="11"/>
  <c r="L26" i="10"/>
  <c r="F21" i="11"/>
  <c r="L22" i="10"/>
  <c r="I11" i="8"/>
  <c r="H12" i="4"/>
  <c r="H86" i="2"/>
  <c r="H87" i="2" s="1"/>
  <c r="H88" i="2" s="1"/>
  <c r="H89" i="2" s="1"/>
  <c r="H90" i="2" s="1"/>
  <c r="H91" i="2" s="1"/>
  <c r="H92" i="2" s="1"/>
  <c r="H93" i="2" s="1"/>
  <c r="H94" i="2" s="1"/>
  <c r="H95" i="2" s="1"/>
  <c r="H96" i="2" s="1"/>
  <c r="H97" i="2" s="1"/>
  <c r="H98" i="2" s="1"/>
  <c r="H99" i="2" s="1"/>
  <c r="H100" i="2" s="1"/>
  <c r="H101" i="2" s="1"/>
  <c r="H102" i="2" s="1"/>
  <c r="H103" i="2" s="1"/>
  <c r="H104" i="2" s="1"/>
  <c r="H105" i="2" s="1"/>
  <c r="H106" i="2" s="1"/>
  <c r="H107" i="2" s="1"/>
  <c r="H108" i="2" s="1"/>
  <c r="H109" i="2" s="1"/>
  <c r="H110" i="2" s="1"/>
  <c r="H111" i="2" s="1"/>
  <c r="H112" i="2" s="1"/>
  <c r="H113" i="2" s="1"/>
  <c r="H114" i="2" s="1"/>
  <c r="H115" i="2" s="1"/>
  <c r="H122" i="2" s="1"/>
  <c r="H125" i="3"/>
  <c r="B66" i="10"/>
  <c r="B111" i="10" s="1"/>
  <c r="L25" i="10"/>
  <c r="H86" i="7"/>
  <c r="H87" i="7" s="1"/>
  <c r="H88" i="7" s="1"/>
  <c r="H89" i="7" s="1"/>
  <c r="H90" i="7" s="1"/>
  <c r="H91" i="7" s="1"/>
  <c r="H92" i="7" s="1"/>
  <c r="H93" i="7" s="1"/>
  <c r="H94" i="7" s="1"/>
  <c r="H95" i="7" s="1"/>
  <c r="H96" i="7" s="1"/>
  <c r="H97" i="7" s="1"/>
  <c r="H98" i="7" s="1"/>
  <c r="H99" i="7" s="1"/>
  <c r="H100" i="7" s="1"/>
  <c r="H101" i="7" s="1"/>
  <c r="H102" i="7" s="1"/>
  <c r="H103" i="7" s="1"/>
  <c r="H104" i="7" s="1"/>
  <c r="H105" i="7" s="1"/>
  <c r="H106" i="7" s="1"/>
  <c r="H107" i="7" s="1"/>
  <c r="H108" i="7" s="1"/>
  <c r="H109" i="7" s="1"/>
  <c r="H110" i="7" s="1"/>
  <c r="H111" i="7" s="1"/>
  <c r="H112" i="7" s="1"/>
  <c r="H113" i="7" s="1"/>
  <c r="H114" i="7" s="1"/>
  <c r="H115" i="7" s="1"/>
  <c r="H122" i="7" s="1"/>
  <c r="H122" i="8"/>
  <c r="O19" i="10" l="1"/>
  <c r="M19" i="10"/>
  <c r="W451" i="4"/>
  <c r="Y450" i="4"/>
  <c r="X378" i="4"/>
  <c r="Y377" i="4"/>
  <c r="H116" i="7"/>
  <c r="H40" i="10" s="1"/>
  <c r="H55" i="10" s="1"/>
  <c r="H116" i="9"/>
  <c r="H42" i="10" s="1"/>
  <c r="F39" i="11" s="1"/>
  <c r="H116" i="6"/>
  <c r="H37" i="10" s="1"/>
  <c r="H52" i="10" s="1"/>
  <c r="H116" i="2"/>
  <c r="H35" i="10" s="1"/>
  <c r="H50" i="10" s="1"/>
  <c r="H125" i="8"/>
  <c r="B71" i="10"/>
  <c r="B116" i="10" s="1"/>
  <c r="H125" i="5"/>
  <c r="B69" i="10"/>
  <c r="B114" i="10" s="1"/>
  <c r="H116" i="8"/>
  <c r="H41" i="10" s="1"/>
  <c r="I12" i="8"/>
  <c r="H13" i="4"/>
  <c r="H125" i="1"/>
  <c r="B64" i="10"/>
  <c r="O36" i="10"/>
  <c r="K36" i="10"/>
  <c r="M36" i="10"/>
  <c r="L36" i="10"/>
  <c r="H51" i="10"/>
  <c r="H116" i="5"/>
  <c r="H39" i="10" s="1"/>
  <c r="H126" i="3"/>
  <c r="H127" i="3" s="1"/>
  <c r="H128" i="3" s="1"/>
  <c r="H129" i="3" s="1"/>
  <c r="H130" i="3" s="1"/>
  <c r="H131" i="3" s="1"/>
  <c r="H132" i="3" s="1"/>
  <c r="H133" i="3" s="1"/>
  <c r="H134" i="3" s="1"/>
  <c r="H135" i="3" s="1"/>
  <c r="H136" i="3" s="1"/>
  <c r="H137" i="3" s="1"/>
  <c r="H138" i="3" s="1"/>
  <c r="H139" i="3" s="1"/>
  <c r="H140" i="3" s="1"/>
  <c r="H141" i="3" s="1"/>
  <c r="H142" i="3" s="1"/>
  <c r="H143" i="3" s="1"/>
  <c r="H144" i="3" s="1"/>
  <c r="H145" i="3" s="1"/>
  <c r="H146" i="3" s="1"/>
  <c r="H147" i="3" s="1"/>
  <c r="H148" i="3" s="1"/>
  <c r="H149" i="3" s="1"/>
  <c r="H150" i="3" s="1"/>
  <c r="H151" i="3" s="1"/>
  <c r="H152" i="3" s="1"/>
  <c r="H153" i="3" s="1"/>
  <c r="H154" i="3" s="1"/>
  <c r="H161" i="3" s="1"/>
  <c r="H125" i="7"/>
  <c r="B70" i="10"/>
  <c r="B115" i="10" s="1"/>
  <c r="H125" i="2"/>
  <c r="B65" i="10"/>
  <c r="B110" i="10" s="1"/>
  <c r="H116" i="1"/>
  <c r="H34" i="10" s="1"/>
  <c r="H125" i="9"/>
  <c r="B72" i="10"/>
  <c r="B117" i="10" s="1"/>
  <c r="H125" i="6"/>
  <c r="B67" i="10"/>
  <c r="B112" i="10" s="1"/>
  <c r="Y451" i="4" l="1"/>
  <c r="W452" i="4"/>
  <c r="X379" i="4"/>
  <c r="Y378" i="4"/>
  <c r="O51" i="10"/>
  <c r="K51" i="10"/>
  <c r="M51" i="10"/>
  <c r="L50" i="10"/>
  <c r="O50" i="10"/>
  <c r="M50" i="10"/>
  <c r="K50" i="10"/>
  <c r="O52" i="10"/>
  <c r="M52" i="10"/>
  <c r="K52" i="10"/>
  <c r="L55" i="10"/>
  <c r="O55" i="10"/>
  <c r="K55" i="10"/>
  <c r="M55" i="10"/>
  <c r="L52" i="10"/>
  <c r="M37" i="10"/>
  <c r="L40" i="10"/>
  <c r="M42" i="10"/>
  <c r="K42" i="10"/>
  <c r="H57" i="10"/>
  <c r="O42" i="10"/>
  <c r="L42" i="10"/>
  <c r="O40" i="10"/>
  <c r="M40" i="10"/>
  <c r="K40" i="10"/>
  <c r="O35" i="10"/>
  <c r="M35" i="10"/>
  <c r="K37" i="10"/>
  <c r="O37" i="10"/>
  <c r="L37" i="10"/>
  <c r="K35" i="10"/>
  <c r="L35" i="10"/>
  <c r="H126" i="2"/>
  <c r="H127" i="2" s="1"/>
  <c r="H128" i="2" s="1"/>
  <c r="H129" i="2" s="1"/>
  <c r="H130" i="2" s="1"/>
  <c r="H131" i="2" s="1"/>
  <c r="H132" i="2" s="1"/>
  <c r="H133" i="2" s="1"/>
  <c r="H134" i="2" s="1"/>
  <c r="H135" i="2" s="1"/>
  <c r="H136" i="2" s="1"/>
  <c r="H137" i="2" s="1"/>
  <c r="H138" i="2" s="1"/>
  <c r="H139" i="2" s="1"/>
  <c r="H140" i="2" s="1"/>
  <c r="H141" i="2" s="1"/>
  <c r="H142" i="2" s="1"/>
  <c r="H143" i="2" s="1"/>
  <c r="H144" i="2" s="1"/>
  <c r="H145" i="2" s="1"/>
  <c r="H146" i="2" s="1"/>
  <c r="H147" i="2" s="1"/>
  <c r="H148" i="2" s="1"/>
  <c r="H149" i="2" s="1"/>
  <c r="H150" i="2" s="1"/>
  <c r="H151" i="2" s="1"/>
  <c r="H152" i="2" s="1"/>
  <c r="H153" i="2" s="1"/>
  <c r="H154" i="2" s="1"/>
  <c r="H161" i="2" s="1"/>
  <c r="L51" i="10"/>
  <c r="H164" i="3"/>
  <c r="B81" i="10"/>
  <c r="F38" i="11"/>
  <c r="M41" i="10"/>
  <c r="L41" i="10"/>
  <c r="O41" i="10"/>
  <c r="K41" i="10"/>
  <c r="H56" i="10"/>
  <c r="H126" i="6"/>
  <c r="H127" i="6" s="1"/>
  <c r="H128" i="6" s="1"/>
  <c r="H129" i="6" s="1"/>
  <c r="H130" i="6" s="1"/>
  <c r="H131" i="6" s="1"/>
  <c r="H132" i="6" s="1"/>
  <c r="H133" i="6" s="1"/>
  <c r="H134" i="6" s="1"/>
  <c r="H135" i="6" s="1"/>
  <c r="H136" i="6" s="1"/>
  <c r="H137" i="6" s="1"/>
  <c r="H138" i="6" s="1"/>
  <c r="H139" i="6" s="1"/>
  <c r="H140" i="6" s="1"/>
  <c r="H141" i="6" s="1"/>
  <c r="H142" i="6" s="1"/>
  <c r="H143" i="6" s="1"/>
  <c r="H144" i="6" s="1"/>
  <c r="H145" i="6" s="1"/>
  <c r="H146" i="6" s="1"/>
  <c r="H147" i="6" s="1"/>
  <c r="H148" i="6" s="1"/>
  <c r="H149" i="6" s="1"/>
  <c r="H150" i="6" s="1"/>
  <c r="H151" i="6" s="1"/>
  <c r="H152" i="6" s="1"/>
  <c r="H153" i="6" s="1"/>
  <c r="H154" i="6" s="1"/>
  <c r="H161" i="6" s="1"/>
  <c r="O34" i="10"/>
  <c r="K34" i="10"/>
  <c r="M34" i="10"/>
  <c r="L34" i="10"/>
  <c r="H49" i="10"/>
  <c r="H126" i="7"/>
  <c r="H127" i="7" s="1"/>
  <c r="H128" i="7" s="1"/>
  <c r="H129" i="7" s="1"/>
  <c r="H130" i="7" s="1"/>
  <c r="H131" i="7" s="1"/>
  <c r="H132" i="7" s="1"/>
  <c r="H133" i="7" s="1"/>
  <c r="H134" i="7" s="1"/>
  <c r="H135" i="7" s="1"/>
  <c r="H136" i="7" s="1"/>
  <c r="H137" i="7" s="1"/>
  <c r="H138" i="7" s="1"/>
  <c r="H139" i="7" s="1"/>
  <c r="H140" i="7" s="1"/>
  <c r="H141" i="7" s="1"/>
  <c r="H142" i="7" s="1"/>
  <c r="H143" i="7" s="1"/>
  <c r="H144" i="7" s="1"/>
  <c r="H145" i="7" s="1"/>
  <c r="H146" i="7" s="1"/>
  <c r="H147" i="7" s="1"/>
  <c r="H148" i="7" s="1"/>
  <c r="H149" i="7" s="1"/>
  <c r="H150" i="7" s="1"/>
  <c r="H151" i="7" s="1"/>
  <c r="H152" i="7" s="1"/>
  <c r="H153" i="7" s="1"/>
  <c r="H154" i="7" s="1"/>
  <c r="H161" i="7" s="1"/>
  <c r="H155" i="3"/>
  <c r="H66" i="10" s="1"/>
  <c r="H126" i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61" i="1" s="1"/>
  <c r="H126" i="9"/>
  <c r="H127" i="9" s="1"/>
  <c r="H128" i="9" s="1"/>
  <c r="H129" i="9" s="1"/>
  <c r="H130" i="9" s="1"/>
  <c r="H131" i="9" s="1"/>
  <c r="H132" i="9" s="1"/>
  <c r="H133" i="9" s="1"/>
  <c r="H134" i="9" s="1"/>
  <c r="H135" i="9" s="1"/>
  <c r="H136" i="9" s="1"/>
  <c r="H137" i="9" s="1"/>
  <c r="H138" i="9" s="1"/>
  <c r="H139" i="9" s="1"/>
  <c r="H140" i="9" s="1"/>
  <c r="H141" i="9" s="1"/>
  <c r="H142" i="9" s="1"/>
  <c r="H143" i="9" s="1"/>
  <c r="H144" i="9" s="1"/>
  <c r="H145" i="9" s="1"/>
  <c r="H146" i="9" s="1"/>
  <c r="H147" i="9" s="1"/>
  <c r="H148" i="9" s="1"/>
  <c r="H149" i="9" s="1"/>
  <c r="H150" i="9" s="1"/>
  <c r="H151" i="9" s="1"/>
  <c r="H152" i="9" s="1"/>
  <c r="H153" i="9" s="1"/>
  <c r="H161" i="9" s="1"/>
  <c r="B109" i="10"/>
  <c r="H126" i="8"/>
  <c r="H127" i="8" s="1"/>
  <c r="H128" i="8" s="1"/>
  <c r="H129" i="8" s="1"/>
  <c r="H130" i="8" s="1"/>
  <c r="H131" i="8" s="1"/>
  <c r="H132" i="8" s="1"/>
  <c r="H133" i="8" s="1"/>
  <c r="H134" i="8" s="1"/>
  <c r="H135" i="8" s="1"/>
  <c r="H136" i="8" s="1"/>
  <c r="H137" i="8" s="1"/>
  <c r="H138" i="8" s="1"/>
  <c r="H139" i="8" s="1"/>
  <c r="H140" i="8" s="1"/>
  <c r="H141" i="8" s="1"/>
  <c r="H142" i="8" s="1"/>
  <c r="H143" i="8" s="1"/>
  <c r="H144" i="8" s="1"/>
  <c r="H145" i="8" s="1"/>
  <c r="H146" i="8" s="1"/>
  <c r="H147" i="8" s="1"/>
  <c r="H148" i="8" s="1"/>
  <c r="H149" i="8" s="1"/>
  <c r="H150" i="8" s="1"/>
  <c r="H151" i="8" s="1"/>
  <c r="H152" i="8" s="1"/>
  <c r="H153" i="8" s="1"/>
  <c r="H154" i="8" s="1"/>
  <c r="H161" i="8" s="1"/>
  <c r="F37" i="11"/>
  <c r="M39" i="10"/>
  <c r="L39" i="10"/>
  <c r="O39" i="10"/>
  <c r="K39" i="10"/>
  <c r="H54" i="10"/>
  <c r="I13" i="8"/>
  <c r="H14" i="4"/>
  <c r="H126" i="5"/>
  <c r="H127" i="5" s="1"/>
  <c r="H128" i="5" s="1"/>
  <c r="H129" i="5" s="1"/>
  <c r="H130" i="5" s="1"/>
  <c r="H131" i="5" s="1"/>
  <c r="H132" i="5" s="1"/>
  <c r="H133" i="5" s="1"/>
  <c r="H134" i="5" s="1"/>
  <c r="H135" i="5" s="1"/>
  <c r="H136" i="5" s="1"/>
  <c r="H137" i="5" s="1"/>
  <c r="H138" i="5" s="1"/>
  <c r="H139" i="5" s="1"/>
  <c r="H140" i="5" s="1"/>
  <c r="H141" i="5" s="1"/>
  <c r="H142" i="5" s="1"/>
  <c r="H143" i="5" s="1"/>
  <c r="H144" i="5" s="1"/>
  <c r="H145" i="5" s="1"/>
  <c r="H146" i="5" s="1"/>
  <c r="H147" i="5" s="1"/>
  <c r="H148" i="5" s="1"/>
  <c r="H149" i="5" s="1"/>
  <c r="H150" i="5" s="1"/>
  <c r="H151" i="5" s="1"/>
  <c r="H152" i="5" s="1"/>
  <c r="H153" i="5" s="1"/>
  <c r="H154" i="5" s="1"/>
  <c r="H161" i="5" s="1"/>
  <c r="Y452" i="4" l="1"/>
  <c r="W453" i="4"/>
  <c r="X380" i="4"/>
  <c r="Y379" i="4"/>
  <c r="O49" i="10"/>
  <c r="M49" i="10"/>
  <c r="K49" i="10"/>
  <c r="M54" i="10"/>
  <c r="O54" i="10"/>
  <c r="K54" i="10"/>
  <c r="M57" i="10"/>
  <c r="K57" i="10"/>
  <c r="O57" i="10"/>
  <c r="O56" i="10"/>
  <c r="M56" i="10"/>
  <c r="K56" i="10"/>
  <c r="L57" i="10"/>
  <c r="H155" i="7"/>
  <c r="H70" i="10" s="1"/>
  <c r="O70" i="10" s="1"/>
  <c r="F40" i="11"/>
  <c r="H155" i="5"/>
  <c r="H69" i="10" s="1"/>
  <c r="M69" i="10" s="1"/>
  <c r="H155" i="1"/>
  <c r="H64" i="10" s="1"/>
  <c r="F48" i="11" s="1"/>
  <c r="H164" i="6"/>
  <c r="B82" i="10"/>
  <c r="H165" i="3"/>
  <c r="H166" i="3" s="1"/>
  <c r="H167" i="3" s="1"/>
  <c r="H168" i="3" s="1"/>
  <c r="H169" i="3" s="1"/>
  <c r="H170" i="3" s="1"/>
  <c r="H171" i="3" s="1"/>
  <c r="H172" i="3" s="1"/>
  <c r="H173" i="3" s="1"/>
  <c r="H174" i="3" s="1"/>
  <c r="H175" i="3" s="1"/>
  <c r="H176" i="3" s="1"/>
  <c r="H177" i="3" s="1"/>
  <c r="H178" i="3" s="1"/>
  <c r="H179" i="3" s="1"/>
  <c r="H180" i="3" s="1"/>
  <c r="H181" i="3" s="1"/>
  <c r="H182" i="3" s="1"/>
  <c r="H183" i="3" s="1"/>
  <c r="H184" i="3" s="1"/>
  <c r="H185" i="3" s="1"/>
  <c r="H186" i="3" s="1"/>
  <c r="H187" i="3" s="1"/>
  <c r="H188" i="3" s="1"/>
  <c r="H189" i="3" s="1"/>
  <c r="H190" i="3" s="1"/>
  <c r="H191" i="3" s="1"/>
  <c r="H192" i="3" s="1"/>
  <c r="H193" i="3" s="1"/>
  <c r="H194" i="3" s="1"/>
  <c r="H201" i="3" s="1"/>
  <c r="H15" i="4"/>
  <c r="I14" i="8"/>
  <c r="H164" i="1"/>
  <c r="B79" i="10"/>
  <c r="L49" i="10"/>
  <c r="L56" i="10"/>
  <c r="H164" i="9"/>
  <c r="B87" i="10"/>
  <c r="F50" i="11"/>
  <c r="M66" i="10"/>
  <c r="L66" i="10"/>
  <c r="O66" i="10"/>
  <c r="K66" i="10"/>
  <c r="H164" i="2"/>
  <c r="B80" i="10"/>
  <c r="H164" i="8"/>
  <c r="B86" i="10"/>
  <c r="H164" i="5"/>
  <c r="B84" i="10"/>
  <c r="L54" i="10"/>
  <c r="H155" i="8"/>
  <c r="H71" i="10" s="1"/>
  <c r="H155" i="9"/>
  <c r="H72" i="10" s="1"/>
  <c r="H164" i="7"/>
  <c r="B85" i="10"/>
  <c r="H155" i="6"/>
  <c r="H67" i="10" s="1"/>
  <c r="H155" i="2"/>
  <c r="H65" i="10" s="1"/>
  <c r="W454" i="4" l="1"/>
  <c r="Y453" i="4"/>
  <c r="X381" i="4"/>
  <c r="Y380" i="4"/>
  <c r="M70" i="10"/>
  <c r="K70" i="10"/>
  <c r="L70" i="10"/>
  <c r="K69" i="10"/>
  <c r="O69" i="10"/>
  <c r="F53" i="11"/>
  <c r="L69" i="10"/>
  <c r="L64" i="10"/>
  <c r="O64" i="10"/>
  <c r="M64" i="10"/>
  <c r="K64" i="10"/>
  <c r="H165" i="8"/>
  <c r="H166" i="8" s="1"/>
  <c r="H167" i="8" s="1"/>
  <c r="H168" i="8" s="1"/>
  <c r="H169" i="8" s="1"/>
  <c r="H170" i="8" s="1"/>
  <c r="H171" i="8" s="1"/>
  <c r="H172" i="8" s="1"/>
  <c r="H173" i="8" s="1"/>
  <c r="H174" i="8" s="1"/>
  <c r="H175" i="8" s="1"/>
  <c r="H176" i="8" s="1"/>
  <c r="H177" i="8" s="1"/>
  <c r="H178" i="8" s="1"/>
  <c r="H179" i="8" s="1"/>
  <c r="H180" i="8" s="1"/>
  <c r="H181" i="8" s="1"/>
  <c r="H182" i="8" s="1"/>
  <c r="H183" i="8" s="1"/>
  <c r="H184" i="8" s="1"/>
  <c r="H185" i="8" s="1"/>
  <c r="H186" i="8" s="1"/>
  <c r="H187" i="8" s="1"/>
  <c r="H188" i="8" s="1"/>
  <c r="H189" i="8" s="1"/>
  <c r="H190" i="8" s="1"/>
  <c r="H191" i="8" s="1"/>
  <c r="H192" i="8" s="1"/>
  <c r="H193" i="8" s="1"/>
  <c r="H194" i="8" s="1"/>
  <c r="H201" i="8" s="1"/>
  <c r="H165" i="9"/>
  <c r="H166" i="9" s="1"/>
  <c r="H167" i="9" s="1"/>
  <c r="H168" i="9" s="1"/>
  <c r="H169" i="9" s="1"/>
  <c r="H170" i="9" s="1"/>
  <c r="H171" i="9" s="1"/>
  <c r="H172" i="9" s="1"/>
  <c r="H173" i="9" s="1"/>
  <c r="H174" i="9" s="1"/>
  <c r="H175" i="9" s="1"/>
  <c r="H176" i="9" s="1"/>
  <c r="H177" i="9" s="1"/>
  <c r="H178" i="9" s="1"/>
  <c r="H179" i="9" s="1"/>
  <c r="H180" i="9" s="1"/>
  <c r="H181" i="9" s="1"/>
  <c r="H182" i="9" s="1"/>
  <c r="H183" i="9" s="1"/>
  <c r="H184" i="9" s="1"/>
  <c r="H185" i="9" s="1"/>
  <c r="H186" i="9" s="1"/>
  <c r="H187" i="9" s="1"/>
  <c r="H188" i="9" s="1"/>
  <c r="H189" i="9" s="1"/>
  <c r="H190" i="9" s="1"/>
  <c r="H191" i="9" s="1"/>
  <c r="H192" i="9" s="1"/>
  <c r="H193" i="9" s="1"/>
  <c r="H194" i="9" s="1"/>
  <c r="H201" i="9" s="1"/>
  <c r="H195" i="3"/>
  <c r="H81" i="10" s="1"/>
  <c r="F49" i="11"/>
  <c r="O65" i="10"/>
  <c r="K65" i="10"/>
  <c r="M65" i="10"/>
  <c r="L65" i="10"/>
  <c r="F55" i="11"/>
  <c r="M72" i="10"/>
  <c r="L72" i="10"/>
  <c r="O72" i="10"/>
  <c r="K72" i="10"/>
  <c r="H165" i="5"/>
  <c r="H166" i="5" s="1"/>
  <c r="H167" i="5" s="1"/>
  <c r="H168" i="5" s="1"/>
  <c r="H169" i="5" s="1"/>
  <c r="H170" i="5" s="1"/>
  <c r="H171" i="5" s="1"/>
  <c r="H172" i="5" s="1"/>
  <c r="H173" i="5" s="1"/>
  <c r="H174" i="5" s="1"/>
  <c r="H175" i="5" s="1"/>
  <c r="H176" i="5" s="1"/>
  <c r="H177" i="5" s="1"/>
  <c r="H178" i="5" s="1"/>
  <c r="H179" i="5" s="1"/>
  <c r="H180" i="5" s="1"/>
  <c r="H181" i="5" s="1"/>
  <c r="H182" i="5" s="1"/>
  <c r="H183" i="5" s="1"/>
  <c r="H184" i="5" s="1"/>
  <c r="H185" i="5" s="1"/>
  <c r="H186" i="5" s="1"/>
  <c r="H187" i="5" s="1"/>
  <c r="H188" i="5" s="1"/>
  <c r="H189" i="5" s="1"/>
  <c r="H190" i="5" s="1"/>
  <c r="H191" i="5" s="1"/>
  <c r="H192" i="5" s="1"/>
  <c r="H193" i="5" s="1"/>
  <c r="H194" i="5" s="1"/>
  <c r="H201" i="5" s="1"/>
  <c r="H165" i="7"/>
  <c r="H166" i="7" s="1"/>
  <c r="H167" i="7" s="1"/>
  <c r="H168" i="7" s="1"/>
  <c r="H169" i="7" s="1"/>
  <c r="H170" i="7" s="1"/>
  <c r="H171" i="7" s="1"/>
  <c r="H172" i="7" s="1"/>
  <c r="H173" i="7" s="1"/>
  <c r="H174" i="7" s="1"/>
  <c r="H175" i="7" s="1"/>
  <c r="H176" i="7" s="1"/>
  <c r="H177" i="7" s="1"/>
  <c r="H178" i="7" s="1"/>
  <c r="H179" i="7" s="1"/>
  <c r="H180" i="7" s="1"/>
  <c r="H181" i="7" s="1"/>
  <c r="H182" i="7" s="1"/>
  <c r="H183" i="7" s="1"/>
  <c r="H184" i="7" s="1"/>
  <c r="H185" i="7" s="1"/>
  <c r="H186" i="7" s="1"/>
  <c r="H187" i="7" s="1"/>
  <c r="H188" i="7" s="1"/>
  <c r="H189" i="7" s="1"/>
  <c r="H190" i="7" s="1"/>
  <c r="H191" i="7" s="1"/>
  <c r="H192" i="7" s="1"/>
  <c r="H193" i="7" s="1"/>
  <c r="H194" i="7" s="1"/>
  <c r="H201" i="7" s="1"/>
  <c r="H165" i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201" i="1" s="1"/>
  <c r="F51" i="11"/>
  <c r="O67" i="10"/>
  <c r="K67" i="10"/>
  <c r="M67" i="10"/>
  <c r="L67" i="10"/>
  <c r="F54" i="11"/>
  <c r="O71" i="10"/>
  <c r="K71" i="10"/>
  <c r="M71" i="10"/>
  <c r="L71" i="10"/>
  <c r="I15" i="8"/>
  <c r="H16" i="4"/>
  <c r="H165" i="6"/>
  <c r="H166" i="6" s="1"/>
  <c r="H167" i="6" s="1"/>
  <c r="H168" i="6" s="1"/>
  <c r="H169" i="6" s="1"/>
  <c r="H170" i="6" s="1"/>
  <c r="H171" i="6" s="1"/>
  <c r="H172" i="6" s="1"/>
  <c r="H173" i="6" s="1"/>
  <c r="H174" i="6" s="1"/>
  <c r="H175" i="6" s="1"/>
  <c r="H176" i="6" s="1"/>
  <c r="H177" i="6" s="1"/>
  <c r="H178" i="6" s="1"/>
  <c r="H179" i="6" s="1"/>
  <c r="H180" i="6" s="1"/>
  <c r="H181" i="6" s="1"/>
  <c r="H182" i="6" s="1"/>
  <c r="H183" i="6" s="1"/>
  <c r="H184" i="6" s="1"/>
  <c r="H185" i="6" s="1"/>
  <c r="H186" i="6" s="1"/>
  <c r="H187" i="6" s="1"/>
  <c r="H188" i="6" s="1"/>
  <c r="H189" i="6" s="1"/>
  <c r="H190" i="6" s="1"/>
  <c r="H191" i="6" s="1"/>
  <c r="H192" i="6" s="1"/>
  <c r="H193" i="6" s="1"/>
  <c r="H194" i="6" s="1"/>
  <c r="H201" i="6" s="1"/>
  <c r="H165" i="2"/>
  <c r="H166" i="2" s="1"/>
  <c r="H167" i="2" s="1"/>
  <c r="H168" i="2" s="1"/>
  <c r="H169" i="2" s="1"/>
  <c r="H170" i="2" s="1"/>
  <c r="H171" i="2" s="1"/>
  <c r="H172" i="2" s="1"/>
  <c r="H173" i="2" s="1"/>
  <c r="H174" i="2" s="1"/>
  <c r="H175" i="2" s="1"/>
  <c r="H176" i="2" s="1"/>
  <c r="H177" i="2" s="1"/>
  <c r="H178" i="2" s="1"/>
  <c r="H179" i="2" s="1"/>
  <c r="H180" i="2" s="1"/>
  <c r="H181" i="2" s="1"/>
  <c r="H182" i="2" s="1"/>
  <c r="H183" i="2" s="1"/>
  <c r="H184" i="2" s="1"/>
  <c r="H185" i="2" s="1"/>
  <c r="H186" i="2" s="1"/>
  <c r="H187" i="2" s="1"/>
  <c r="H188" i="2" s="1"/>
  <c r="H189" i="2" s="1"/>
  <c r="H190" i="2" s="1"/>
  <c r="H191" i="2" s="1"/>
  <c r="H192" i="2" s="1"/>
  <c r="H193" i="2" s="1"/>
  <c r="H194" i="2" s="1"/>
  <c r="H201" i="2" s="1"/>
  <c r="H204" i="3"/>
  <c r="B96" i="10"/>
  <c r="W455" i="4" l="1"/>
  <c r="Y454" i="4"/>
  <c r="X382" i="4"/>
  <c r="Y381" i="4"/>
  <c r="H195" i="7"/>
  <c r="H85" i="10" s="1"/>
  <c r="M85" i="10" s="1"/>
  <c r="H195" i="5"/>
  <c r="H84" i="10" s="1"/>
  <c r="L84" i="10" s="1"/>
  <c r="H204" i="6"/>
  <c r="B97" i="10"/>
  <c r="H204" i="2"/>
  <c r="B95" i="10"/>
  <c r="H204" i="1"/>
  <c r="B94" i="10"/>
  <c r="H204" i="5"/>
  <c r="B99" i="10"/>
  <c r="H195" i="9"/>
  <c r="H87" i="10" s="1"/>
  <c r="H195" i="1"/>
  <c r="H79" i="10" s="1"/>
  <c r="H204" i="8"/>
  <c r="B101" i="10"/>
  <c r="H204" i="9"/>
  <c r="B102" i="10"/>
  <c r="H195" i="2"/>
  <c r="H80" i="10" s="1"/>
  <c r="H195" i="6"/>
  <c r="H82" i="10" s="1"/>
  <c r="H205" i="3"/>
  <c r="H206" i="3" s="1"/>
  <c r="H207" i="3" s="1"/>
  <c r="H208" i="3" s="1"/>
  <c r="H209" i="3" s="1"/>
  <c r="H210" i="3" s="1"/>
  <c r="H211" i="3" s="1"/>
  <c r="H212" i="3" s="1"/>
  <c r="H213" i="3" s="1"/>
  <c r="H214" i="3" s="1"/>
  <c r="H215" i="3" s="1"/>
  <c r="H216" i="3" s="1"/>
  <c r="H217" i="3" s="1"/>
  <c r="H218" i="3" s="1"/>
  <c r="H219" i="3" s="1"/>
  <c r="H220" i="3" s="1"/>
  <c r="H221" i="3" s="1"/>
  <c r="H222" i="3" s="1"/>
  <c r="H223" i="3" s="1"/>
  <c r="H224" i="3" s="1"/>
  <c r="H225" i="3" s="1"/>
  <c r="H226" i="3" s="1"/>
  <c r="H227" i="3" s="1"/>
  <c r="H228" i="3" s="1"/>
  <c r="H229" i="3" s="1"/>
  <c r="H230" i="3" s="1"/>
  <c r="H231" i="3" s="1"/>
  <c r="H232" i="3" s="1"/>
  <c r="I16" i="8"/>
  <c r="H17" i="4"/>
  <c r="H204" i="7"/>
  <c r="B100" i="10"/>
  <c r="F64" i="11"/>
  <c r="L81" i="10"/>
  <c r="O81" i="10"/>
  <c r="K81" i="10"/>
  <c r="M81" i="10"/>
  <c r="H195" i="8"/>
  <c r="H86" i="10" s="1"/>
  <c r="Y455" i="4" l="1"/>
  <c r="W456" i="4"/>
  <c r="X383" i="4"/>
  <c r="Y382" i="4"/>
  <c r="K85" i="10"/>
  <c r="O85" i="10"/>
  <c r="L85" i="10"/>
  <c r="M84" i="10"/>
  <c r="F67" i="11"/>
  <c r="K84" i="10"/>
  <c r="O84" i="10"/>
  <c r="I17" i="8"/>
  <c r="H18" i="4"/>
  <c r="F62" i="11"/>
  <c r="L79" i="10"/>
  <c r="O79" i="10"/>
  <c r="K79" i="10"/>
  <c r="M79" i="10"/>
  <c r="H205" i="2"/>
  <c r="H206" i="2" s="1"/>
  <c r="H207" i="2" s="1"/>
  <c r="H208" i="2" s="1"/>
  <c r="H209" i="2" s="1"/>
  <c r="H210" i="2" s="1"/>
  <c r="H211" i="2" s="1"/>
  <c r="H212" i="2" s="1"/>
  <c r="H213" i="2" s="1"/>
  <c r="H214" i="2" s="1"/>
  <c r="H215" i="2" s="1"/>
  <c r="H216" i="2" s="1"/>
  <c r="H217" i="2" s="1"/>
  <c r="H218" i="2" s="1"/>
  <c r="H219" i="2" s="1"/>
  <c r="H220" i="2" s="1"/>
  <c r="H221" i="2" s="1"/>
  <c r="H222" i="2" s="1"/>
  <c r="H223" i="2" s="1"/>
  <c r="H224" i="2" s="1"/>
  <c r="H225" i="2" s="1"/>
  <c r="H226" i="2" s="1"/>
  <c r="H227" i="2" s="1"/>
  <c r="H228" i="2" s="1"/>
  <c r="H229" i="2" s="1"/>
  <c r="H230" i="2" s="1"/>
  <c r="H231" i="2" s="1"/>
  <c r="H232" i="2" s="1"/>
  <c r="F63" i="11"/>
  <c r="M80" i="10"/>
  <c r="L80" i="10"/>
  <c r="O80" i="10"/>
  <c r="K80" i="10"/>
  <c r="H205" i="8"/>
  <c r="H206" i="8" s="1"/>
  <c r="H207" i="8" s="1"/>
  <c r="H208" i="8" s="1"/>
  <c r="H209" i="8" s="1"/>
  <c r="H210" i="8" s="1"/>
  <c r="H211" i="8" s="1"/>
  <c r="H212" i="8" s="1"/>
  <c r="H213" i="8" s="1"/>
  <c r="H214" i="8" s="1"/>
  <c r="H215" i="8" s="1"/>
  <c r="H216" i="8" s="1"/>
  <c r="H217" i="8" s="1"/>
  <c r="H218" i="8" s="1"/>
  <c r="H219" i="8" s="1"/>
  <c r="H220" i="8" s="1"/>
  <c r="H221" i="8" s="1"/>
  <c r="H222" i="8" s="1"/>
  <c r="H223" i="8" s="1"/>
  <c r="H224" i="8" s="1"/>
  <c r="H225" i="8" s="1"/>
  <c r="H226" i="8" s="1"/>
  <c r="H227" i="8" s="1"/>
  <c r="H228" i="8" s="1"/>
  <c r="H229" i="8" s="1"/>
  <c r="H230" i="8" s="1"/>
  <c r="H231" i="8" s="1"/>
  <c r="H232" i="8" s="1"/>
  <c r="F69" i="11"/>
  <c r="L87" i="10"/>
  <c r="O87" i="10"/>
  <c r="K87" i="10"/>
  <c r="M87" i="10"/>
  <c r="H205" i="1"/>
  <c r="H206" i="1" s="1"/>
  <c r="H207" i="1" s="1"/>
  <c r="H208" i="1" s="1"/>
  <c r="H209" i="1" s="1"/>
  <c r="H210" i="1" s="1"/>
  <c r="H211" i="1" s="1"/>
  <c r="H212" i="1" s="1"/>
  <c r="H213" i="1" s="1"/>
  <c r="H214" i="1" s="1"/>
  <c r="H215" i="1" s="1"/>
  <c r="H216" i="1" s="1"/>
  <c r="H217" i="1" s="1"/>
  <c r="H218" i="1" s="1"/>
  <c r="H219" i="1" s="1"/>
  <c r="H220" i="1" s="1"/>
  <c r="H221" i="1" s="1"/>
  <c r="H222" i="1" s="1"/>
  <c r="H223" i="1" s="1"/>
  <c r="H224" i="1" s="1"/>
  <c r="H225" i="1" s="1"/>
  <c r="H226" i="1" s="1"/>
  <c r="H227" i="1" s="1"/>
  <c r="H228" i="1" s="1"/>
  <c r="H229" i="1" s="1"/>
  <c r="H230" i="1" s="1"/>
  <c r="H231" i="1" s="1"/>
  <c r="H232" i="1" s="1"/>
  <c r="H233" i="3"/>
  <c r="H240" i="3" s="1"/>
  <c r="B246" i="10"/>
  <c r="H205" i="6"/>
  <c r="H206" i="6" s="1"/>
  <c r="H207" i="6" s="1"/>
  <c r="H208" i="6" s="1"/>
  <c r="H209" i="6" s="1"/>
  <c r="H210" i="6" s="1"/>
  <c r="H211" i="6" s="1"/>
  <c r="H212" i="6" s="1"/>
  <c r="H213" i="6" s="1"/>
  <c r="H214" i="6" s="1"/>
  <c r="H215" i="6" s="1"/>
  <c r="H216" i="6" s="1"/>
  <c r="H217" i="6" s="1"/>
  <c r="H218" i="6" s="1"/>
  <c r="H219" i="6" s="1"/>
  <c r="H220" i="6" s="1"/>
  <c r="H221" i="6" s="1"/>
  <c r="H222" i="6" s="1"/>
  <c r="H223" i="6" s="1"/>
  <c r="H224" i="6" s="1"/>
  <c r="H225" i="6" s="1"/>
  <c r="H226" i="6" s="1"/>
  <c r="H227" i="6" s="1"/>
  <c r="H228" i="6" s="1"/>
  <c r="H229" i="6" s="1"/>
  <c r="H230" i="6" s="1"/>
  <c r="H231" i="6" s="1"/>
  <c r="H232" i="6" s="1"/>
  <c r="F65" i="11"/>
  <c r="M82" i="10"/>
  <c r="L82" i="10"/>
  <c r="O82" i="10"/>
  <c r="K82" i="10"/>
  <c r="F68" i="11"/>
  <c r="M86" i="10"/>
  <c r="L86" i="10"/>
  <c r="O86" i="10"/>
  <c r="K86" i="10"/>
  <c r="H205" i="7"/>
  <c r="H206" i="7" s="1"/>
  <c r="H207" i="7" s="1"/>
  <c r="H208" i="7" s="1"/>
  <c r="H209" i="7" s="1"/>
  <c r="H210" i="7" s="1"/>
  <c r="H211" i="7" s="1"/>
  <c r="H212" i="7" s="1"/>
  <c r="H213" i="7" s="1"/>
  <c r="H214" i="7" s="1"/>
  <c r="H215" i="7" s="1"/>
  <c r="H216" i="7" s="1"/>
  <c r="H217" i="7" s="1"/>
  <c r="H218" i="7" s="1"/>
  <c r="H219" i="7" s="1"/>
  <c r="H220" i="7" s="1"/>
  <c r="H221" i="7" s="1"/>
  <c r="H222" i="7" s="1"/>
  <c r="H223" i="7" s="1"/>
  <c r="H224" i="7" s="1"/>
  <c r="H225" i="7" s="1"/>
  <c r="H226" i="7" s="1"/>
  <c r="H227" i="7" s="1"/>
  <c r="H228" i="7" s="1"/>
  <c r="H229" i="7" s="1"/>
  <c r="H230" i="7" s="1"/>
  <c r="H231" i="7" s="1"/>
  <c r="H232" i="7" s="1"/>
  <c r="H205" i="9"/>
  <c r="H206" i="9" s="1"/>
  <c r="H207" i="9" s="1"/>
  <c r="H208" i="9" s="1"/>
  <c r="H209" i="9" s="1"/>
  <c r="H210" i="9" s="1"/>
  <c r="H211" i="9" s="1"/>
  <c r="H212" i="9" s="1"/>
  <c r="H213" i="9" s="1"/>
  <c r="H214" i="9" s="1"/>
  <c r="H215" i="9" s="1"/>
  <c r="H216" i="9" s="1"/>
  <c r="H217" i="9" s="1"/>
  <c r="H218" i="9" s="1"/>
  <c r="H219" i="9" s="1"/>
  <c r="H220" i="9" s="1"/>
  <c r="H221" i="9" s="1"/>
  <c r="H222" i="9" s="1"/>
  <c r="H223" i="9" s="1"/>
  <c r="H224" i="9" s="1"/>
  <c r="H225" i="9" s="1"/>
  <c r="H226" i="9" s="1"/>
  <c r="H227" i="9" s="1"/>
  <c r="H228" i="9" s="1"/>
  <c r="H229" i="9" s="1"/>
  <c r="H230" i="9" s="1"/>
  <c r="H231" i="9" s="1"/>
  <c r="H232" i="9" s="1"/>
  <c r="H205" i="5"/>
  <c r="H206" i="5" s="1"/>
  <c r="H207" i="5" s="1"/>
  <c r="H208" i="5" s="1"/>
  <c r="H209" i="5" s="1"/>
  <c r="H210" i="5" s="1"/>
  <c r="H211" i="5" s="1"/>
  <c r="H212" i="5" s="1"/>
  <c r="H213" i="5" s="1"/>
  <c r="H214" i="5" s="1"/>
  <c r="H215" i="5" s="1"/>
  <c r="H216" i="5" s="1"/>
  <c r="H217" i="5" s="1"/>
  <c r="H218" i="5" s="1"/>
  <c r="H219" i="5" s="1"/>
  <c r="H220" i="5" s="1"/>
  <c r="H221" i="5" s="1"/>
  <c r="H222" i="5" s="1"/>
  <c r="H223" i="5" s="1"/>
  <c r="H224" i="5" s="1"/>
  <c r="H225" i="5" s="1"/>
  <c r="H226" i="5" s="1"/>
  <c r="H227" i="5" s="1"/>
  <c r="H228" i="5" s="1"/>
  <c r="H229" i="5" s="1"/>
  <c r="H230" i="5" s="1"/>
  <c r="H231" i="5" s="1"/>
  <c r="H232" i="5" s="1"/>
  <c r="Y456" i="4" l="1"/>
  <c r="W457" i="4"/>
  <c r="X384" i="4"/>
  <c r="Y383" i="4"/>
  <c r="H234" i="3"/>
  <c r="H96" i="10" s="1"/>
  <c r="F78" i="11" s="1"/>
  <c r="H233" i="8"/>
  <c r="H240" i="8" s="1"/>
  <c r="B251" i="10"/>
  <c r="H233" i="9"/>
  <c r="H240" i="9" s="1"/>
  <c r="B252" i="10"/>
  <c r="H233" i="1"/>
  <c r="B244" i="10"/>
  <c r="H233" i="2"/>
  <c r="B245" i="10"/>
  <c r="H233" i="5"/>
  <c r="H240" i="5" s="1"/>
  <c r="B249" i="10"/>
  <c r="H233" i="6"/>
  <c r="B247" i="10"/>
  <c r="I18" i="8"/>
  <c r="H19" i="4"/>
  <c r="H233" i="7"/>
  <c r="H240" i="7" s="1"/>
  <c r="B250" i="10"/>
  <c r="H243" i="3"/>
  <c r="B261" i="10"/>
  <c r="B141" i="10"/>
  <c r="B186" i="10" s="1"/>
  <c r="W458" i="4" l="1"/>
  <c r="Y457" i="4"/>
  <c r="X385" i="4"/>
  <c r="Y384" i="4"/>
  <c r="H234" i="8"/>
  <c r="H101" i="10" s="1"/>
  <c r="M101" i="10" s="1"/>
  <c r="H234" i="5"/>
  <c r="H99" i="10" s="1"/>
  <c r="O99" i="10" s="1"/>
  <c r="M96" i="10"/>
  <c r="H111" i="10"/>
  <c r="M111" i="10" s="1"/>
  <c r="K96" i="10"/>
  <c r="O96" i="10"/>
  <c r="L96" i="10"/>
  <c r="H244" i="3"/>
  <c r="H245" i="3" s="1"/>
  <c r="H246" i="3" s="1"/>
  <c r="H247" i="3" s="1"/>
  <c r="H248" i="3" s="1"/>
  <c r="H249" i="3" s="1"/>
  <c r="H250" i="3" s="1"/>
  <c r="H251" i="3" s="1"/>
  <c r="H252" i="3" s="1"/>
  <c r="H253" i="3" s="1"/>
  <c r="H254" i="3" s="1"/>
  <c r="H255" i="3" s="1"/>
  <c r="H256" i="3" s="1"/>
  <c r="H257" i="3" s="1"/>
  <c r="H258" i="3" s="1"/>
  <c r="H259" i="3" s="1"/>
  <c r="H260" i="3" s="1"/>
  <c r="H261" i="3" s="1"/>
  <c r="H262" i="3" s="1"/>
  <c r="H263" i="3" s="1"/>
  <c r="H264" i="3" s="1"/>
  <c r="H265" i="3" s="1"/>
  <c r="H266" i="3" s="1"/>
  <c r="H267" i="3" s="1"/>
  <c r="H268" i="3" s="1"/>
  <c r="H269" i="3" s="1"/>
  <c r="H270" i="3" s="1"/>
  <c r="H271" i="3" s="1"/>
  <c r="H272" i="3" s="1"/>
  <c r="H273" i="3" s="1"/>
  <c r="H280" i="3" s="1"/>
  <c r="H240" i="6"/>
  <c r="H234" i="6"/>
  <c r="H97" i="10" s="1"/>
  <c r="H240" i="1"/>
  <c r="H234" i="1"/>
  <c r="H94" i="10" s="1"/>
  <c r="H243" i="9"/>
  <c r="B267" i="10"/>
  <c r="B147" i="10"/>
  <c r="B192" i="10" s="1"/>
  <c r="H243" i="7"/>
  <c r="B265" i="10"/>
  <c r="B145" i="10"/>
  <c r="B190" i="10" s="1"/>
  <c r="H234" i="7"/>
  <c r="H100" i="10" s="1"/>
  <c r="H240" i="2"/>
  <c r="H234" i="2"/>
  <c r="H95" i="10" s="1"/>
  <c r="H243" i="5"/>
  <c r="B264" i="10"/>
  <c r="B144" i="10"/>
  <c r="B189" i="10" s="1"/>
  <c r="H243" i="8"/>
  <c r="B266" i="10"/>
  <c r="B146" i="10"/>
  <c r="B191" i="10" s="1"/>
  <c r="I19" i="8"/>
  <c r="H20" i="4"/>
  <c r="H234" i="9"/>
  <c r="H102" i="10" s="1"/>
  <c r="W459" i="4" l="1"/>
  <c r="Y458" i="4"/>
  <c r="X386" i="4"/>
  <c r="Y385" i="4"/>
  <c r="F82" i="11"/>
  <c r="K101" i="10"/>
  <c r="O101" i="10"/>
  <c r="L101" i="10"/>
  <c r="H116" i="10"/>
  <c r="O116" i="10" s="1"/>
  <c r="H114" i="10"/>
  <c r="L114" i="10" s="1"/>
  <c r="M99" i="10"/>
  <c r="L99" i="10"/>
  <c r="O111" i="10"/>
  <c r="K111" i="10"/>
  <c r="L111" i="10"/>
  <c r="K99" i="10"/>
  <c r="F81" i="11"/>
  <c r="H126" i="10"/>
  <c r="K126" i="10" s="1"/>
  <c r="F76" i="11"/>
  <c r="O94" i="10"/>
  <c r="K94" i="10"/>
  <c r="M94" i="10"/>
  <c r="L94" i="10"/>
  <c r="H109" i="10"/>
  <c r="I20" i="8"/>
  <c r="H21" i="4"/>
  <c r="H244" i="8"/>
  <c r="F79" i="11"/>
  <c r="M97" i="10"/>
  <c r="L97" i="10"/>
  <c r="O97" i="10"/>
  <c r="K97" i="10"/>
  <c r="H112" i="10"/>
  <c r="H244" i="7"/>
  <c r="H245" i="7" s="1"/>
  <c r="H246" i="7" s="1"/>
  <c r="H247" i="7" s="1"/>
  <c r="H248" i="7" s="1"/>
  <c r="H249" i="7" s="1"/>
  <c r="H250" i="7" s="1"/>
  <c r="H251" i="7" s="1"/>
  <c r="H252" i="7" s="1"/>
  <c r="H253" i="7" s="1"/>
  <c r="H254" i="7" s="1"/>
  <c r="H255" i="7" s="1"/>
  <c r="H256" i="7" s="1"/>
  <c r="H257" i="7" s="1"/>
  <c r="H258" i="7" s="1"/>
  <c r="H259" i="7" s="1"/>
  <c r="H260" i="7" s="1"/>
  <c r="H261" i="7" s="1"/>
  <c r="H262" i="7" s="1"/>
  <c r="H263" i="7" s="1"/>
  <c r="H264" i="7" s="1"/>
  <c r="H265" i="7" s="1"/>
  <c r="H266" i="7" s="1"/>
  <c r="H267" i="7" s="1"/>
  <c r="H268" i="7" s="1"/>
  <c r="H269" i="7" s="1"/>
  <c r="H270" i="7" s="1"/>
  <c r="H271" i="7" s="1"/>
  <c r="H272" i="7" s="1"/>
  <c r="H273" i="7" s="1"/>
  <c r="H280" i="7" s="1"/>
  <c r="H244" i="5"/>
  <c r="H245" i="5" s="1"/>
  <c r="H246" i="5" s="1"/>
  <c r="H247" i="5" s="1"/>
  <c r="H248" i="5" s="1"/>
  <c r="H249" i="5" s="1"/>
  <c r="H250" i="5" s="1"/>
  <c r="H251" i="5" s="1"/>
  <c r="H252" i="5" s="1"/>
  <c r="H253" i="5" s="1"/>
  <c r="H254" i="5" s="1"/>
  <c r="H255" i="5" s="1"/>
  <c r="H256" i="5" s="1"/>
  <c r="H257" i="5" s="1"/>
  <c r="H258" i="5" s="1"/>
  <c r="H259" i="5" s="1"/>
  <c r="H260" i="5" s="1"/>
  <c r="H261" i="5" s="1"/>
  <c r="H262" i="5" s="1"/>
  <c r="H263" i="5" s="1"/>
  <c r="H264" i="5" s="1"/>
  <c r="H265" i="5" s="1"/>
  <c r="H266" i="5" s="1"/>
  <c r="H267" i="5" s="1"/>
  <c r="H268" i="5" s="1"/>
  <c r="H269" i="5" s="1"/>
  <c r="H270" i="5" s="1"/>
  <c r="H271" i="5" s="1"/>
  <c r="H272" i="5" s="1"/>
  <c r="H273" i="5" s="1"/>
  <c r="H280" i="5" s="1"/>
  <c r="F77" i="11"/>
  <c r="M95" i="10"/>
  <c r="L95" i="10"/>
  <c r="O95" i="10"/>
  <c r="K95" i="10"/>
  <c r="H110" i="10"/>
  <c r="H244" i="9"/>
  <c r="H245" i="9" s="1"/>
  <c r="H246" i="9" s="1"/>
  <c r="H247" i="9" s="1"/>
  <c r="H248" i="9" s="1"/>
  <c r="H249" i="9" s="1"/>
  <c r="H250" i="9" s="1"/>
  <c r="H251" i="9" s="1"/>
  <c r="H252" i="9" s="1"/>
  <c r="H253" i="9" s="1"/>
  <c r="H254" i="9" s="1"/>
  <c r="H255" i="9" s="1"/>
  <c r="H256" i="9" s="1"/>
  <c r="H257" i="9" s="1"/>
  <c r="H258" i="9" s="1"/>
  <c r="H259" i="9" s="1"/>
  <c r="H260" i="9" s="1"/>
  <c r="H261" i="9" s="1"/>
  <c r="H262" i="9" s="1"/>
  <c r="H263" i="9" s="1"/>
  <c r="H264" i="9" s="1"/>
  <c r="H265" i="9" s="1"/>
  <c r="H266" i="9" s="1"/>
  <c r="H267" i="9" s="1"/>
  <c r="H268" i="9" s="1"/>
  <c r="H269" i="9" s="1"/>
  <c r="H270" i="9" s="1"/>
  <c r="H271" i="9" s="1"/>
  <c r="H272" i="9" s="1"/>
  <c r="H273" i="9" s="1"/>
  <c r="H280" i="9" s="1"/>
  <c r="H243" i="6"/>
  <c r="B262" i="10"/>
  <c r="B142" i="10"/>
  <c r="B187" i="10" s="1"/>
  <c r="B156" i="10"/>
  <c r="H283" i="3"/>
  <c r="F83" i="11"/>
  <c r="O102" i="10"/>
  <c r="K102" i="10"/>
  <c r="M102" i="10"/>
  <c r="L102" i="10"/>
  <c r="H117" i="10"/>
  <c r="H243" i="2"/>
  <c r="B260" i="10"/>
  <c r="B140" i="10"/>
  <c r="B185" i="10" s="1"/>
  <c r="O100" i="10"/>
  <c r="K100" i="10"/>
  <c r="M100" i="10"/>
  <c r="L100" i="10"/>
  <c r="H115" i="10"/>
  <c r="H243" i="1"/>
  <c r="B259" i="10"/>
  <c r="B139" i="10"/>
  <c r="H274" i="3"/>
  <c r="H141" i="10" s="1"/>
  <c r="W460" i="4" l="1"/>
  <c r="Y459" i="4"/>
  <c r="X387" i="4"/>
  <c r="Y386" i="4"/>
  <c r="H131" i="10"/>
  <c r="O131" i="10" s="1"/>
  <c r="K116" i="10"/>
  <c r="L116" i="10"/>
  <c r="M116" i="10"/>
  <c r="M114" i="10"/>
  <c r="O114" i="10"/>
  <c r="K114" i="10"/>
  <c r="H129" i="10"/>
  <c r="O129" i="10" s="1"/>
  <c r="O126" i="10"/>
  <c r="M126" i="10"/>
  <c r="L126" i="10"/>
  <c r="H283" i="5"/>
  <c r="B159" i="10"/>
  <c r="H274" i="7"/>
  <c r="H145" i="10" s="1"/>
  <c r="H283" i="9"/>
  <c r="B162" i="10"/>
  <c r="M117" i="10"/>
  <c r="L117" i="10"/>
  <c r="O117" i="10"/>
  <c r="K117" i="10"/>
  <c r="H132" i="10"/>
  <c r="H274" i="9"/>
  <c r="H147" i="10" s="1"/>
  <c r="H274" i="5"/>
  <c r="H144" i="10" s="1"/>
  <c r="L112" i="10"/>
  <c r="O112" i="10"/>
  <c r="K112" i="10"/>
  <c r="M112" i="10"/>
  <c r="H127" i="10"/>
  <c r="H245" i="8"/>
  <c r="M109" i="10"/>
  <c r="L109" i="10"/>
  <c r="K109" i="10"/>
  <c r="O109" i="10"/>
  <c r="H124" i="10"/>
  <c r="H244" i="2"/>
  <c r="H245" i="2" s="1"/>
  <c r="H246" i="2" s="1"/>
  <c r="H247" i="2" s="1"/>
  <c r="H248" i="2" s="1"/>
  <c r="H249" i="2" s="1"/>
  <c r="H250" i="2" s="1"/>
  <c r="H251" i="2" s="1"/>
  <c r="H252" i="2" s="1"/>
  <c r="H253" i="2" s="1"/>
  <c r="H254" i="2" s="1"/>
  <c r="H255" i="2" s="1"/>
  <c r="H256" i="2" s="1"/>
  <c r="H257" i="2" s="1"/>
  <c r="H258" i="2" s="1"/>
  <c r="H259" i="2" s="1"/>
  <c r="H260" i="2" s="1"/>
  <c r="H261" i="2" s="1"/>
  <c r="H262" i="2" s="1"/>
  <c r="H263" i="2" s="1"/>
  <c r="H264" i="2" s="1"/>
  <c r="H265" i="2" s="1"/>
  <c r="H266" i="2" s="1"/>
  <c r="H267" i="2" s="1"/>
  <c r="H268" i="2" s="1"/>
  <c r="H269" i="2" s="1"/>
  <c r="H270" i="2" s="1"/>
  <c r="H271" i="2" s="1"/>
  <c r="H272" i="2" s="1"/>
  <c r="H273" i="2" s="1"/>
  <c r="H280" i="2" s="1"/>
  <c r="H244" i="6"/>
  <c r="H245" i="6" s="1"/>
  <c r="H246" i="6" s="1"/>
  <c r="H247" i="6" s="1"/>
  <c r="H248" i="6" s="1"/>
  <c r="H249" i="6" s="1"/>
  <c r="H250" i="6" s="1"/>
  <c r="H251" i="6" s="1"/>
  <c r="H252" i="6" s="1"/>
  <c r="H253" i="6" s="1"/>
  <c r="H254" i="6" s="1"/>
  <c r="H255" i="6" s="1"/>
  <c r="H256" i="6" s="1"/>
  <c r="H257" i="6" s="1"/>
  <c r="H258" i="6" s="1"/>
  <c r="H259" i="6" s="1"/>
  <c r="H260" i="6" s="1"/>
  <c r="H261" i="6" s="1"/>
  <c r="H262" i="6" s="1"/>
  <c r="H263" i="6" s="1"/>
  <c r="H264" i="6" s="1"/>
  <c r="H265" i="6" s="1"/>
  <c r="H266" i="6" s="1"/>
  <c r="H267" i="6" s="1"/>
  <c r="H268" i="6" s="1"/>
  <c r="H269" i="6" s="1"/>
  <c r="H270" i="6" s="1"/>
  <c r="H271" i="6" s="1"/>
  <c r="H272" i="6" s="1"/>
  <c r="H273" i="6" s="1"/>
  <c r="H280" i="6" s="1"/>
  <c r="F92" i="11"/>
  <c r="L141" i="10"/>
  <c r="O141" i="10"/>
  <c r="K141" i="10"/>
  <c r="M141" i="10"/>
  <c r="M115" i="10"/>
  <c r="L115" i="10"/>
  <c r="O115" i="10"/>
  <c r="K115" i="10"/>
  <c r="H130" i="10"/>
  <c r="B184" i="10"/>
  <c r="L110" i="10"/>
  <c r="O110" i="10"/>
  <c r="K110" i="10"/>
  <c r="M110" i="10"/>
  <c r="H125" i="10"/>
  <c r="H244" i="1"/>
  <c r="H245" i="1" s="1"/>
  <c r="H246" i="1" s="1"/>
  <c r="H247" i="1" s="1"/>
  <c r="H248" i="1" s="1"/>
  <c r="H249" i="1" s="1"/>
  <c r="H250" i="1" s="1"/>
  <c r="H251" i="1" s="1"/>
  <c r="H252" i="1" s="1"/>
  <c r="H253" i="1" s="1"/>
  <c r="H254" i="1" s="1"/>
  <c r="H255" i="1" s="1"/>
  <c r="H256" i="1" s="1"/>
  <c r="H257" i="1" s="1"/>
  <c r="H258" i="1" s="1"/>
  <c r="H259" i="1" s="1"/>
  <c r="H260" i="1" s="1"/>
  <c r="H261" i="1" s="1"/>
  <c r="H262" i="1" s="1"/>
  <c r="H263" i="1" s="1"/>
  <c r="H264" i="1" s="1"/>
  <c r="H265" i="1" s="1"/>
  <c r="H266" i="1" s="1"/>
  <c r="H267" i="1" s="1"/>
  <c r="H268" i="1" s="1"/>
  <c r="H269" i="1" s="1"/>
  <c r="H270" i="1" s="1"/>
  <c r="H271" i="1" s="1"/>
  <c r="H272" i="1" s="1"/>
  <c r="H273" i="1" s="1"/>
  <c r="H280" i="1" s="1"/>
  <c r="H284" i="3"/>
  <c r="H285" i="3" s="1"/>
  <c r="H286" i="3" s="1"/>
  <c r="H287" i="3" s="1"/>
  <c r="H288" i="3" s="1"/>
  <c r="H289" i="3" s="1"/>
  <c r="H290" i="3" s="1"/>
  <c r="H291" i="3" s="1"/>
  <c r="H292" i="3" s="1"/>
  <c r="H293" i="3" s="1"/>
  <c r="H294" i="3" s="1"/>
  <c r="H295" i="3" s="1"/>
  <c r="H296" i="3" s="1"/>
  <c r="H297" i="3" s="1"/>
  <c r="H298" i="3" s="1"/>
  <c r="H299" i="3" s="1"/>
  <c r="H300" i="3" s="1"/>
  <c r="H301" i="3" s="1"/>
  <c r="H302" i="3" s="1"/>
  <c r="H303" i="3" s="1"/>
  <c r="H304" i="3" s="1"/>
  <c r="H305" i="3" s="1"/>
  <c r="H306" i="3" s="1"/>
  <c r="H307" i="3" s="1"/>
  <c r="H308" i="3" s="1"/>
  <c r="H309" i="3" s="1"/>
  <c r="H310" i="3" s="1"/>
  <c r="H311" i="3" s="1"/>
  <c r="H312" i="3" s="1"/>
  <c r="H313" i="3" s="1"/>
  <c r="H320" i="3" s="1"/>
  <c r="H283" i="7"/>
  <c r="B160" i="10"/>
  <c r="I21" i="8"/>
  <c r="H22" i="4"/>
  <c r="Y460" i="4" l="1"/>
  <c r="W461" i="4"/>
  <c r="X388" i="4"/>
  <c r="Y387" i="4"/>
  <c r="L129" i="10"/>
  <c r="K131" i="10"/>
  <c r="L131" i="10"/>
  <c r="M131" i="10"/>
  <c r="K129" i="10"/>
  <c r="M129" i="10"/>
  <c r="H314" i="3"/>
  <c r="H156" i="10" s="1"/>
  <c r="O156" i="10" s="1"/>
  <c r="H23" i="4"/>
  <c r="I22" i="8"/>
  <c r="H323" i="3"/>
  <c r="B171" i="10"/>
  <c r="H274" i="6"/>
  <c r="H142" i="10" s="1"/>
  <c r="F95" i="11"/>
  <c r="M144" i="10"/>
  <c r="L144" i="10"/>
  <c r="O144" i="10"/>
  <c r="K144" i="10"/>
  <c r="H284" i="9"/>
  <c r="H285" i="9" s="1"/>
  <c r="H286" i="9" s="1"/>
  <c r="H287" i="9" s="1"/>
  <c r="H288" i="9" s="1"/>
  <c r="H289" i="9" s="1"/>
  <c r="H290" i="9" s="1"/>
  <c r="H291" i="9" s="1"/>
  <c r="H292" i="9" s="1"/>
  <c r="H293" i="9" s="1"/>
  <c r="H294" i="9" s="1"/>
  <c r="H295" i="9" s="1"/>
  <c r="H296" i="9" s="1"/>
  <c r="H297" i="9" s="1"/>
  <c r="H298" i="9" s="1"/>
  <c r="H299" i="9" s="1"/>
  <c r="H300" i="9" s="1"/>
  <c r="H301" i="9" s="1"/>
  <c r="H302" i="9" s="1"/>
  <c r="H303" i="9" s="1"/>
  <c r="H304" i="9" s="1"/>
  <c r="H305" i="9" s="1"/>
  <c r="H306" i="9" s="1"/>
  <c r="H307" i="9" s="1"/>
  <c r="H308" i="9" s="1"/>
  <c r="H309" i="9" s="1"/>
  <c r="H310" i="9" s="1"/>
  <c r="H311" i="9" s="1"/>
  <c r="H312" i="9" s="1"/>
  <c r="H313" i="9" s="1"/>
  <c r="H320" i="9" s="1"/>
  <c r="H283" i="2"/>
  <c r="B155" i="10"/>
  <c r="F97" i="11"/>
  <c r="L147" i="10"/>
  <c r="O147" i="10"/>
  <c r="K147" i="10"/>
  <c r="M147" i="10"/>
  <c r="L145" i="10"/>
  <c r="O145" i="10"/>
  <c r="K145" i="10"/>
  <c r="M145" i="10"/>
  <c r="H283" i="1"/>
  <c r="B154" i="10"/>
  <c r="O125" i="10"/>
  <c r="K125" i="10"/>
  <c r="M125" i="10"/>
  <c r="L125" i="10"/>
  <c r="H274" i="2"/>
  <c r="H140" i="10" s="1"/>
  <c r="H246" i="8"/>
  <c r="M132" i="10"/>
  <c r="L132" i="10"/>
  <c r="O132" i="10"/>
  <c r="K132" i="10"/>
  <c r="H284" i="7"/>
  <c r="H285" i="7" s="1"/>
  <c r="H286" i="7" s="1"/>
  <c r="H287" i="7" s="1"/>
  <c r="H288" i="7" s="1"/>
  <c r="H289" i="7" s="1"/>
  <c r="H290" i="7" s="1"/>
  <c r="H291" i="7" s="1"/>
  <c r="H292" i="7" s="1"/>
  <c r="H293" i="7" s="1"/>
  <c r="H294" i="7" s="1"/>
  <c r="H295" i="7" s="1"/>
  <c r="H296" i="7" s="1"/>
  <c r="H297" i="7" s="1"/>
  <c r="H298" i="7" s="1"/>
  <c r="H299" i="7" s="1"/>
  <c r="H300" i="7" s="1"/>
  <c r="H301" i="7" s="1"/>
  <c r="H302" i="7" s="1"/>
  <c r="H303" i="7" s="1"/>
  <c r="H304" i="7" s="1"/>
  <c r="H305" i="7" s="1"/>
  <c r="H306" i="7" s="1"/>
  <c r="H307" i="7" s="1"/>
  <c r="H308" i="7" s="1"/>
  <c r="H309" i="7" s="1"/>
  <c r="H310" i="7" s="1"/>
  <c r="H311" i="7" s="1"/>
  <c r="H312" i="7" s="1"/>
  <c r="H313" i="7" s="1"/>
  <c r="H320" i="7" s="1"/>
  <c r="H274" i="1"/>
  <c r="H139" i="10" s="1"/>
  <c r="M130" i="10"/>
  <c r="L130" i="10"/>
  <c r="O130" i="10"/>
  <c r="K130" i="10"/>
  <c r="H283" i="6"/>
  <c r="B157" i="10"/>
  <c r="M124" i="10"/>
  <c r="L124" i="10"/>
  <c r="O124" i="10"/>
  <c r="K124" i="10"/>
  <c r="O127" i="10"/>
  <c r="K127" i="10"/>
  <c r="M127" i="10"/>
  <c r="L127" i="10"/>
  <c r="H284" i="5"/>
  <c r="H285" i="5" s="1"/>
  <c r="H286" i="5" s="1"/>
  <c r="H287" i="5" s="1"/>
  <c r="H288" i="5" s="1"/>
  <c r="H289" i="5" s="1"/>
  <c r="H290" i="5" s="1"/>
  <c r="H291" i="5" s="1"/>
  <c r="H292" i="5" s="1"/>
  <c r="H293" i="5" s="1"/>
  <c r="H294" i="5" s="1"/>
  <c r="H295" i="5" s="1"/>
  <c r="H296" i="5" s="1"/>
  <c r="H297" i="5" s="1"/>
  <c r="H298" i="5" s="1"/>
  <c r="H299" i="5" s="1"/>
  <c r="H300" i="5" s="1"/>
  <c r="H301" i="5" s="1"/>
  <c r="H302" i="5" s="1"/>
  <c r="H303" i="5" s="1"/>
  <c r="H304" i="5" s="1"/>
  <c r="H305" i="5" s="1"/>
  <c r="H306" i="5" s="1"/>
  <c r="H307" i="5" s="1"/>
  <c r="H308" i="5" s="1"/>
  <c r="H309" i="5" s="1"/>
  <c r="H310" i="5" s="1"/>
  <c r="H311" i="5" s="1"/>
  <c r="H312" i="5" s="1"/>
  <c r="H313" i="5" s="1"/>
  <c r="H320" i="5" s="1"/>
  <c r="W462" i="4" l="1"/>
  <c r="Y461" i="4"/>
  <c r="X389" i="4"/>
  <c r="Y388" i="4"/>
  <c r="F106" i="11"/>
  <c r="L156" i="10"/>
  <c r="M156" i="10"/>
  <c r="K156" i="10"/>
  <c r="H323" i="9"/>
  <c r="B177" i="10"/>
  <c r="H324" i="3"/>
  <c r="H325" i="3" s="1"/>
  <c r="H326" i="3" s="1"/>
  <c r="H327" i="3" s="1"/>
  <c r="H328" i="3" s="1"/>
  <c r="H329" i="3" s="1"/>
  <c r="H330" i="3" s="1"/>
  <c r="H331" i="3" s="1"/>
  <c r="H332" i="3" s="1"/>
  <c r="H333" i="3" s="1"/>
  <c r="H334" i="3" s="1"/>
  <c r="H335" i="3" s="1"/>
  <c r="H336" i="3" s="1"/>
  <c r="H337" i="3" s="1"/>
  <c r="H338" i="3" s="1"/>
  <c r="H339" i="3" s="1"/>
  <c r="H340" i="3" s="1"/>
  <c r="H341" i="3" s="1"/>
  <c r="H342" i="3" s="1"/>
  <c r="H343" i="3" s="1"/>
  <c r="H344" i="3" s="1"/>
  <c r="H345" i="3" s="1"/>
  <c r="H346" i="3" s="1"/>
  <c r="H347" i="3" s="1"/>
  <c r="H348" i="3" s="1"/>
  <c r="H349" i="3" s="1"/>
  <c r="H350" i="3" s="1"/>
  <c r="H351" i="3" s="1"/>
  <c r="H352" i="3" s="1"/>
  <c r="H323" i="5"/>
  <c r="B174" i="10"/>
  <c r="F90" i="11"/>
  <c r="L139" i="10"/>
  <c r="O139" i="10"/>
  <c r="K139" i="10"/>
  <c r="M139" i="10"/>
  <c r="H314" i="9"/>
  <c r="H162" i="10" s="1"/>
  <c r="F93" i="11"/>
  <c r="M142" i="10"/>
  <c r="K142" i="10"/>
  <c r="L142" i="10"/>
  <c r="O142" i="10"/>
  <c r="H323" i="7"/>
  <c r="B175" i="10"/>
  <c r="H247" i="8"/>
  <c r="H284" i="1"/>
  <c r="H285" i="1" s="1"/>
  <c r="H286" i="1" s="1"/>
  <c r="H287" i="1" s="1"/>
  <c r="H288" i="1" s="1"/>
  <c r="H289" i="1" s="1"/>
  <c r="H290" i="1" s="1"/>
  <c r="H291" i="1" s="1"/>
  <c r="H292" i="1" s="1"/>
  <c r="H293" i="1" s="1"/>
  <c r="H294" i="1" s="1"/>
  <c r="H295" i="1" s="1"/>
  <c r="H296" i="1" s="1"/>
  <c r="H297" i="1" s="1"/>
  <c r="H298" i="1" s="1"/>
  <c r="H299" i="1" s="1"/>
  <c r="H300" i="1" s="1"/>
  <c r="H301" i="1" s="1"/>
  <c r="H302" i="1" s="1"/>
  <c r="H303" i="1" s="1"/>
  <c r="H304" i="1" s="1"/>
  <c r="H305" i="1" s="1"/>
  <c r="H306" i="1" s="1"/>
  <c r="H307" i="1" s="1"/>
  <c r="H308" i="1" s="1"/>
  <c r="H309" i="1" s="1"/>
  <c r="H310" i="1" s="1"/>
  <c r="H311" i="1" s="1"/>
  <c r="H312" i="1" s="1"/>
  <c r="H313" i="1" s="1"/>
  <c r="H320" i="1" s="1"/>
  <c r="H284" i="2"/>
  <c r="H285" i="2" s="1"/>
  <c r="H286" i="2" s="1"/>
  <c r="H287" i="2" s="1"/>
  <c r="H288" i="2" s="1"/>
  <c r="H289" i="2" s="1"/>
  <c r="H290" i="2" s="1"/>
  <c r="H291" i="2" s="1"/>
  <c r="H292" i="2" s="1"/>
  <c r="H293" i="2" s="1"/>
  <c r="H294" i="2" s="1"/>
  <c r="H295" i="2" s="1"/>
  <c r="H296" i="2" s="1"/>
  <c r="H297" i="2" s="1"/>
  <c r="H298" i="2" s="1"/>
  <c r="H299" i="2" s="1"/>
  <c r="H300" i="2" s="1"/>
  <c r="H301" i="2" s="1"/>
  <c r="H302" i="2" s="1"/>
  <c r="H303" i="2" s="1"/>
  <c r="H304" i="2" s="1"/>
  <c r="H305" i="2" s="1"/>
  <c r="H306" i="2" s="1"/>
  <c r="H307" i="2" s="1"/>
  <c r="H308" i="2" s="1"/>
  <c r="H309" i="2" s="1"/>
  <c r="H310" i="2" s="1"/>
  <c r="H311" i="2" s="1"/>
  <c r="H312" i="2" s="1"/>
  <c r="H313" i="2" s="1"/>
  <c r="H320" i="2" s="1"/>
  <c r="I23" i="8"/>
  <c r="H24" i="4"/>
  <c r="H314" i="5"/>
  <c r="H159" i="10" s="1"/>
  <c r="H284" i="6"/>
  <c r="H285" i="6" s="1"/>
  <c r="H286" i="6" s="1"/>
  <c r="H287" i="6" s="1"/>
  <c r="H288" i="6" s="1"/>
  <c r="H289" i="6" s="1"/>
  <c r="H290" i="6" s="1"/>
  <c r="H291" i="6" s="1"/>
  <c r="H292" i="6" s="1"/>
  <c r="H293" i="6" s="1"/>
  <c r="H294" i="6" s="1"/>
  <c r="H295" i="6" s="1"/>
  <c r="H296" i="6" s="1"/>
  <c r="H297" i="6" s="1"/>
  <c r="H298" i="6" s="1"/>
  <c r="H299" i="6" s="1"/>
  <c r="H300" i="6" s="1"/>
  <c r="H301" i="6" s="1"/>
  <c r="H302" i="6" s="1"/>
  <c r="H303" i="6" s="1"/>
  <c r="H304" i="6" s="1"/>
  <c r="H305" i="6" s="1"/>
  <c r="H306" i="6" s="1"/>
  <c r="H307" i="6" s="1"/>
  <c r="H308" i="6" s="1"/>
  <c r="H309" i="6" s="1"/>
  <c r="H310" i="6" s="1"/>
  <c r="H311" i="6" s="1"/>
  <c r="H312" i="6" s="1"/>
  <c r="H313" i="6" s="1"/>
  <c r="H320" i="6" s="1"/>
  <c r="H314" i="7"/>
  <c r="H160" i="10" s="1"/>
  <c r="F91" i="11"/>
  <c r="M140" i="10"/>
  <c r="O140" i="10"/>
  <c r="K140" i="10"/>
  <c r="L140" i="10"/>
  <c r="W463" i="4" l="1"/>
  <c r="Y462" i="4"/>
  <c r="X390" i="4"/>
  <c r="Y389" i="4"/>
  <c r="L160" i="10"/>
  <c r="O160" i="10"/>
  <c r="K160" i="10"/>
  <c r="M160" i="10"/>
  <c r="H25" i="4"/>
  <c r="I24" i="8"/>
  <c r="H314" i="6"/>
  <c r="H157" i="10" s="1"/>
  <c r="H359" i="3"/>
  <c r="H362" i="3" s="1"/>
  <c r="B201" i="10"/>
  <c r="H323" i="2"/>
  <c r="B170" i="10"/>
  <c r="H324" i="7"/>
  <c r="H325" i="7" s="1"/>
  <c r="H326" i="7" s="1"/>
  <c r="H327" i="7" s="1"/>
  <c r="H328" i="7" s="1"/>
  <c r="H329" i="7" s="1"/>
  <c r="H330" i="7" s="1"/>
  <c r="H331" i="7" s="1"/>
  <c r="H332" i="7" s="1"/>
  <c r="H333" i="7" s="1"/>
  <c r="H334" i="7" s="1"/>
  <c r="H335" i="7" s="1"/>
  <c r="H336" i="7" s="1"/>
  <c r="H337" i="7" s="1"/>
  <c r="H338" i="7" s="1"/>
  <c r="H339" i="7" s="1"/>
  <c r="H340" i="7" s="1"/>
  <c r="H341" i="7" s="1"/>
  <c r="H342" i="7" s="1"/>
  <c r="H343" i="7" s="1"/>
  <c r="H344" i="7" s="1"/>
  <c r="H345" i="7" s="1"/>
  <c r="H346" i="7" s="1"/>
  <c r="H347" i="7" s="1"/>
  <c r="H348" i="7" s="1"/>
  <c r="H349" i="7" s="1"/>
  <c r="H350" i="7" s="1"/>
  <c r="H351" i="7" s="1"/>
  <c r="H352" i="7" s="1"/>
  <c r="F111" i="11"/>
  <c r="L162" i="10"/>
  <c r="O162" i="10"/>
  <c r="K162" i="10"/>
  <c r="M162" i="10"/>
  <c r="F109" i="11"/>
  <c r="M159" i="10"/>
  <c r="O159" i="10"/>
  <c r="K159" i="10"/>
  <c r="L159" i="10"/>
  <c r="H314" i="2"/>
  <c r="H155" i="10" s="1"/>
  <c r="H353" i="3"/>
  <c r="H171" i="10" s="1"/>
  <c r="H323" i="1"/>
  <c r="B169" i="10"/>
  <c r="H248" i="8"/>
  <c r="H323" i="6"/>
  <c r="B172" i="10"/>
  <c r="H314" i="1"/>
  <c r="H154" i="10" s="1"/>
  <c r="H324" i="5"/>
  <c r="H325" i="5" s="1"/>
  <c r="H326" i="5" s="1"/>
  <c r="H327" i="5" s="1"/>
  <c r="H328" i="5" s="1"/>
  <c r="H329" i="5" s="1"/>
  <c r="H330" i="5" s="1"/>
  <c r="H331" i="5" s="1"/>
  <c r="H332" i="5" s="1"/>
  <c r="H333" i="5" s="1"/>
  <c r="H334" i="5" s="1"/>
  <c r="H335" i="5" s="1"/>
  <c r="H336" i="5" s="1"/>
  <c r="H337" i="5" s="1"/>
  <c r="H338" i="5" s="1"/>
  <c r="H339" i="5" s="1"/>
  <c r="H340" i="5" s="1"/>
  <c r="H341" i="5" s="1"/>
  <c r="H342" i="5" s="1"/>
  <c r="H343" i="5" s="1"/>
  <c r="H344" i="5" s="1"/>
  <c r="H345" i="5" s="1"/>
  <c r="H346" i="5" s="1"/>
  <c r="H347" i="5" s="1"/>
  <c r="H348" i="5" s="1"/>
  <c r="H349" i="5" s="1"/>
  <c r="H350" i="5" s="1"/>
  <c r="H351" i="5" s="1"/>
  <c r="H352" i="5" s="1"/>
  <c r="H324" i="9"/>
  <c r="H325" i="9" s="1"/>
  <c r="H326" i="9" s="1"/>
  <c r="H327" i="9" s="1"/>
  <c r="H328" i="9" s="1"/>
  <c r="H329" i="9" s="1"/>
  <c r="H330" i="9" s="1"/>
  <c r="H331" i="9" s="1"/>
  <c r="H332" i="9" s="1"/>
  <c r="H333" i="9" s="1"/>
  <c r="H334" i="9" s="1"/>
  <c r="H335" i="9" s="1"/>
  <c r="H336" i="9" s="1"/>
  <c r="H337" i="9" s="1"/>
  <c r="H338" i="9" s="1"/>
  <c r="H339" i="9" s="1"/>
  <c r="H340" i="9" s="1"/>
  <c r="H341" i="9" s="1"/>
  <c r="H342" i="9" s="1"/>
  <c r="H343" i="9" s="1"/>
  <c r="H344" i="9" s="1"/>
  <c r="H345" i="9" s="1"/>
  <c r="H346" i="9" s="1"/>
  <c r="H347" i="9" s="1"/>
  <c r="H348" i="9" s="1"/>
  <c r="H349" i="9" s="1"/>
  <c r="H350" i="9" s="1"/>
  <c r="H351" i="9" s="1"/>
  <c r="H352" i="9" s="1"/>
  <c r="W464" i="4" l="1"/>
  <c r="Y463" i="4"/>
  <c r="X391" i="4"/>
  <c r="Y390" i="4"/>
  <c r="H359" i="9"/>
  <c r="H362" i="9" s="1"/>
  <c r="B207" i="10"/>
  <c r="F104" i="11"/>
  <c r="L154" i="10"/>
  <c r="O154" i="10"/>
  <c r="K154" i="10"/>
  <c r="M154" i="10"/>
  <c r="H353" i="7"/>
  <c r="H175" i="10" s="1"/>
  <c r="I25" i="8"/>
  <c r="H26" i="4"/>
  <c r="H359" i="7"/>
  <c r="H362" i="7" s="1"/>
  <c r="B205" i="10"/>
  <c r="H363" i="3"/>
  <c r="H364" i="3" s="1"/>
  <c r="H365" i="3" s="1"/>
  <c r="H366" i="3" s="1"/>
  <c r="H367" i="3" s="1"/>
  <c r="H368" i="3" s="1"/>
  <c r="H369" i="3" s="1"/>
  <c r="H370" i="3" s="1"/>
  <c r="H371" i="3" s="1"/>
  <c r="H372" i="3" s="1"/>
  <c r="H373" i="3" s="1"/>
  <c r="H374" i="3" s="1"/>
  <c r="H375" i="3" s="1"/>
  <c r="H376" i="3" s="1"/>
  <c r="H377" i="3" s="1"/>
  <c r="H378" i="3" s="1"/>
  <c r="H379" i="3" s="1"/>
  <c r="H380" i="3" s="1"/>
  <c r="H381" i="3" s="1"/>
  <c r="H382" i="3" s="1"/>
  <c r="H383" i="3" s="1"/>
  <c r="H384" i="3" s="1"/>
  <c r="H385" i="3" s="1"/>
  <c r="H386" i="3" s="1"/>
  <c r="H387" i="3" s="1"/>
  <c r="H388" i="3" s="1"/>
  <c r="H389" i="3" s="1"/>
  <c r="H390" i="3" s="1"/>
  <c r="H391" i="3" s="1"/>
  <c r="H392" i="3" s="1"/>
  <c r="H399" i="3" s="1"/>
  <c r="H359" i="5"/>
  <c r="H362" i="5" s="1"/>
  <c r="B204" i="10"/>
  <c r="H324" i="6"/>
  <c r="H325" i="6" s="1"/>
  <c r="H326" i="6" s="1"/>
  <c r="H327" i="6" s="1"/>
  <c r="H328" i="6" s="1"/>
  <c r="H329" i="6" s="1"/>
  <c r="H330" i="6" s="1"/>
  <c r="H331" i="6" s="1"/>
  <c r="H332" i="6" s="1"/>
  <c r="H333" i="6" s="1"/>
  <c r="H334" i="6" s="1"/>
  <c r="H335" i="6" s="1"/>
  <c r="H336" i="6" s="1"/>
  <c r="H337" i="6" s="1"/>
  <c r="H338" i="6" s="1"/>
  <c r="H339" i="6" s="1"/>
  <c r="H340" i="6" s="1"/>
  <c r="H341" i="6" s="1"/>
  <c r="H342" i="6" s="1"/>
  <c r="H343" i="6" s="1"/>
  <c r="H344" i="6" s="1"/>
  <c r="H345" i="6" s="1"/>
  <c r="H346" i="6" s="1"/>
  <c r="H347" i="6" s="1"/>
  <c r="H348" i="6" s="1"/>
  <c r="H349" i="6" s="1"/>
  <c r="H350" i="6" s="1"/>
  <c r="H351" i="6" s="1"/>
  <c r="H352" i="6" s="1"/>
  <c r="H324" i="1"/>
  <c r="H325" i="1" s="1"/>
  <c r="H326" i="1" s="1"/>
  <c r="H327" i="1" s="1"/>
  <c r="H328" i="1" s="1"/>
  <c r="H329" i="1" s="1"/>
  <c r="H330" i="1" s="1"/>
  <c r="H331" i="1" s="1"/>
  <c r="H332" i="1" s="1"/>
  <c r="H333" i="1" s="1"/>
  <c r="H334" i="1" s="1"/>
  <c r="H335" i="1" s="1"/>
  <c r="H336" i="1" s="1"/>
  <c r="H337" i="1" s="1"/>
  <c r="H338" i="1" s="1"/>
  <c r="H339" i="1" s="1"/>
  <c r="H340" i="1" s="1"/>
  <c r="H341" i="1" s="1"/>
  <c r="H342" i="1" s="1"/>
  <c r="H343" i="1" s="1"/>
  <c r="H344" i="1" s="1"/>
  <c r="H345" i="1" s="1"/>
  <c r="H346" i="1" s="1"/>
  <c r="H347" i="1" s="1"/>
  <c r="H348" i="1" s="1"/>
  <c r="H349" i="1" s="1"/>
  <c r="H350" i="1" s="1"/>
  <c r="H351" i="1" s="1"/>
  <c r="H352" i="1" s="1"/>
  <c r="F107" i="11"/>
  <c r="M157" i="10"/>
  <c r="O157" i="10"/>
  <c r="L157" i="10"/>
  <c r="K157" i="10"/>
  <c r="H353" i="9"/>
  <c r="H177" i="10" s="1"/>
  <c r="F105" i="11"/>
  <c r="M155" i="10"/>
  <c r="O155" i="10"/>
  <c r="L155" i="10"/>
  <c r="K155" i="10"/>
  <c r="H353" i="5"/>
  <c r="H174" i="10" s="1"/>
  <c r="H249" i="8"/>
  <c r="F120" i="11"/>
  <c r="L171" i="10"/>
  <c r="O171" i="10"/>
  <c r="K171" i="10"/>
  <c r="M171" i="10"/>
  <c r="H186" i="10"/>
  <c r="H324" i="2"/>
  <c r="H325" i="2" s="1"/>
  <c r="H326" i="2" s="1"/>
  <c r="H327" i="2" s="1"/>
  <c r="H328" i="2" s="1"/>
  <c r="H329" i="2" s="1"/>
  <c r="H330" i="2" s="1"/>
  <c r="H331" i="2" s="1"/>
  <c r="H332" i="2" s="1"/>
  <c r="H333" i="2" s="1"/>
  <c r="H334" i="2" s="1"/>
  <c r="H335" i="2" s="1"/>
  <c r="H336" i="2" s="1"/>
  <c r="H337" i="2" s="1"/>
  <c r="H338" i="2" s="1"/>
  <c r="H339" i="2" s="1"/>
  <c r="H340" i="2" s="1"/>
  <c r="H341" i="2" s="1"/>
  <c r="H342" i="2" s="1"/>
  <c r="H343" i="2" s="1"/>
  <c r="H344" i="2" s="1"/>
  <c r="H345" i="2" s="1"/>
  <c r="H346" i="2" s="1"/>
  <c r="H347" i="2" s="1"/>
  <c r="H348" i="2" s="1"/>
  <c r="H349" i="2" s="1"/>
  <c r="H350" i="2" s="1"/>
  <c r="H351" i="2" s="1"/>
  <c r="H352" i="2" s="1"/>
  <c r="Y464" i="4" l="1"/>
  <c r="W465" i="4"/>
  <c r="X392" i="4"/>
  <c r="X393" i="4" s="1"/>
  <c r="H206" i="10" s="1"/>
  <c r="H209" i="10" s="1"/>
  <c r="Y391" i="4"/>
  <c r="H402" i="3"/>
  <c r="B216" i="10"/>
  <c r="I26" i="8"/>
  <c r="H27" i="4"/>
  <c r="F123" i="11"/>
  <c r="M174" i="10"/>
  <c r="O174" i="10"/>
  <c r="L174" i="10"/>
  <c r="K174" i="10"/>
  <c r="H189" i="10"/>
  <c r="H353" i="6"/>
  <c r="H172" i="10" s="1"/>
  <c r="H393" i="3"/>
  <c r="H201" i="10" s="1"/>
  <c r="L186" i="10"/>
  <c r="O186" i="10"/>
  <c r="K186" i="10"/>
  <c r="M186" i="10"/>
  <c r="H250" i="8"/>
  <c r="H353" i="2"/>
  <c r="H170" i="10" s="1"/>
  <c r="K170" i="10" s="1"/>
  <c r="F125" i="11"/>
  <c r="L177" i="10"/>
  <c r="O177" i="10"/>
  <c r="K177" i="10"/>
  <c r="M177" i="10"/>
  <c r="H192" i="10"/>
  <c r="H353" i="1"/>
  <c r="H169" i="10" s="1"/>
  <c r="K169" i="10" s="1"/>
  <c r="L175" i="10"/>
  <c r="O175" i="10"/>
  <c r="K175" i="10"/>
  <c r="M175" i="10"/>
  <c r="H190" i="10"/>
  <c r="H359" i="2"/>
  <c r="H362" i="2" s="1"/>
  <c r="B200" i="10"/>
  <c r="H359" i="1"/>
  <c r="H362" i="1" s="1"/>
  <c r="B199" i="10"/>
  <c r="H363" i="5"/>
  <c r="H364" i="5" s="1"/>
  <c r="H365" i="5" s="1"/>
  <c r="H366" i="5" s="1"/>
  <c r="H367" i="5" s="1"/>
  <c r="H368" i="5" s="1"/>
  <c r="H369" i="5" s="1"/>
  <c r="H370" i="5" s="1"/>
  <c r="H371" i="5" s="1"/>
  <c r="H372" i="5" s="1"/>
  <c r="H373" i="5" s="1"/>
  <c r="H374" i="5" s="1"/>
  <c r="H375" i="5" s="1"/>
  <c r="H376" i="5" s="1"/>
  <c r="H377" i="5" s="1"/>
  <c r="H378" i="5" s="1"/>
  <c r="H379" i="5" s="1"/>
  <c r="H380" i="5" s="1"/>
  <c r="H381" i="5" s="1"/>
  <c r="H382" i="5" s="1"/>
  <c r="H383" i="5" s="1"/>
  <c r="H384" i="5" s="1"/>
  <c r="H385" i="5" s="1"/>
  <c r="H386" i="5" s="1"/>
  <c r="H387" i="5" s="1"/>
  <c r="H388" i="5" s="1"/>
  <c r="H389" i="5" s="1"/>
  <c r="H390" i="5" s="1"/>
  <c r="H391" i="5" s="1"/>
  <c r="H363" i="7"/>
  <c r="H364" i="7" s="1"/>
  <c r="H365" i="7" s="1"/>
  <c r="H366" i="7" s="1"/>
  <c r="H367" i="7" s="1"/>
  <c r="H368" i="7" s="1"/>
  <c r="H369" i="7" s="1"/>
  <c r="H370" i="7" s="1"/>
  <c r="H371" i="7" s="1"/>
  <c r="H372" i="7" s="1"/>
  <c r="H373" i="7" s="1"/>
  <c r="H374" i="7" s="1"/>
  <c r="H375" i="7" s="1"/>
  <c r="H376" i="7" s="1"/>
  <c r="H377" i="7" s="1"/>
  <c r="H378" i="7" s="1"/>
  <c r="H379" i="7" s="1"/>
  <c r="H380" i="7" s="1"/>
  <c r="H381" i="7" s="1"/>
  <c r="H382" i="7" s="1"/>
  <c r="H383" i="7" s="1"/>
  <c r="H384" i="7" s="1"/>
  <c r="H385" i="7" s="1"/>
  <c r="H386" i="7" s="1"/>
  <c r="H387" i="7" s="1"/>
  <c r="H388" i="7" s="1"/>
  <c r="H389" i="7" s="1"/>
  <c r="H390" i="7" s="1"/>
  <c r="H391" i="7" s="1"/>
  <c r="H392" i="7" s="1"/>
  <c r="H399" i="7" s="1"/>
  <c r="H359" i="6"/>
  <c r="H362" i="6" s="1"/>
  <c r="B202" i="10"/>
  <c r="H363" i="9"/>
  <c r="H364" i="9" s="1"/>
  <c r="H365" i="9" s="1"/>
  <c r="H366" i="9" s="1"/>
  <c r="H367" i="9" s="1"/>
  <c r="H368" i="9" s="1"/>
  <c r="H369" i="9" s="1"/>
  <c r="H370" i="9" s="1"/>
  <c r="H371" i="9" s="1"/>
  <c r="H372" i="9" s="1"/>
  <c r="H373" i="9" s="1"/>
  <c r="H374" i="9" s="1"/>
  <c r="H375" i="9" s="1"/>
  <c r="H376" i="9" s="1"/>
  <c r="H377" i="9" s="1"/>
  <c r="H378" i="9" s="1"/>
  <c r="H379" i="9" s="1"/>
  <c r="H380" i="9" s="1"/>
  <c r="H381" i="9" s="1"/>
  <c r="H382" i="9" s="1"/>
  <c r="H383" i="9" s="1"/>
  <c r="H384" i="9" s="1"/>
  <c r="H385" i="9" s="1"/>
  <c r="H386" i="9" s="1"/>
  <c r="H387" i="9" s="1"/>
  <c r="H388" i="9" s="1"/>
  <c r="H389" i="9" s="1"/>
  <c r="H390" i="9" s="1"/>
  <c r="H391" i="9" s="1"/>
  <c r="H392" i="9" s="1"/>
  <c r="H399" i="9" s="1"/>
  <c r="W466" i="4" l="1"/>
  <c r="Y465" i="4"/>
  <c r="Y392" i="4"/>
  <c r="Y393" i="4" s="1"/>
  <c r="B220" i="10"/>
  <c r="H402" i="7"/>
  <c r="H392" i="5"/>
  <c r="H399" i="5" s="1"/>
  <c r="H363" i="6"/>
  <c r="H364" i="6" s="1"/>
  <c r="H365" i="6" s="1"/>
  <c r="H366" i="6" s="1"/>
  <c r="H367" i="6" s="1"/>
  <c r="H368" i="6" s="1"/>
  <c r="H369" i="6" s="1"/>
  <c r="H370" i="6" s="1"/>
  <c r="H371" i="6" s="1"/>
  <c r="H372" i="6" s="1"/>
  <c r="H373" i="6" s="1"/>
  <c r="H374" i="6" s="1"/>
  <c r="H375" i="6" s="1"/>
  <c r="H376" i="6" s="1"/>
  <c r="H377" i="6" s="1"/>
  <c r="H378" i="6" s="1"/>
  <c r="H379" i="6" s="1"/>
  <c r="H380" i="6" s="1"/>
  <c r="H381" i="6" s="1"/>
  <c r="H382" i="6" s="1"/>
  <c r="H383" i="6" s="1"/>
  <c r="H384" i="6" s="1"/>
  <c r="H385" i="6" s="1"/>
  <c r="H386" i="6" s="1"/>
  <c r="H387" i="6" s="1"/>
  <c r="H388" i="6" s="1"/>
  <c r="H389" i="6" s="1"/>
  <c r="H390" i="6" s="1"/>
  <c r="H391" i="6" s="1"/>
  <c r="H392" i="6" s="1"/>
  <c r="H399" i="6" s="1"/>
  <c r="H363" i="2"/>
  <c r="H364" i="2" s="1"/>
  <c r="H365" i="2" s="1"/>
  <c r="H366" i="2" s="1"/>
  <c r="H367" i="2" s="1"/>
  <c r="H368" i="2" s="1"/>
  <c r="H369" i="2" s="1"/>
  <c r="H370" i="2" s="1"/>
  <c r="H371" i="2" s="1"/>
  <c r="H372" i="2" s="1"/>
  <c r="H373" i="2" s="1"/>
  <c r="H374" i="2" s="1"/>
  <c r="H375" i="2" s="1"/>
  <c r="H376" i="2" s="1"/>
  <c r="H377" i="2" s="1"/>
  <c r="H378" i="2" s="1"/>
  <c r="H379" i="2" s="1"/>
  <c r="H380" i="2" s="1"/>
  <c r="H381" i="2" s="1"/>
  <c r="H382" i="2" s="1"/>
  <c r="H383" i="2" s="1"/>
  <c r="H384" i="2" s="1"/>
  <c r="H385" i="2" s="1"/>
  <c r="H386" i="2" s="1"/>
  <c r="H387" i="2" s="1"/>
  <c r="H388" i="2" s="1"/>
  <c r="H389" i="2" s="1"/>
  <c r="H390" i="2" s="1"/>
  <c r="H391" i="2" s="1"/>
  <c r="H392" i="2" s="1"/>
  <c r="H399" i="2" s="1"/>
  <c r="F118" i="11"/>
  <c r="L169" i="10"/>
  <c r="O169" i="10"/>
  <c r="M169" i="10"/>
  <c r="H184" i="10"/>
  <c r="F119" i="11"/>
  <c r="M170" i="10"/>
  <c r="L170" i="10"/>
  <c r="O170" i="10"/>
  <c r="H185" i="10"/>
  <c r="F121" i="11"/>
  <c r="M172" i="10"/>
  <c r="O172" i="10"/>
  <c r="L172" i="10"/>
  <c r="K172" i="10"/>
  <c r="H187" i="10"/>
  <c r="I27" i="8"/>
  <c r="H28" i="4"/>
  <c r="L192" i="10"/>
  <c r="O192" i="10"/>
  <c r="K192" i="10"/>
  <c r="M192" i="10"/>
  <c r="M189" i="10"/>
  <c r="K189" i="10"/>
  <c r="L189" i="10"/>
  <c r="O189" i="10"/>
  <c r="H402" i="9"/>
  <c r="B222" i="10"/>
  <c r="H393" i="9"/>
  <c r="H207" i="10" s="1"/>
  <c r="H393" i="7"/>
  <c r="H205" i="10" s="1"/>
  <c r="H363" i="1"/>
  <c r="H364" i="1" s="1"/>
  <c r="H365" i="1" s="1"/>
  <c r="H366" i="1" s="1"/>
  <c r="H367" i="1" s="1"/>
  <c r="H368" i="1" s="1"/>
  <c r="H369" i="1" s="1"/>
  <c r="H370" i="1" s="1"/>
  <c r="H371" i="1" s="1"/>
  <c r="H372" i="1" s="1"/>
  <c r="H373" i="1" s="1"/>
  <c r="H374" i="1" s="1"/>
  <c r="H375" i="1" s="1"/>
  <c r="H376" i="1" s="1"/>
  <c r="H377" i="1" s="1"/>
  <c r="H378" i="1" s="1"/>
  <c r="H379" i="1" s="1"/>
  <c r="H380" i="1" s="1"/>
  <c r="H381" i="1" s="1"/>
  <c r="H382" i="1" s="1"/>
  <c r="H383" i="1" s="1"/>
  <c r="H384" i="1" s="1"/>
  <c r="H385" i="1" s="1"/>
  <c r="H386" i="1" s="1"/>
  <c r="H387" i="1" s="1"/>
  <c r="H388" i="1" s="1"/>
  <c r="H389" i="1" s="1"/>
  <c r="H390" i="1" s="1"/>
  <c r="H391" i="1" s="1"/>
  <c r="H392" i="1" s="1"/>
  <c r="H399" i="1" s="1"/>
  <c r="H251" i="8"/>
  <c r="L190" i="10"/>
  <c r="O190" i="10"/>
  <c r="K190" i="10"/>
  <c r="M190" i="10"/>
  <c r="F134" i="11"/>
  <c r="L201" i="10"/>
  <c r="O201" i="10"/>
  <c r="K201" i="10"/>
  <c r="M201" i="10"/>
  <c r="H403" i="3"/>
  <c r="H404" i="3" s="1"/>
  <c r="H405" i="3" s="1"/>
  <c r="H406" i="3" s="1"/>
  <c r="H407" i="3" s="1"/>
  <c r="H408" i="3" s="1"/>
  <c r="H409" i="3" s="1"/>
  <c r="H410" i="3" s="1"/>
  <c r="H411" i="3" s="1"/>
  <c r="H412" i="3" s="1"/>
  <c r="H413" i="3" s="1"/>
  <c r="H414" i="3" s="1"/>
  <c r="H415" i="3" s="1"/>
  <c r="H416" i="3" s="1"/>
  <c r="H417" i="3" s="1"/>
  <c r="H418" i="3" s="1"/>
  <c r="H419" i="3" s="1"/>
  <c r="H420" i="3" s="1"/>
  <c r="H421" i="3" s="1"/>
  <c r="H422" i="3" s="1"/>
  <c r="H423" i="3" s="1"/>
  <c r="H424" i="3" s="1"/>
  <c r="H425" i="3" s="1"/>
  <c r="H426" i="3" s="1"/>
  <c r="H427" i="3" s="1"/>
  <c r="H428" i="3" s="1"/>
  <c r="H429" i="3" s="1"/>
  <c r="H430" i="3" s="1"/>
  <c r="H431" i="3" s="1"/>
  <c r="H438" i="3" s="1"/>
  <c r="W467" i="4" l="1"/>
  <c r="Y466" i="4"/>
  <c r="H403" i="7"/>
  <c r="H404" i="7" s="1"/>
  <c r="H405" i="7" s="1"/>
  <c r="H406" i="7" s="1"/>
  <c r="H407" i="7" s="1"/>
  <c r="H408" i="7" s="1"/>
  <c r="H409" i="7" s="1"/>
  <c r="H410" i="7" s="1"/>
  <c r="H411" i="7" s="1"/>
  <c r="H412" i="7" s="1"/>
  <c r="H413" i="7" s="1"/>
  <c r="H414" i="7" s="1"/>
  <c r="H415" i="7" s="1"/>
  <c r="H416" i="7" s="1"/>
  <c r="H417" i="7" s="1"/>
  <c r="H418" i="7" s="1"/>
  <c r="H419" i="7" s="1"/>
  <c r="H420" i="7" s="1"/>
  <c r="H421" i="7" s="1"/>
  <c r="H422" i="7" s="1"/>
  <c r="H423" i="7" s="1"/>
  <c r="H424" i="7" s="1"/>
  <c r="H425" i="7" s="1"/>
  <c r="H426" i="7" s="1"/>
  <c r="H427" i="7" s="1"/>
  <c r="H428" i="7" s="1"/>
  <c r="H429" i="7" s="1"/>
  <c r="H430" i="7" s="1"/>
  <c r="H431" i="7" s="1"/>
  <c r="H438" i="7" s="1"/>
  <c r="H402" i="5"/>
  <c r="H403" i="5" s="1"/>
  <c r="H404" i="5" s="1"/>
  <c r="H405" i="5" s="1"/>
  <c r="H406" i="5" s="1"/>
  <c r="H407" i="5" s="1"/>
  <c r="H408" i="5" s="1"/>
  <c r="H409" i="5" s="1"/>
  <c r="H410" i="5" s="1"/>
  <c r="H411" i="5" s="1"/>
  <c r="H412" i="5" s="1"/>
  <c r="H413" i="5" s="1"/>
  <c r="H414" i="5" s="1"/>
  <c r="H415" i="5" s="1"/>
  <c r="H416" i="5" s="1"/>
  <c r="H417" i="5" s="1"/>
  <c r="H418" i="5" s="1"/>
  <c r="H419" i="5" s="1"/>
  <c r="H420" i="5" s="1"/>
  <c r="H421" i="5" s="1"/>
  <c r="H422" i="5" s="1"/>
  <c r="H423" i="5" s="1"/>
  <c r="H424" i="5" s="1"/>
  <c r="H425" i="5" s="1"/>
  <c r="H426" i="5" s="1"/>
  <c r="H427" i="5" s="1"/>
  <c r="H428" i="5" s="1"/>
  <c r="H429" i="5" s="1"/>
  <c r="H430" i="5" s="1"/>
  <c r="H431" i="5" s="1"/>
  <c r="H438" i="5" s="1"/>
  <c r="B219" i="10"/>
  <c r="H393" i="5"/>
  <c r="H204" i="10" s="1"/>
  <c r="F137" i="11" s="1"/>
  <c r="H432" i="3"/>
  <c r="H216" i="10" s="1"/>
  <c r="L216" i="10" s="1"/>
  <c r="F139" i="11"/>
  <c r="M207" i="10"/>
  <c r="K207" i="10"/>
  <c r="L207" i="10"/>
  <c r="O207" i="10"/>
  <c r="I28" i="8"/>
  <c r="H29" i="4"/>
  <c r="L184" i="10"/>
  <c r="O184" i="10"/>
  <c r="K184" i="10"/>
  <c r="M184" i="10"/>
  <c r="H402" i="1"/>
  <c r="B214" i="10"/>
  <c r="H393" i="2"/>
  <c r="H200" i="10" s="1"/>
  <c r="H252" i="8"/>
  <c r="H441" i="3"/>
  <c r="B231" i="10"/>
  <c r="H393" i="1"/>
  <c r="H199" i="10" s="1"/>
  <c r="H403" i="9"/>
  <c r="H404" i="9" s="1"/>
  <c r="H405" i="9" s="1"/>
  <c r="H406" i="9" s="1"/>
  <c r="H407" i="9" s="1"/>
  <c r="H408" i="9" s="1"/>
  <c r="H409" i="9" s="1"/>
  <c r="H410" i="9" s="1"/>
  <c r="H411" i="9" s="1"/>
  <c r="H412" i="9" s="1"/>
  <c r="H413" i="9" s="1"/>
  <c r="H414" i="9" s="1"/>
  <c r="H415" i="9" s="1"/>
  <c r="H416" i="9" s="1"/>
  <c r="H417" i="9" s="1"/>
  <c r="H418" i="9" s="1"/>
  <c r="H419" i="9" s="1"/>
  <c r="H420" i="9" s="1"/>
  <c r="H421" i="9" s="1"/>
  <c r="H422" i="9" s="1"/>
  <c r="H423" i="9" s="1"/>
  <c r="H424" i="9" s="1"/>
  <c r="H425" i="9" s="1"/>
  <c r="H426" i="9" s="1"/>
  <c r="H427" i="9" s="1"/>
  <c r="H428" i="9" s="1"/>
  <c r="H429" i="9" s="1"/>
  <c r="H430" i="9" s="1"/>
  <c r="H431" i="9" s="1"/>
  <c r="H438" i="9" s="1"/>
  <c r="M187" i="10"/>
  <c r="O187" i="10"/>
  <c r="L187" i="10"/>
  <c r="K187" i="10"/>
  <c r="M185" i="10"/>
  <c r="K185" i="10"/>
  <c r="L185" i="10"/>
  <c r="O185" i="10"/>
  <c r="M205" i="10"/>
  <c r="K205" i="10"/>
  <c r="L205" i="10"/>
  <c r="O205" i="10"/>
  <c r="H402" i="6"/>
  <c r="B217" i="10"/>
  <c r="H402" i="2"/>
  <c r="B215" i="10"/>
  <c r="H393" i="6"/>
  <c r="H202" i="10" s="1"/>
  <c r="Y467" i="4" l="1"/>
  <c r="W468" i="4"/>
  <c r="H432" i="7"/>
  <c r="H220" i="10" s="1"/>
  <c r="B235" i="10"/>
  <c r="H441" i="7"/>
  <c r="M204" i="10"/>
  <c r="L204" i="10"/>
  <c r="K204" i="10"/>
  <c r="O204" i="10"/>
  <c r="K216" i="10"/>
  <c r="M216" i="10"/>
  <c r="O216" i="10"/>
  <c r="F148" i="11"/>
  <c r="H441" i="9"/>
  <c r="B237" i="10"/>
  <c r="H432" i="9"/>
  <c r="H222" i="10" s="1"/>
  <c r="F135" i="11"/>
  <c r="M202" i="10"/>
  <c r="O202" i="10"/>
  <c r="L202" i="10"/>
  <c r="K202" i="10"/>
  <c r="H403" i="6"/>
  <c r="H404" i="6" s="1"/>
  <c r="H405" i="6" s="1"/>
  <c r="H406" i="6" s="1"/>
  <c r="H407" i="6" s="1"/>
  <c r="H408" i="6" s="1"/>
  <c r="H409" i="6" s="1"/>
  <c r="H410" i="6" s="1"/>
  <c r="H411" i="6" s="1"/>
  <c r="H412" i="6" s="1"/>
  <c r="H413" i="6" s="1"/>
  <c r="H414" i="6" s="1"/>
  <c r="H415" i="6" s="1"/>
  <c r="H416" i="6" s="1"/>
  <c r="H417" i="6" s="1"/>
  <c r="H418" i="6" s="1"/>
  <c r="H419" i="6" s="1"/>
  <c r="H420" i="6" s="1"/>
  <c r="H421" i="6" s="1"/>
  <c r="H422" i="6" s="1"/>
  <c r="H423" i="6" s="1"/>
  <c r="H424" i="6" s="1"/>
  <c r="H425" i="6" s="1"/>
  <c r="H426" i="6" s="1"/>
  <c r="H427" i="6" s="1"/>
  <c r="H428" i="6" s="1"/>
  <c r="H429" i="6" s="1"/>
  <c r="H430" i="6" s="1"/>
  <c r="H431" i="6" s="1"/>
  <c r="H438" i="6" s="1"/>
  <c r="F132" i="11"/>
  <c r="L199" i="10"/>
  <c r="O199" i="10"/>
  <c r="K199" i="10"/>
  <c r="M199" i="10"/>
  <c r="H253" i="8"/>
  <c r="H403" i="1"/>
  <c r="H404" i="1" s="1"/>
  <c r="H405" i="1" s="1"/>
  <c r="H406" i="1" s="1"/>
  <c r="H407" i="1" s="1"/>
  <c r="H408" i="1" s="1"/>
  <c r="H409" i="1" s="1"/>
  <c r="H410" i="1" s="1"/>
  <c r="H411" i="1" s="1"/>
  <c r="H412" i="1" s="1"/>
  <c r="H413" i="1" s="1"/>
  <c r="H414" i="1" s="1"/>
  <c r="H415" i="1" s="1"/>
  <c r="H416" i="1" s="1"/>
  <c r="H417" i="1" s="1"/>
  <c r="H418" i="1" s="1"/>
  <c r="H419" i="1" s="1"/>
  <c r="H420" i="1" s="1"/>
  <c r="H421" i="1" s="1"/>
  <c r="H422" i="1" s="1"/>
  <c r="H423" i="1" s="1"/>
  <c r="H424" i="1" s="1"/>
  <c r="H425" i="1" s="1"/>
  <c r="H426" i="1" s="1"/>
  <c r="H427" i="1" s="1"/>
  <c r="H428" i="1" s="1"/>
  <c r="H429" i="1" s="1"/>
  <c r="H430" i="1" s="1"/>
  <c r="H431" i="1" s="1"/>
  <c r="H438" i="1" s="1"/>
  <c r="H403" i="2"/>
  <c r="H404" i="2" s="1"/>
  <c r="H405" i="2" s="1"/>
  <c r="H406" i="2" s="1"/>
  <c r="H407" i="2" s="1"/>
  <c r="H408" i="2" s="1"/>
  <c r="H409" i="2" s="1"/>
  <c r="H410" i="2" s="1"/>
  <c r="H411" i="2" s="1"/>
  <c r="H412" i="2" s="1"/>
  <c r="H413" i="2" s="1"/>
  <c r="H414" i="2" s="1"/>
  <c r="H415" i="2" s="1"/>
  <c r="H416" i="2" s="1"/>
  <c r="H417" i="2" s="1"/>
  <c r="H418" i="2" s="1"/>
  <c r="H419" i="2" s="1"/>
  <c r="H420" i="2" s="1"/>
  <c r="H421" i="2" s="1"/>
  <c r="H422" i="2" s="1"/>
  <c r="H423" i="2" s="1"/>
  <c r="H424" i="2" s="1"/>
  <c r="H425" i="2" s="1"/>
  <c r="H426" i="2" s="1"/>
  <c r="H427" i="2" s="1"/>
  <c r="H428" i="2" s="1"/>
  <c r="H429" i="2" s="1"/>
  <c r="H430" i="2" s="1"/>
  <c r="H431" i="2" s="1"/>
  <c r="H438" i="2" s="1"/>
  <c r="H432" i="5"/>
  <c r="H219" i="10" s="1"/>
  <c r="H441" i="5"/>
  <c r="B234" i="10"/>
  <c r="H442" i="3"/>
  <c r="H443" i="3" s="1"/>
  <c r="H444" i="3" s="1"/>
  <c r="H445" i="3" s="1"/>
  <c r="H446" i="3" s="1"/>
  <c r="H447" i="3" s="1"/>
  <c r="H448" i="3" s="1"/>
  <c r="H449" i="3" s="1"/>
  <c r="H450" i="3" s="1"/>
  <c r="H451" i="3" s="1"/>
  <c r="H452" i="3" s="1"/>
  <c r="H453" i="3" s="1"/>
  <c r="H454" i="3" s="1"/>
  <c r="H455" i="3" s="1"/>
  <c r="H456" i="3" s="1"/>
  <c r="H457" i="3" s="1"/>
  <c r="H458" i="3" s="1"/>
  <c r="H459" i="3" s="1"/>
  <c r="H460" i="3" s="1"/>
  <c r="H461" i="3" s="1"/>
  <c r="H462" i="3" s="1"/>
  <c r="H463" i="3" s="1"/>
  <c r="H464" i="3" s="1"/>
  <c r="H465" i="3" s="1"/>
  <c r="H466" i="3" s="1"/>
  <c r="H467" i="3" s="1"/>
  <c r="H468" i="3" s="1"/>
  <c r="H469" i="3" s="1"/>
  <c r="H470" i="3" s="1"/>
  <c r="H471" i="3" s="1"/>
  <c r="F133" i="11"/>
  <c r="M200" i="10"/>
  <c r="K200" i="10"/>
  <c r="L200" i="10"/>
  <c r="O200" i="10"/>
  <c r="I29" i="8"/>
  <c r="H30" i="4"/>
  <c r="Y468" i="4" l="1"/>
  <c r="W469" i="4"/>
  <c r="H442" i="7"/>
  <c r="H443" i="7" s="1"/>
  <c r="H444" i="7" s="1"/>
  <c r="H445" i="7" s="1"/>
  <c r="H446" i="7" s="1"/>
  <c r="H447" i="7" s="1"/>
  <c r="H448" i="7" s="1"/>
  <c r="H449" i="7" s="1"/>
  <c r="H450" i="7" s="1"/>
  <c r="H451" i="7" s="1"/>
  <c r="H452" i="7" s="1"/>
  <c r="H453" i="7" s="1"/>
  <c r="H454" i="7" s="1"/>
  <c r="H455" i="7" s="1"/>
  <c r="H456" i="7" s="1"/>
  <c r="H457" i="7" s="1"/>
  <c r="H458" i="7" s="1"/>
  <c r="H459" i="7" s="1"/>
  <c r="H460" i="7" s="1"/>
  <c r="H461" i="7" s="1"/>
  <c r="H462" i="7" s="1"/>
  <c r="H463" i="7" s="1"/>
  <c r="H464" i="7" s="1"/>
  <c r="H465" i="7" s="1"/>
  <c r="H466" i="7" s="1"/>
  <c r="H467" i="7" s="1"/>
  <c r="H468" i="7" s="1"/>
  <c r="H469" i="7" s="1"/>
  <c r="H470" i="7" s="1"/>
  <c r="H471" i="7" s="1"/>
  <c r="L220" i="10"/>
  <c r="M220" i="10"/>
  <c r="O220" i="10"/>
  <c r="K220" i="10"/>
  <c r="H441" i="6"/>
  <c r="B232" i="10"/>
  <c r="H472" i="3"/>
  <c r="H231" i="10" s="1"/>
  <c r="H432" i="1"/>
  <c r="H214" i="10" s="1"/>
  <c r="H432" i="6"/>
  <c r="H217" i="10" s="1"/>
  <c r="F153" i="11"/>
  <c r="M222" i="10"/>
  <c r="K222" i="10"/>
  <c r="O222" i="10"/>
  <c r="L222" i="10"/>
  <c r="H442" i="5"/>
  <c r="H443" i="5" s="1"/>
  <c r="H444" i="5" s="1"/>
  <c r="H445" i="5" s="1"/>
  <c r="H446" i="5" s="1"/>
  <c r="H447" i="5" s="1"/>
  <c r="H448" i="5" s="1"/>
  <c r="H449" i="5" s="1"/>
  <c r="H450" i="5" s="1"/>
  <c r="H451" i="5" s="1"/>
  <c r="H452" i="5" s="1"/>
  <c r="H453" i="5" s="1"/>
  <c r="H454" i="5" s="1"/>
  <c r="H455" i="5" s="1"/>
  <c r="H456" i="5" s="1"/>
  <c r="H457" i="5" s="1"/>
  <c r="H458" i="5" s="1"/>
  <c r="H459" i="5" s="1"/>
  <c r="H460" i="5" s="1"/>
  <c r="H461" i="5" s="1"/>
  <c r="H462" i="5" s="1"/>
  <c r="H463" i="5" s="1"/>
  <c r="H464" i="5" s="1"/>
  <c r="H465" i="5" s="1"/>
  <c r="H466" i="5" s="1"/>
  <c r="H467" i="5" s="1"/>
  <c r="H468" i="5" s="1"/>
  <c r="H469" i="5" s="1"/>
  <c r="H470" i="5" s="1"/>
  <c r="H471" i="5" s="1"/>
  <c r="H441" i="1"/>
  <c r="B229" i="10"/>
  <c r="H442" i="9"/>
  <c r="H443" i="9" s="1"/>
  <c r="H444" i="9" s="1"/>
  <c r="H445" i="9" s="1"/>
  <c r="H446" i="9" s="1"/>
  <c r="H447" i="9" s="1"/>
  <c r="H448" i="9" s="1"/>
  <c r="H449" i="9" s="1"/>
  <c r="H450" i="9" s="1"/>
  <c r="H451" i="9" s="1"/>
  <c r="H452" i="9" s="1"/>
  <c r="H453" i="9" s="1"/>
  <c r="H454" i="9" s="1"/>
  <c r="H455" i="9" s="1"/>
  <c r="H456" i="9" s="1"/>
  <c r="H457" i="9" s="1"/>
  <c r="H458" i="9" s="1"/>
  <c r="H459" i="9" s="1"/>
  <c r="H460" i="9" s="1"/>
  <c r="H461" i="9" s="1"/>
  <c r="H462" i="9" s="1"/>
  <c r="H463" i="9" s="1"/>
  <c r="H464" i="9" s="1"/>
  <c r="H465" i="9" s="1"/>
  <c r="H466" i="9" s="1"/>
  <c r="H467" i="9" s="1"/>
  <c r="H468" i="9" s="1"/>
  <c r="H469" i="9" s="1"/>
  <c r="H470" i="9" s="1"/>
  <c r="H471" i="9" s="1"/>
  <c r="H432" i="2"/>
  <c r="H215" i="10" s="1"/>
  <c r="H441" i="2"/>
  <c r="B230" i="10"/>
  <c r="H254" i="8"/>
  <c r="H31" i="4"/>
  <c r="I30" i="8"/>
  <c r="F151" i="11"/>
  <c r="L219" i="10"/>
  <c r="O219" i="10"/>
  <c r="K219" i="10"/>
  <c r="M219" i="10"/>
  <c r="W470" i="4" l="1"/>
  <c r="Y469" i="4"/>
  <c r="H472" i="7"/>
  <c r="H235" i="10" s="1"/>
  <c r="H255" i="8"/>
  <c r="H442" i="2"/>
  <c r="H443" i="2" s="1"/>
  <c r="H444" i="2" s="1"/>
  <c r="H445" i="2" s="1"/>
  <c r="H446" i="2" s="1"/>
  <c r="H447" i="2" s="1"/>
  <c r="H448" i="2" s="1"/>
  <c r="H449" i="2" s="1"/>
  <c r="H450" i="2" s="1"/>
  <c r="H451" i="2" s="1"/>
  <c r="H452" i="2" s="1"/>
  <c r="H453" i="2" s="1"/>
  <c r="H454" i="2" s="1"/>
  <c r="H455" i="2" s="1"/>
  <c r="H456" i="2" s="1"/>
  <c r="H457" i="2" s="1"/>
  <c r="H458" i="2" s="1"/>
  <c r="H459" i="2" s="1"/>
  <c r="H460" i="2" s="1"/>
  <c r="H461" i="2" s="1"/>
  <c r="H462" i="2" s="1"/>
  <c r="H463" i="2" s="1"/>
  <c r="H464" i="2" s="1"/>
  <c r="H465" i="2" s="1"/>
  <c r="H466" i="2" s="1"/>
  <c r="H467" i="2" s="1"/>
  <c r="H468" i="2" s="1"/>
  <c r="H469" i="2" s="1"/>
  <c r="H470" i="2" s="1"/>
  <c r="H471" i="2" s="1"/>
  <c r="F146" i="11"/>
  <c r="M214" i="10"/>
  <c r="K214" i="10"/>
  <c r="O214" i="10"/>
  <c r="L214" i="10"/>
  <c r="F147" i="11"/>
  <c r="L215" i="10"/>
  <c r="O215" i="10"/>
  <c r="K215" i="10"/>
  <c r="M215" i="10"/>
  <c r="H442" i="1"/>
  <c r="H443" i="1" s="1"/>
  <c r="H444" i="1" s="1"/>
  <c r="H445" i="1" s="1"/>
  <c r="H446" i="1" s="1"/>
  <c r="H447" i="1" s="1"/>
  <c r="H448" i="1" s="1"/>
  <c r="H449" i="1" s="1"/>
  <c r="H450" i="1" s="1"/>
  <c r="H451" i="1" s="1"/>
  <c r="H452" i="1" s="1"/>
  <c r="H453" i="1" s="1"/>
  <c r="H454" i="1" s="1"/>
  <c r="H455" i="1" s="1"/>
  <c r="H456" i="1" s="1"/>
  <c r="H457" i="1" s="1"/>
  <c r="H458" i="1" s="1"/>
  <c r="H459" i="1" s="1"/>
  <c r="H460" i="1" s="1"/>
  <c r="H461" i="1" s="1"/>
  <c r="H462" i="1" s="1"/>
  <c r="H463" i="1" s="1"/>
  <c r="H464" i="1" s="1"/>
  <c r="H465" i="1" s="1"/>
  <c r="H466" i="1" s="1"/>
  <c r="H467" i="1" s="1"/>
  <c r="H468" i="1" s="1"/>
  <c r="H469" i="1" s="1"/>
  <c r="H470" i="1" s="1"/>
  <c r="H471" i="1" s="1"/>
  <c r="F162" i="11"/>
  <c r="M231" i="10"/>
  <c r="L231" i="10"/>
  <c r="K231" i="10"/>
  <c r="O231" i="10"/>
  <c r="H261" i="10"/>
  <c r="H246" i="10"/>
  <c r="I31" i="8"/>
  <c r="H32" i="4"/>
  <c r="H472" i="9"/>
  <c r="H237" i="10" s="1"/>
  <c r="H472" i="5"/>
  <c r="H234" i="10" s="1"/>
  <c r="F149" i="11"/>
  <c r="L217" i="10"/>
  <c r="O217" i="10"/>
  <c r="K217" i="10"/>
  <c r="M217" i="10"/>
  <c r="H442" i="6"/>
  <c r="H443" i="6" s="1"/>
  <c r="H444" i="6" s="1"/>
  <c r="H445" i="6" s="1"/>
  <c r="H446" i="6" s="1"/>
  <c r="H447" i="6" s="1"/>
  <c r="H448" i="6" s="1"/>
  <c r="H449" i="6" s="1"/>
  <c r="H450" i="6" s="1"/>
  <c r="H451" i="6" s="1"/>
  <c r="H452" i="6" s="1"/>
  <c r="H453" i="6" s="1"/>
  <c r="H454" i="6" s="1"/>
  <c r="H455" i="6" s="1"/>
  <c r="H456" i="6" s="1"/>
  <c r="H457" i="6" s="1"/>
  <c r="H458" i="6" s="1"/>
  <c r="H459" i="6" s="1"/>
  <c r="H460" i="6" s="1"/>
  <c r="H461" i="6" s="1"/>
  <c r="H462" i="6" s="1"/>
  <c r="H463" i="6" s="1"/>
  <c r="H464" i="6" s="1"/>
  <c r="H465" i="6" s="1"/>
  <c r="H466" i="6" s="1"/>
  <c r="H467" i="6" s="1"/>
  <c r="H468" i="6" s="1"/>
  <c r="H469" i="6" s="1"/>
  <c r="H470" i="6" s="1"/>
  <c r="H471" i="6" s="1"/>
  <c r="W471" i="4" l="1"/>
  <c r="Y470" i="4"/>
  <c r="O235" i="10"/>
  <c r="L235" i="10"/>
  <c r="M235" i="10"/>
  <c r="K235" i="10"/>
  <c r="H265" i="10"/>
  <c r="H250" i="10"/>
  <c r="H33" i="4"/>
  <c r="I32" i="8"/>
  <c r="H472" i="2"/>
  <c r="H230" i="10" s="1"/>
  <c r="F161" i="11" s="1"/>
  <c r="F167" i="11"/>
  <c r="M237" i="10"/>
  <c r="L237" i="10"/>
  <c r="K237" i="10"/>
  <c r="O237" i="10"/>
  <c r="H252" i="10"/>
  <c r="H267" i="10"/>
  <c r="O261" i="10"/>
  <c r="K261" i="10"/>
  <c r="M261" i="10"/>
  <c r="L261" i="10"/>
  <c r="H276" i="10"/>
  <c r="H472" i="6"/>
  <c r="H232" i="10" s="1"/>
  <c r="F165" i="11"/>
  <c r="L234" i="10"/>
  <c r="O234" i="10"/>
  <c r="K234" i="10"/>
  <c r="M234" i="10"/>
  <c r="H264" i="10"/>
  <c r="H249" i="10"/>
  <c r="O246" i="10"/>
  <c r="K246" i="10"/>
  <c r="M246" i="10"/>
  <c r="L246" i="10"/>
  <c r="H472" i="1"/>
  <c r="H229" i="10" s="1"/>
  <c r="F160" i="11" s="1"/>
  <c r="H256" i="8"/>
  <c r="Y471" i="4" l="1"/>
  <c r="Y472" i="4" s="1"/>
  <c r="W472" i="4"/>
  <c r="H233" i="10" s="1"/>
  <c r="O250" i="10"/>
  <c r="L250" i="10"/>
  <c r="K250" i="10"/>
  <c r="M250" i="10"/>
  <c r="O265" i="10"/>
  <c r="H280" i="10"/>
  <c r="K265" i="10"/>
  <c r="M265" i="10"/>
  <c r="L265" i="10"/>
  <c r="H257" i="8"/>
  <c r="M264" i="10"/>
  <c r="L264" i="10"/>
  <c r="O264" i="10"/>
  <c r="K264" i="10"/>
  <c r="H279" i="10"/>
  <c r="O276" i="10"/>
  <c r="K276" i="10"/>
  <c r="M276" i="10"/>
  <c r="L276" i="10"/>
  <c r="L230" i="10"/>
  <c r="O230" i="10"/>
  <c r="K230" i="10"/>
  <c r="M230" i="10"/>
  <c r="H260" i="10"/>
  <c r="H245" i="10"/>
  <c r="O267" i="10"/>
  <c r="K267" i="10"/>
  <c r="M267" i="10"/>
  <c r="L267" i="10"/>
  <c r="H282" i="10"/>
  <c r="M249" i="10"/>
  <c r="L249" i="10"/>
  <c r="O249" i="10"/>
  <c r="K249" i="10"/>
  <c r="M229" i="10"/>
  <c r="L229" i="10"/>
  <c r="K229" i="10"/>
  <c r="O229" i="10"/>
  <c r="H244" i="10"/>
  <c r="H259" i="10"/>
  <c r="F163" i="11"/>
  <c r="L232" i="10"/>
  <c r="O232" i="10"/>
  <c r="K232" i="10"/>
  <c r="M232" i="10"/>
  <c r="H262" i="10"/>
  <c r="H247" i="10"/>
  <c r="O252" i="10"/>
  <c r="K252" i="10"/>
  <c r="M252" i="10"/>
  <c r="L252" i="10"/>
  <c r="I33" i="8"/>
  <c r="H34" i="4"/>
  <c r="M280" i="10" l="1"/>
  <c r="L280" i="10"/>
  <c r="O280" i="10"/>
  <c r="K280" i="10"/>
  <c r="O259" i="10"/>
  <c r="K259" i="10"/>
  <c r="M259" i="10"/>
  <c r="L259" i="10"/>
  <c r="H274" i="10"/>
  <c r="O282" i="10"/>
  <c r="K282" i="10"/>
  <c r="M282" i="10"/>
  <c r="L282" i="10"/>
  <c r="M279" i="10"/>
  <c r="L279" i="10"/>
  <c r="O279" i="10"/>
  <c r="K279" i="10"/>
  <c r="M247" i="10"/>
  <c r="L247" i="10"/>
  <c r="O247" i="10"/>
  <c r="K247" i="10"/>
  <c r="M244" i="10"/>
  <c r="L244" i="10"/>
  <c r="K244" i="10"/>
  <c r="O244" i="10"/>
  <c r="L245" i="10"/>
  <c r="O245" i="10"/>
  <c r="K245" i="10"/>
  <c r="M245" i="10"/>
  <c r="I34" i="8"/>
  <c r="H35" i="4"/>
  <c r="M262" i="10"/>
  <c r="L262" i="10"/>
  <c r="O262" i="10"/>
  <c r="K262" i="10"/>
  <c r="H277" i="10"/>
  <c r="M260" i="10"/>
  <c r="L260" i="10"/>
  <c r="O260" i="10"/>
  <c r="K260" i="10"/>
  <c r="H275" i="10"/>
  <c r="H258" i="8"/>
  <c r="M277" i="10" l="1"/>
  <c r="L277" i="10"/>
  <c r="O277" i="10"/>
  <c r="K277" i="10"/>
  <c r="I35" i="8"/>
  <c r="H36" i="4"/>
  <c r="O274" i="10"/>
  <c r="K274" i="10"/>
  <c r="M274" i="10"/>
  <c r="L274" i="10"/>
  <c r="M275" i="10"/>
  <c r="L275" i="10"/>
  <c r="O275" i="10"/>
  <c r="K275" i="10"/>
  <c r="H259" i="8"/>
  <c r="H260" i="8" l="1"/>
  <c r="H37" i="4"/>
  <c r="I36" i="8"/>
  <c r="I37" i="8" l="1"/>
  <c r="H44" i="4"/>
  <c r="H47" i="4" s="1"/>
  <c r="B23" i="10"/>
  <c r="H38" i="4"/>
  <c r="H261" i="8"/>
  <c r="I38" i="8" l="1"/>
  <c r="H8" i="10"/>
  <c r="I47" i="8"/>
  <c r="H48" i="4"/>
  <c r="B29" i="10"/>
  <c r="B28" i="10"/>
  <c r="H262" i="8"/>
  <c r="H49" i="4" l="1"/>
  <c r="I48" i="8"/>
  <c r="F8" i="11"/>
  <c r="F12" i="11" s="1"/>
  <c r="L8" i="10"/>
  <c r="O8" i="10"/>
  <c r="K8" i="10"/>
  <c r="H14" i="10"/>
  <c r="M8" i="10"/>
  <c r="H13" i="10"/>
  <c r="H263" i="8"/>
  <c r="H264" i="8" l="1"/>
  <c r="L14" i="10"/>
  <c r="O14" i="10"/>
  <c r="K14" i="10"/>
  <c r="M14" i="10"/>
  <c r="M13" i="10"/>
  <c r="G2" i="14" s="1"/>
  <c r="L13" i="10"/>
  <c r="E2" i="14" s="1"/>
  <c r="O13" i="10"/>
  <c r="H2" i="14" s="1"/>
  <c r="K13" i="10"/>
  <c r="I49" i="8"/>
  <c r="H50" i="4"/>
  <c r="H265" i="8" l="1"/>
  <c r="I50" i="8"/>
  <c r="H51" i="4"/>
  <c r="H266" i="8" l="1"/>
  <c r="I51" i="8"/>
  <c r="H52" i="4"/>
  <c r="I52" i="8" l="1"/>
  <c r="H53" i="4"/>
  <c r="H267" i="8"/>
  <c r="H268" i="8" l="1"/>
  <c r="I53" i="8"/>
  <c r="H54" i="4"/>
  <c r="H269" i="8" l="1"/>
  <c r="I54" i="8"/>
  <c r="H55" i="4"/>
  <c r="H270" i="8" l="1"/>
  <c r="I55" i="8"/>
  <c r="H56" i="4"/>
  <c r="H271" i="8" l="1"/>
  <c r="I56" i="8"/>
  <c r="H57" i="4"/>
  <c r="I57" i="8" l="1"/>
  <c r="H58" i="4"/>
  <c r="H272" i="8"/>
  <c r="H273" i="8" l="1"/>
  <c r="I58" i="8"/>
  <c r="H59" i="4"/>
  <c r="I59" i="8" l="1"/>
  <c r="H60" i="4"/>
  <c r="H280" i="8"/>
  <c r="H274" i="8"/>
  <c r="H146" i="10" s="1"/>
  <c r="I60" i="8" l="1"/>
  <c r="H61" i="4"/>
  <c r="F96" i="11"/>
  <c r="M146" i="10"/>
  <c r="O146" i="10"/>
  <c r="L146" i="10"/>
  <c r="K146" i="10"/>
  <c r="H283" i="8"/>
  <c r="B161" i="10"/>
  <c r="H284" i="8" l="1"/>
  <c r="I61" i="8"/>
  <c r="H62" i="4"/>
  <c r="H285" i="8" l="1"/>
  <c r="I62" i="8"/>
  <c r="H63" i="4"/>
  <c r="I63" i="8" l="1"/>
  <c r="H64" i="4"/>
  <c r="H286" i="8"/>
  <c r="I64" i="8" l="1"/>
  <c r="H65" i="4"/>
  <c r="H287" i="8"/>
  <c r="H288" i="8" l="1"/>
  <c r="I65" i="8"/>
  <c r="H66" i="4"/>
  <c r="I66" i="8" l="1"/>
  <c r="H67" i="4"/>
  <c r="H289" i="8"/>
  <c r="I67" i="8" l="1"/>
  <c r="H68" i="4"/>
  <c r="H290" i="8"/>
  <c r="I68" i="8" l="1"/>
  <c r="H69" i="4"/>
  <c r="H291" i="8"/>
  <c r="I69" i="8" l="1"/>
  <c r="H70" i="4"/>
  <c r="H292" i="8"/>
  <c r="I70" i="8" l="1"/>
  <c r="H71" i="4"/>
  <c r="H293" i="8"/>
  <c r="H294" i="8" l="1"/>
  <c r="I71" i="8"/>
  <c r="H72" i="4"/>
  <c r="I72" i="8" l="1"/>
  <c r="H73" i="4"/>
  <c r="H295" i="8"/>
  <c r="I73" i="8" l="1"/>
  <c r="H74" i="4"/>
  <c r="H296" i="8"/>
  <c r="H297" i="8" l="1"/>
  <c r="I74" i="8"/>
  <c r="H75" i="4"/>
  <c r="I75" i="8" l="1"/>
  <c r="H82" i="4"/>
  <c r="H76" i="4"/>
  <c r="H298" i="8"/>
  <c r="H299" i="8" l="1"/>
  <c r="I76" i="8"/>
  <c r="H23" i="10"/>
  <c r="H85" i="4"/>
  <c r="B38" i="10"/>
  <c r="M23" i="10" l="1"/>
  <c r="K23" i="10"/>
  <c r="O23" i="10"/>
  <c r="F22" i="11"/>
  <c r="F26" i="11" s="1"/>
  <c r="L23" i="10"/>
  <c r="H29" i="10"/>
  <c r="H28" i="10"/>
  <c r="B44" i="10"/>
  <c r="B43" i="10"/>
  <c r="I85" i="8"/>
  <c r="H86" i="4"/>
  <c r="H300" i="8"/>
  <c r="M29" i="10" l="1"/>
  <c r="K29" i="10"/>
  <c r="O29" i="10"/>
  <c r="K28" i="10"/>
  <c r="O28" i="10"/>
  <c r="M28" i="10"/>
  <c r="L28" i="10"/>
  <c r="H301" i="8"/>
  <c r="I86" i="8"/>
  <c r="H87" i="4"/>
  <c r="L29" i="10"/>
  <c r="H302" i="8" l="1"/>
  <c r="H88" i="4"/>
  <c r="I87" i="8"/>
  <c r="H303" i="8" l="1"/>
  <c r="I88" i="8"/>
  <c r="H89" i="4"/>
  <c r="H304" i="8" l="1"/>
  <c r="H90" i="4"/>
  <c r="I89" i="8"/>
  <c r="I90" i="8" l="1"/>
  <c r="H91" i="4"/>
  <c r="H305" i="8"/>
  <c r="H306" i="8" l="1"/>
  <c r="I91" i="8"/>
  <c r="H92" i="4"/>
  <c r="I92" i="8" l="1"/>
  <c r="H93" i="4"/>
  <c r="H307" i="8"/>
  <c r="H308" i="8" l="1"/>
  <c r="I93" i="8"/>
  <c r="H94" i="4"/>
  <c r="I94" i="8" l="1"/>
  <c r="H95" i="4"/>
  <c r="H309" i="8"/>
  <c r="H310" i="8" l="1"/>
  <c r="H96" i="4"/>
  <c r="I95" i="8"/>
  <c r="I96" i="8" l="1"/>
  <c r="H97" i="4"/>
  <c r="H311" i="8"/>
  <c r="H98" i="4" l="1"/>
  <c r="I97" i="8"/>
  <c r="H312" i="8"/>
  <c r="H313" i="8" l="1"/>
  <c r="I98" i="8"/>
  <c r="H99" i="4"/>
  <c r="H320" i="8" l="1"/>
  <c r="H314" i="8"/>
  <c r="H161" i="10" s="1"/>
  <c r="I99" i="8"/>
  <c r="H100" i="4"/>
  <c r="F110" i="11" l="1"/>
  <c r="M161" i="10"/>
  <c r="K161" i="10"/>
  <c r="L161" i="10"/>
  <c r="O161" i="10"/>
  <c r="I100" i="8"/>
  <c r="H101" i="4"/>
  <c r="H323" i="8"/>
  <c r="B176" i="10"/>
  <c r="I101" i="8" l="1"/>
  <c r="H102" i="4"/>
  <c r="H324" i="8"/>
  <c r="H325" i="8" l="1"/>
  <c r="I102" i="8"/>
  <c r="H103" i="4"/>
  <c r="H104" i="4" l="1"/>
  <c r="I103" i="8"/>
  <c r="H326" i="8"/>
  <c r="H327" i="8" l="1"/>
  <c r="I104" i="8"/>
  <c r="H105" i="4"/>
  <c r="H106" i="4" l="1"/>
  <c r="I105" i="8"/>
  <c r="H328" i="8"/>
  <c r="H329" i="8" l="1"/>
  <c r="I106" i="8"/>
  <c r="H107" i="4"/>
  <c r="I107" i="8" l="1"/>
  <c r="H108" i="4"/>
  <c r="H330" i="8"/>
  <c r="H331" i="8" l="1"/>
  <c r="I108" i="8"/>
  <c r="H109" i="4"/>
  <c r="I109" i="8" l="1"/>
  <c r="H110" i="4"/>
  <c r="H332" i="8"/>
  <c r="I110" i="8" l="1"/>
  <c r="H111" i="4"/>
  <c r="H333" i="8"/>
  <c r="H112" i="4" l="1"/>
  <c r="I111" i="8"/>
  <c r="H334" i="8"/>
  <c r="H335" i="8" l="1"/>
  <c r="I112" i="8"/>
  <c r="H113" i="4"/>
  <c r="H114" i="4" l="1"/>
  <c r="I113" i="8"/>
  <c r="H336" i="8"/>
  <c r="H337" i="8" l="1"/>
  <c r="I114" i="8"/>
  <c r="H115" i="4"/>
  <c r="H338" i="8" l="1"/>
  <c r="I115" i="8"/>
  <c r="H122" i="4"/>
  <c r="H116" i="4"/>
  <c r="H125" i="4" l="1"/>
  <c r="B68" i="10"/>
  <c r="I116" i="8"/>
  <c r="H38" i="10"/>
  <c r="H339" i="8"/>
  <c r="I125" i="8" l="1"/>
  <c r="H126" i="4"/>
  <c r="O38" i="10"/>
  <c r="K38" i="10"/>
  <c r="H44" i="10"/>
  <c r="M38" i="10"/>
  <c r="L38" i="10"/>
  <c r="H43" i="10"/>
  <c r="H53" i="10"/>
  <c r="H340" i="8"/>
  <c r="B74" i="10"/>
  <c r="B113" i="10"/>
  <c r="B73" i="10"/>
  <c r="M53" i="10" l="1"/>
  <c r="O53" i="10"/>
  <c r="K53" i="10"/>
  <c r="B119" i="10"/>
  <c r="B118" i="10"/>
  <c r="H59" i="10"/>
  <c r="L53" i="10"/>
  <c r="H58" i="10"/>
  <c r="M44" i="10"/>
  <c r="L44" i="10"/>
  <c r="O44" i="10"/>
  <c r="K44" i="10"/>
  <c r="L43" i="10"/>
  <c r="O43" i="10"/>
  <c r="K43" i="10"/>
  <c r="M43" i="10"/>
  <c r="I126" i="8"/>
  <c r="H127" i="4"/>
  <c r="H341" i="8"/>
  <c r="K59" i="10" l="1"/>
  <c r="M59" i="10"/>
  <c r="O59" i="10"/>
  <c r="K58" i="10"/>
  <c r="M58" i="10"/>
  <c r="O58" i="10"/>
  <c r="L58" i="10"/>
  <c r="H342" i="8"/>
  <c r="I127" i="8"/>
  <c r="H128" i="4"/>
  <c r="L59" i="10"/>
  <c r="I128" i="8" l="1"/>
  <c r="H129" i="4"/>
  <c r="H343" i="8"/>
  <c r="H344" i="8" l="1"/>
  <c r="I129" i="8"/>
  <c r="H130" i="4"/>
  <c r="I130" i="8" l="1"/>
  <c r="H131" i="4"/>
  <c r="H345" i="8"/>
  <c r="I131" i="8" l="1"/>
  <c r="H132" i="4"/>
  <c r="H346" i="8"/>
  <c r="I132" i="8" l="1"/>
  <c r="H133" i="4"/>
  <c r="H347" i="8"/>
  <c r="H348" i="8" l="1"/>
  <c r="I133" i="8"/>
  <c r="H134" i="4"/>
  <c r="I134" i="8" l="1"/>
  <c r="H135" i="4"/>
  <c r="H349" i="8"/>
  <c r="H350" i="8" l="1"/>
  <c r="I135" i="8"/>
  <c r="H136" i="4"/>
  <c r="I136" i="8" l="1"/>
  <c r="H137" i="4"/>
  <c r="H351" i="8"/>
  <c r="I137" i="8" l="1"/>
  <c r="H138" i="4"/>
  <c r="H352" i="8"/>
  <c r="I138" i="8" l="1"/>
  <c r="H139" i="4"/>
  <c r="H359" i="8"/>
  <c r="H362" i="8" s="1"/>
  <c r="H353" i="8"/>
  <c r="H176" i="10" s="1"/>
  <c r="H363" i="8" l="1"/>
  <c r="F124" i="11"/>
  <c r="M176" i="10"/>
  <c r="K176" i="10"/>
  <c r="L176" i="10"/>
  <c r="O176" i="10"/>
  <c r="H191" i="10"/>
  <c r="I139" i="8"/>
  <c r="H140" i="4"/>
  <c r="H364" i="8" l="1"/>
  <c r="I140" i="8"/>
  <c r="H141" i="4"/>
  <c r="M191" i="10"/>
  <c r="O191" i="10"/>
  <c r="L191" i="10"/>
  <c r="K191" i="10"/>
  <c r="I141" i="8" l="1"/>
  <c r="H142" i="4"/>
  <c r="H365" i="8"/>
  <c r="H366" i="8" l="1"/>
  <c r="I142" i="8"/>
  <c r="H143" i="4"/>
  <c r="I143" i="8" l="1"/>
  <c r="H144" i="4"/>
  <c r="H367" i="8"/>
  <c r="H145" i="4" l="1"/>
  <c r="I144" i="8"/>
  <c r="H368" i="8"/>
  <c r="H369" i="8" l="1"/>
  <c r="I145" i="8"/>
  <c r="H146" i="4"/>
  <c r="I146" i="8" l="1"/>
  <c r="H147" i="4"/>
  <c r="H370" i="8"/>
  <c r="I147" i="8" l="1"/>
  <c r="H148" i="4"/>
  <c r="H371" i="8"/>
  <c r="I148" i="8" l="1"/>
  <c r="H149" i="4"/>
  <c r="H372" i="8"/>
  <c r="H373" i="8" l="1"/>
  <c r="I149" i="8"/>
  <c r="H150" i="4"/>
  <c r="H374" i="8" l="1"/>
  <c r="I150" i="8"/>
  <c r="H151" i="4"/>
  <c r="H375" i="8" l="1"/>
  <c r="I151" i="8"/>
  <c r="H152" i="4"/>
  <c r="I152" i="8" l="1"/>
  <c r="H153" i="4"/>
  <c r="H376" i="8"/>
  <c r="H377" i="8" l="1"/>
  <c r="I153" i="8"/>
  <c r="H154" i="4"/>
  <c r="I154" i="8" l="1"/>
  <c r="H161" i="4"/>
  <c r="H155" i="4"/>
  <c r="H378" i="8"/>
  <c r="H164" i="4" l="1"/>
  <c r="B83" i="10"/>
  <c r="H379" i="8"/>
  <c r="I155" i="8"/>
  <c r="H68" i="10"/>
  <c r="H380" i="8" l="1"/>
  <c r="F52" i="11"/>
  <c r="F56" i="11" s="1"/>
  <c r="M68" i="10"/>
  <c r="L68" i="10"/>
  <c r="O68" i="10"/>
  <c r="K68" i="10"/>
  <c r="H74" i="10"/>
  <c r="H73" i="10"/>
  <c r="B89" i="10"/>
  <c r="B88" i="10"/>
  <c r="I164" i="8"/>
  <c r="H165" i="4"/>
  <c r="I165" i="8" l="1"/>
  <c r="H166" i="4"/>
  <c r="L73" i="10"/>
  <c r="O73" i="10"/>
  <c r="K73" i="10"/>
  <c r="M73" i="10"/>
  <c r="O74" i="10"/>
  <c r="K74" i="10"/>
  <c r="L74" i="10"/>
  <c r="M74" i="10"/>
  <c r="H381" i="8"/>
  <c r="H382" i="8" l="1"/>
  <c r="I166" i="8"/>
  <c r="H167" i="4"/>
  <c r="I167" i="8" l="1"/>
  <c r="H168" i="4"/>
  <c r="H383" i="8"/>
  <c r="H384" i="8" l="1"/>
  <c r="I168" i="8"/>
  <c r="H169" i="4"/>
  <c r="I169" i="8" l="1"/>
  <c r="H170" i="4"/>
  <c r="H385" i="8"/>
  <c r="H386" i="8" l="1"/>
  <c r="I170" i="8"/>
  <c r="H171" i="4"/>
  <c r="H172" i="4" l="1"/>
  <c r="I171" i="8"/>
  <c r="H387" i="8"/>
  <c r="H388" i="8" l="1"/>
  <c r="I172" i="8"/>
  <c r="H173" i="4"/>
  <c r="H389" i="8" l="1"/>
  <c r="I173" i="8"/>
  <c r="H174" i="4"/>
  <c r="I174" i="8" l="1"/>
  <c r="H175" i="4"/>
  <c r="H390" i="8"/>
  <c r="H391" i="8" l="1"/>
  <c r="I175" i="8"/>
  <c r="H176" i="4"/>
  <c r="I176" i="8" l="1"/>
  <c r="H177" i="4"/>
  <c r="H392" i="8"/>
  <c r="H399" i="8" l="1"/>
  <c r="H393" i="8"/>
  <c r="I177" i="8"/>
  <c r="H178" i="4"/>
  <c r="I178" i="8" l="1"/>
  <c r="H179" i="4"/>
  <c r="F138" i="11"/>
  <c r="L206" i="10"/>
  <c r="O206" i="10"/>
  <c r="K206" i="10"/>
  <c r="M206" i="10"/>
  <c r="B221" i="10"/>
  <c r="H180" i="4" l="1"/>
  <c r="I179" i="8"/>
  <c r="I180" i="8" l="1"/>
  <c r="H181" i="4"/>
  <c r="I181" i="8" l="1"/>
  <c r="H182" i="4"/>
  <c r="H183" i="4" l="1"/>
  <c r="I182" i="8"/>
  <c r="I183" i="8" l="1"/>
  <c r="H184" i="4"/>
  <c r="I184" i="8" l="1"/>
  <c r="H185" i="4"/>
  <c r="I185" i="8" l="1"/>
  <c r="H186" i="4"/>
  <c r="I186" i="8" l="1"/>
  <c r="H187" i="4"/>
  <c r="I187" i="8" l="1"/>
  <c r="H188" i="4"/>
  <c r="I188" i="8" l="1"/>
  <c r="H189" i="4"/>
  <c r="I189" i="8" l="1"/>
  <c r="H190" i="4"/>
  <c r="H191" i="4" l="1"/>
  <c r="I190" i="8"/>
  <c r="I191" i="8" l="1"/>
  <c r="H192" i="4"/>
  <c r="I192" i="8" l="1"/>
  <c r="H193" i="4"/>
  <c r="I193" i="8" l="1"/>
  <c r="H194" i="4"/>
  <c r="I194" i="8" l="1"/>
  <c r="H201" i="4"/>
  <c r="H195" i="4"/>
  <c r="H204" i="4" l="1"/>
  <c r="B98" i="10"/>
  <c r="I195" i="8"/>
  <c r="H83" i="10"/>
  <c r="I204" i="8" l="1"/>
  <c r="H205" i="4"/>
  <c r="F66" i="11"/>
  <c r="F70" i="11" s="1"/>
  <c r="L83" i="10"/>
  <c r="O83" i="10"/>
  <c r="K83" i="10"/>
  <c r="H89" i="10"/>
  <c r="M83" i="10"/>
  <c r="H88" i="10"/>
  <c r="B104" i="10"/>
  <c r="B103" i="10"/>
  <c r="L89" i="10" l="1"/>
  <c r="O89" i="10"/>
  <c r="K89" i="10"/>
  <c r="M89" i="10"/>
  <c r="I205" i="8"/>
  <c r="H206" i="4"/>
  <c r="M88" i="10"/>
  <c r="L88" i="10"/>
  <c r="O88" i="10"/>
  <c r="K88" i="10"/>
  <c r="I206" i="8" l="1"/>
  <c r="H207" i="4"/>
  <c r="H208" i="4" l="1"/>
  <c r="I207" i="8"/>
  <c r="I208" i="8" l="1"/>
  <c r="H209" i="4"/>
  <c r="I209" i="8" l="1"/>
  <c r="H210" i="4"/>
  <c r="I210" i="8" l="1"/>
  <c r="H211" i="4"/>
  <c r="I211" i="8" l="1"/>
  <c r="H212" i="4"/>
  <c r="I212" i="8" l="1"/>
  <c r="H213" i="4"/>
  <c r="I213" i="8" l="1"/>
  <c r="H214" i="4"/>
  <c r="I214" i="8" l="1"/>
  <c r="H215" i="4"/>
  <c r="H216" i="4" l="1"/>
  <c r="I215" i="8"/>
  <c r="I216" i="8" l="1"/>
  <c r="H217" i="4"/>
  <c r="H438" i="8"/>
  <c r="I217" i="8" l="1"/>
  <c r="H218" i="4"/>
  <c r="H441" i="8"/>
  <c r="B236" i="10"/>
  <c r="F152" i="11"/>
  <c r="O221" i="10"/>
  <c r="K221" i="10"/>
  <c r="H442" i="8" l="1"/>
  <c r="I218" i="8"/>
  <c r="H219" i="4"/>
  <c r="I219" i="8" l="1"/>
  <c r="H220" i="4"/>
  <c r="H443" i="8"/>
  <c r="H444" i="8" l="1"/>
  <c r="I220" i="8"/>
  <c r="H221" i="4"/>
  <c r="H445" i="8" l="1"/>
  <c r="I221" i="8"/>
  <c r="H222" i="4"/>
  <c r="I222" i="8" l="1"/>
  <c r="H223" i="4"/>
  <c r="H446" i="8"/>
  <c r="H447" i="8" l="1"/>
  <c r="I223" i="8"/>
  <c r="H224" i="4"/>
  <c r="I224" i="8" l="1"/>
  <c r="H225" i="4"/>
  <c r="H448" i="8"/>
  <c r="I225" i="8" l="1"/>
  <c r="H226" i="4"/>
  <c r="H449" i="8"/>
  <c r="H450" i="8" l="1"/>
  <c r="I226" i="8"/>
  <c r="H227" i="4"/>
  <c r="I227" i="8" l="1"/>
  <c r="H228" i="4"/>
  <c r="H451" i="8"/>
  <c r="H452" i="8" l="1"/>
  <c r="I228" i="8"/>
  <c r="H229" i="4"/>
  <c r="I229" i="8" l="1"/>
  <c r="H230" i="4"/>
  <c r="H453" i="8"/>
  <c r="I230" i="8" l="1"/>
  <c r="H231" i="4"/>
  <c r="H454" i="8"/>
  <c r="H455" i="8" l="1"/>
  <c r="I231" i="8"/>
  <c r="H232" i="4"/>
  <c r="I232" i="8" l="1"/>
  <c r="H233" i="4"/>
  <c r="B248" i="10"/>
  <c r="H456" i="8"/>
  <c r="B254" i="10" l="1"/>
  <c r="B253" i="10"/>
  <c r="I233" i="8"/>
  <c r="H240" i="4"/>
  <c r="H234" i="4"/>
  <c r="H457" i="8"/>
  <c r="H243" i="4" l="1"/>
  <c r="B263" i="10"/>
  <c r="B143" i="10"/>
  <c r="H458" i="8"/>
  <c r="I234" i="8"/>
  <c r="H98" i="10"/>
  <c r="H244" i="4" l="1"/>
  <c r="I243" i="8"/>
  <c r="B269" i="10"/>
  <c r="B268" i="10"/>
  <c r="H459" i="8"/>
  <c r="F80" i="11"/>
  <c r="F84" i="11" s="1"/>
  <c r="O98" i="10"/>
  <c r="K98" i="10"/>
  <c r="H104" i="10"/>
  <c r="M98" i="10"/>
  <c r="L98" i="10"/>
  <c r="H103" i="10"/>
  <c r="H113" i="10"/>
  <c r="B149" i="10"/>
  <c r="B188" i="10"/>
  <c r="B148" i="10"/>
  <c r="L103" i="10" l="1"/>
  <c r="O103" i="10"/>
  <c r="K103" i="10"/>
  <c r="M103" i="10"/>
  <c r="H460" i="8"/>
  <c r="B194" i="10"/>
  <c r="B193" i="10"/>
  <c r="H245" i="4"/>
  <c r="I244" i="8"/>
  <c r="H119" i="10"/>
  <c r="M113" i="10"/>
  <c r="L113" i="10"/>
  <c r="O113" i="10"/>
  <c r="K113" i="10"/>
  <c r="H118" i="10"/>
  <c r="H128" i="10"/>
  <c r="M104" i="10"/>
  <c r="L104" i="10"/>
  <c r="O104" i="10"/>
  <c r="K104" i="10"/>
  <c r="L119" i="10" l="1"/>
  <c r="O119" i="10"/>
  <c r="K119" i="10"/>
  <c r="M119" i="10"/>
  <c r="M128" i="10"/>
  <c r="L128" i="10"/>
  <c r="H134" i="10"/>
  <c r="O128" i="10"/>
  <c r="K128" i="10"/>
  <c r="H133" i="10"/>
  <c r="O118" i="10"/>
  <c r="K118" i="10"/>
  <c r="L118" i="10"/>
  <c r="M118" i="10"/>
  <c r="H246" i="4"/>
  <c r="I245" i="8"/>
  <c r="H461" i="8"/>
  <c r="H247" i="4" l="1"/>
  <c r="I246" i="8"/>
  <c r="O134" i="10"/>
  <c r="K134" i="10"/>
  <c r="L134" i="10"/>
  <c r="M134" i="10"/>
  <c r="H462" i="8"/>
  <c r="O133" i="10"/>
  <c r="L133" i="10"/>
  <c r="K133" i="10"/>
  <c r="M133" i="10"/>
  <c r="H463" i="8" l="1"/>
  <c r="H248" i="4"/>
  <c r="I247" i="8"/>
  <c r="H249" i="4" l="1"/>
  <c r="I248" i="8"/>
  <c r="H464" i="8"/>
  <c r="H250" i="4" l="1"/>
  <c r="I249" i="8"/>
  <c r="H465" i="8"/>
  <c r="H466" i="8" l="1"/>
  <c r="H251" i="4"/>
  <c r="I250" i="8"/>
  <c r="H252" i="4" l="1"/>
  <c r="I251" i="8"/>
  <c r="H467" i="8"/>
  <c r="H253" i="4" l="1"/>
  <c r="I252" i="8"/>
  <c r="H468" i="8"/>
  <c r="H469" i="8" l="1"/>
  <c r="H254" i="4"/>
  <c r="I253" i="8"/>
  <c r="H470" i="8" l="1"/>
  <c r="H255" i="4"/>
  <c r="I254" i="8"/>
  <c r="H256" i="4" l="1"/>
  <c r="I255" i="8"/>
  <c r="H471" i="8"/>
  <c r="H257" i="4" l="1"/>
  <c r="I256" i="8"/>
  <c r="H472" i="8"/>
  <c r="H258" i="4" l="1"/>
  <c r="I257" i="8"/>
  <c r="F166" i="11"/>
  <c r="L236" i="10"/>
  <c r="O236" i="10"/>
  <c r="K236" i="10"/>
  <c r="M236" i="10"/>
  <c r="H266" i="10"/>
  <c r="H251" i="10"/>
  <c r="H259" i="4" l="1"/>
  <c r="I258" i="8"/>
  <c r="O266" i="10"/>
  <c r="K266" i="10"/>
  <c r="H281" i="10"/>
  <c r="O251" i="10"/>
  <c r="K251" i="10"/>
  <c r="O281" i="10" l="1"/>
  <c r="K281" i="10"/>
  <c r="H260" i="4"/>
  <c r="I259" i="8"/>
  <c r="H261" i="4" l="1"/>
  <c r="I260" i="8"/>
  <c r="H262" i="4" l="1"/>
  <c r="I261" i="8"/>
  <c r="H263" i="4" l="1"/>
  <c r="I262" i="8"/>
  <c r="H264" i="4" l="1"/>
  <c r="I263" i="8"/>
  <c r="H265" i="4" l="1"/>
  <c r="I264" i="8"/>
  <c r="H266" i="4" l="1"/>
  <c r="I265" i="8"/>
  <c r="H267" i="4" l="1"/>
  <c r="I266" i="8"/>
  <c r="H268" i="4" l="1"/>
  <c r="I268" i="8" s="1"/>
  <c r="I267" i="8"/>
  <c r="H269" i="4" l="1"/>
  <c r="I269" i="8" s="1"/>
  <c r="H270" i="4" l="1"/>
  <c r="H271" i="4" l="1"/>
  <c r="I270" i="8"/>
  <c r="H272" i="4" l="1"/>
  <c r="I271" i="8"/>
  <c r="H273" i="4" l="1"/>
  <c r="I272" i="8"/>
  <c r="H280" i="4" l="1"/>
  <c r="I273" i="8"/>
  <c r="H274" i="4"/>
  <c r="H143" i="10" s="1"/>
  <c r="F94" i="11" l="1"/>
  <c r="F98" i="11" s="1"/>
  <c r="L143" i="10"/>
  <c r="O143" i="10"/>
  <c r="K143" i="10"/>
  <c r="M143" i="10"/>
  <c r="H149" i="10"/>
  <c r="H148" i="10"/>
  <c r="H283" i="4"/>
  <c r="B158" i="10"/>
  <c r="M148" i="10" l="1"/>
  <c r="L148" i="10"/>
  <c r="O148" i="10"/>
  <c r="K148" i="10"/>
  <c r="O149" i="10"/>
  <c r="L149" i="10"/>
  <c r="K149" i="10"/>
  <c r="M149" i="10"/>
  <c r="B164" i="10"/>
  <c r="B163" i="10"/>
  <c r="H284" i="4"/>
  <c r="I283" i="8"/>
  <c r="H285" i="4" l="1"/>
  <c r="I284" i="8"/>
  <c r="H286" i="4" l="1"/>
  <c r="I285" i="8"/>
  <c r="H287" i="4" l="1"/>
  <c r="I286" i="8"/>
  <c r="H288" i="4" l="1"/>
  <c r="H289" i="4" s="1"/>
  <c r="H290" i="4" s="1"/>
  <c r="I287" i="8"/>
  <c r="I288" i="8" l="1"/>
  <c r="I289" i="8" l="1"/>
  <c r="H291" i="4" l="1"/>
  <c r="I290" i="8"/>
  <c r="H292" i="4" l="1"/>
  <c r="I291" i="8"/>
  <c r="H293" i="4" l="1"/>
  <c r="I292" i="8"/>
  <c r="H294" i="4" l="1"/>
  <c r="I293" i="8"/>
  <c r="H295" i="4" l="1"/>
  <c r="I294" i="8"/>
  <c r="H296" i="4" l="1"/>
  <c r="I295" i="8"/>
  <c r="H297" i="4" l="1"/>
  <c r="I296" i="8"/>
  <c r="H298" i="4" l="1"/>
  <c r="I297" i="8"/>
  <c r="H299" i="4" l="1"/>
  <c r="I298" i="8"/>
  <c r="H300" i="4" l="1"/>
  <c r="I299" i="8"/>
  <c r="H301" i="4" l="1"/>
  <c r="I300" i="8"/>
  <c r="H302" i="4" l="1"/>
  <c r="I301" i="8"/>
  <c r="H303" i="4" l="1"/>
  <c r="I302" i="8"/>
  <c r="H304" i="4" l="1"/>
  <c r="I303" i="8"/>
  <c r="H305" i="4" l="1"/>
  <c r="I304" i="8"/>
  <c r="H306" i="4" l="1"/>
  <c r="I305" i="8"/>
  <c r="H307" i="4" l="1"/>
  <c r="I306" i="8"/>
  <c r="H308" i="4" l="1"/>
  <c r="H309" i="4" l="1"/>
  <c r="I308" i="8"/>
  <c r="I307" i="8" s="1"/>
  <c r="H310" i="4" l="1"/>
  <c r="I309" i="8"/>
  <c r="H311" i="4" l="1"/>
  <c r="I310" i="8"/>
  <c r="H312" i="4" l="1"/>
  <c r="I311" i="8"/>
  <c r="H313" i="4" l="1"/>
  <c r="I312" i="8"/>
  <c r="H320" i="4" l="1"/>
  <c r="I313" i="8"/>
  <c r="H314" i="4"/>
  <c r="H158" i="10" s="1"/>
  <c r="F108" i="11" l="1"/>
  <c r="F112" i="11" s="1"/>
  <c r="L158" i="10"/>
  <c r="O158" i="10"/>
  <c r="K158" i="10"/>
  <c r="H164" i="10"/>
  <c r="M158" i="10"/>
  <c r="H163" i="10"/>
  <c r="H323" i="4"/>
  <c r="B173" i="10"/>
  <c r="H324" i="4" l="1"/>
  <c r="I323" i="8"/>
  <c r="K164" i="10"/>
  <c r="L164" i="10"/>
  <c r="O164" i="10"/>
  <c r="M164" i="10"/>
  <c r="B179" i="10"/>
  <c r="B178" i="10"/>
  <c r="M163" i="10"/>
  <c r="L163" i="10"/>
  <c r="O163" i="10"/>
  <c r="K163" i="10"/>
  <c r="H325" i="4" l="1"/>
  <c r="I324" i="8"/>
  <c r="H326" i="4" l="1"/>
  <c r="I325" i="8"/>
  <c r="H327" i="4" l="1"/>
  <c r="I326" i="8"/>
  <c r="H328" i="4" l="1"/>
  <c r="I327" i="8"/>
  <c r="H329" i="4" l="1"/>
  <c r="I328" i="8"/>
  <c r="H330" i="4" l="1"/>
  <c r="I329" i="8"/>
  <c r="H331" i="4" l="1"/>
  <c r="I330" i="8"/>
  <c r="H332" i="4" l="1"/>
  <c r="I331" i="8"/>
  <c r="H333" i="4" l="1"/>
  <c r="I332" i="8"/>
  <c r="H334" i="4" l="1"/>
  <c r="I333" i="8"/>
  <c r="H335" i="4" l="1"/>
  <c r="I334" i="8"/>
  <c r="H336" i="4" l="1"/>
  <c r="I335" i="8"/>
  <c r="H337" i="4" l="1"/>
  <c r="I336" i="8"/>
  <c r="H338" i="4" l="1"/>
  <c r="I337" i="8"/>
  <c r="H339" i="4" l="1"/>
  <c r="I338" i="8"/>
  <c r="H340" i="4" l="1"/>
  <c r="I339" i="8"/>
  <c r="H341" i="4" l="1"/>
  <c r="I340" i="8"/>
  <c r="H342" i="4" l="1"/>
  <c r="I341" i="8"/>
  <c r="H343" i="4" l="1"/>
  <c r="I342" i="8"/>
  <c r="H344" i="4" l="1"/>
  <c r="I343" i="8"/>
  <c r="H345" i="4" l="1"/>
  <c r="I344" i="8"/>
  <c r="H346" i="4" l="1"/>
  <c r="I345" i="8"/>
  <c r="H347" i="4" l="1"/>
  <c r="I346" i="8"/>
  <c r="H348" i="4" l="1"/>
  <c r="I347" i="8"/>
  <c r="H349" i="4" l="1"/>
  <c r="I348" i="8"/>
  <c r="H350" i="4" l="1"/>
  <c r="I349" i="8"/>
  <c r="H351" i="4" l="1"/>
  <c r="I350" i="8"/>
  <c r="H352" i="4" l="1"/>
  <c r="I351" i="8"/>
  <c r="H359" i="4" l="1"/>
  <c r="I352" i="8"/>
  <c r="H353" i="4"/>
  <c r="H173" i="10" s="1"/>
  <c r="F122" i="11" l="1"/>
  <c r="F126" i="11" s="1"/>
  <c r="L173" i="10"/>
  <c r="O173" i="10"/>
  <c r="K173" i="10"/>
  <c r="M173" i="10"/>
  <c r="H179" i="10"/>
  <c r="H178" i="10"/>
  <c r="H188" i="10"/>
  <c r="I362" i="8"/>
  <c r="B209" i="10"/>
  <c r="B208" i="10"/>
  <c r="M178" i="10" l="1"/>
  <c r="L178" i="10"/>
  <c r="O178" i="10"/>
  <c r="K178" i="10"/>
  <c r="H364" i="4"/>
  <c r="I363" i="8"/>
  <c r="K179" i="10"/>
  <c r="L179" i="10"/>
  <c r="O179" i="10"/>
  <c r="M179" i="10"/>
  <c r="L188" i="10"/>
  <c r="O188" i="10"/>
  <c r="K188" i="10"/>
  <c r="H194" i="10"/>
  <c r="M188" i="10"/>
  <c r="H193" i="10"/>
  <c r="M193" i="10" l="1"/>
  <c r="L193" i="10"/>
  <c r="O193" i="10"/>
  <c r="K193" i="10"/>
  <c r="H365" i="4"/>
  <c r="I364" i="8"/>
  <c r="O194" i="10"/>
  <c r="L194" i="10"/>
  <c r="K194" i="10"/>
  <c r="M194" i="10"/>
  <c r="H366" i="4" l="1"/>
  <c r="I365" i="8"/>
  <c r="H367" i="4" l="1"/>
  <c r="I366" i="8"/>
  <c r="H368" i="4" l="1"/>
  <c r="I367" i="8"/>
  <c r="H369" i="4" l="1"/>
  <c r="I368" i="8"/>
  <c r="H370" i="4" l="1"/>
  <c r="I369" i="8"/>
  <c r="H371" i="4" l="1"/>
  <c r="I370" i="8"/>
  <c r="H372" i="4" l="1"/>
  <c r="I372" i="8" s="1"/>
  <c r="I371" i="8"/>
  <c r="H373" i="4" l="1"/>
  <c r="H374" i="4" l="1"/>
  <c r="I374" i="8" s="1"/>
  <c r="I373" i="8"/>
  <c r="H375" i="4" l="1"/>
  <c r="H376" i="4" l="1"/>
  <c r="I375" i="8"/>
  <c r="H377" i="4" l="1"/>
  <c r="I376" i="8"/>
  <c r="H378" i="4" l="1"/>
  <c r="I377" i="8"/>
  <c r="H379" i="4" l="1"/>
  <c r="I378" i="8"/>
  <c r="H380" i="4" l="1"/>
  <c r="I379" i="8"/>
  <c r="H381" i="4" l="1"/>
  <c r="I380" i="8"/>
  <c r="H382" i="4" l="1"/>
  <c r="I381" i="8"/>
  <c r="H383" i="4" l="1"/>
  <c r="H384" i="4" l="1"/>
  <c r="I383" i="8"/>
  <c r="H385" i="4" l="1"/>
  <c r="I384" i="8"/>
  <c r="H386" i="4" l="1"/>
  <c r="I385" i="8"/>
  <c r="H387" i="4" l="1"/>
  <c r="I386" i="8"/>
  <c r="H388" i="4" l="1"/>
  <c r="I387" i="8"/>
  <c r="H389" i="4" l="1"/>
  <c r="I388" i="8"/>
  <c r="H390" i="4" l="1"/>
  <c r="I389" i="8"/>
  <c r="H391" i="4" l="1"/>
  <c r="I390" i="8"/>
  <c r="H392" i="4" l="1"/>
  <c r="I391" i="8"/>
  <c r="H399" i="4" l="1"/>
  <c r="I392" i="8"/>
  <c r="H393" i="4"/>
  <c r="B218" i="10" l="1"/>
  <c r="F136" i="11"/>
  <c r="F140" i="11" s="1"/>
  <c r="L203" i="10"/>
  <c r="O203" i="10"/>
  <c r="K203" i="10"/>
  <c r="M203" i="10"/>
  <c r="H208" i="10"/>
  <c r="L209" i="10" l="1"/>
  <c r="O209" i="10"/>
  <c r="K209" i="10"/>
  <c r="M209" i="10"/>
  <c r="O208" i="10"/>
  <c r="K208" i="10"/>
  <c r="L208" i="10"/>
  <c r="M208" i="10"/>
  <c r="B224" i="10"/>
  <c r="B223" i="10"/>
  <c r="I402" i="8"/>
  <c r="I403" i="8" l="1"/>
  <c r="I404" i="8" l="1"/>
  <c r="I405" i="8" l="1"/>
  <c r="I406" i="8" l="1"/>
  <c r="I407" i="8" l="1"/>
  <c r="I408" i="8" l="1"/>
  <c r="I409" i="8" l="1"/>
  <c r="I410" i="8" l="1"/>
  <c r="I411" i="8" l="1"/>
  <c r="I412" i="8" l="1"/>
  <c r="I413" i="8" l="1"/>
  <c r="I414" i="8" l="1"/>
  <c r="I415" i="8" l="1"/>
  <c r="I416" i="8" l="1"/>
  <c r="I417" i="8" l="1"/>
  <c r="I418" i="8" l="1"/>
  <c r="I419" i="8" l="1"/>
  <c r="I420" i="8" l="1"/>
  <c r="I421" i="8" l="1"/>
  <c r="I422" i="8" l="1"/>
  <c r="I423" i="8" l="1"/>
  <c r="I424" i="8" l="1"/>
  <c r="I425" i="8" l="1"/>
  <c r="I426" i="8" l="1"/>
  <c r="I427" i="8" l="1"/>
  <c r="I428" i="8" l="1"/>
  <c r="I429" i="8" l="1"/>
  <c r="I430" i="8" l="1"/>
  <c r="H438" i="4" l="1"/>
  <c r="I431" i="8"/>
  <c r="H441" i="4" l="1"/>
  <c r="B233" i="10"/>
  <c r="I432" i="8"/>
  <c r="H442" i="4" l="1"/>
  <c r="I441" i="8"/>
  <c r="B239" i="10"/>
  <c r="B238" i="10"/>
  <c r="H443" i="4" l="1"/>
  <c r="I442" i="8"/>
  <c r="H444" i="4" l="1"/>
  <c r="I443" i="8"/>
  <c r="H445" i="4" l="1"/>
  <c r="I444" i="8"/>
  <c r="H446" i="4" l="1"/>
  <c r="I445" i="8"/>
  <c r="H447" i="4" l="1"/>
  <c r="I446" i="8"/>
  <c r="H448" i="4" l="1"/>
  <c r="I447" i="8"/>
  <c r="H449" i="4" l="1"/>
  <c r="I448" i="8"/>
  <c r="H450" i="4" l="1"/>
  <c r="I449" i="8"/>
  <c r="H451" i="4" l="1"/>
  <c r="I450" i="8"/>
  <c r="H452" i="4" l="1"/>
  <c r="I451" i="8"/>
  <c r="H453" i="4" l="1"/>
  <c r="I452" i="8"/>
  <c r="H454" i="4" l="1"/>
  <c r="I453" i="8"/>
  <c r="H455" i="4" l="1"/>
  <c r="I454" i="8"/>
  <c r="H456" i="4" l="1"/>
  <c r="I455" i="8"/>
  <c r="H457" i="4" l="1"/>
  <c r="I456" i="8"/>
  <c r="H458" i="4" l="1"/>
  <c r="I457" i="8"/>
  <c r="H459" i="4" l="1"/>
  <c r="I458" i="8"/>
  <c r="H460" i="4" l="1"/>
  <c r="I459" i="8"/>
  <c r="H461" i="4" l="1"/>
  <c r="I460" i="8"/>
  <c r="H462" i="4" l="1"/>
  <c r="I461" i="8"/>
  <c r="H463" i="4" l="1"/>
  <c r="I462" i="8"/>
  <c r="H464" i="4" l="1"/>
  <c r="I463" i="8"/>
  <c r="H465" i="4" l="1"/>
  <c r="I464" i="8"/>
  <c r="H466" i="4" l="1"/>
  <c r="I465" i="8"/>
  <c r="H467" i="4" l="1"/>
  <c r="I466" i="8"/>
  <c r="H468" i="4" l="1"/>
  <c r="I467" i="8"/>
  <c r="H469" i="4" l="1"/>
  <c r="I468" i="8"/>
  <c r="H470" i="4" l="1"/>
  <c r="I469" i="8"/>
  <c r="H471" i="4" l="1"/>
  <c r="I470" i="8"/>
  <c r="I471" i="8" l="1"/>
  <c r="H472" i="4"/>
  <c r="F164" i="11" l="1"/>
  <c r="F168" i="11" s="1"/>
  <c r="H239" i="10"/>
  <c r="M233" i="10"/>
  <c r="L233" i="10"/>
  <c r="K233" i="10"/>
  <c r="O233" i="10"/>
  <c r="H238" i="10"/>
  <c r="L239" i="10" l="1"/>
  <c r="O239" i="10"/>
  <c r="K239" i="10"/>
  <c r="M239" i="10"/>
  <c r="O238" i="10"/>
  <c r="K238" i="10"/>
  <c r="L238" i="10"/>
  <c r="M238" i="10"/>
  <c r="Y402" i="4" l="1"/>
  <c r="W403" i="4"/>
  <c r="Y403" i="4" s="1"/>
  <c r="W404" i="4" l="1"/>
  <c r="Y404" i="4" l="1"/>
  <c r="W405" i="4"/>
  <c r="W406" i="4" l="1"/>
  <c r="Y405" i="4"/>
  <c r="Y406" i="4" l="1"/>
  <c r="W407" i="4"/>
  <c r="Y407" i="4" l="1"/>
  <c r="W408" i="4"/>
  <c r="Y408" i="4" l="1"/>
  <c r="W409" i="4"/>
  <c r="Y409" i="4" l="1"/>
  <c r="W410" i="4"/>
  <c r="Y410" i="4" l="1"/>
  <c r="W411" i="4"/>
  <c r="Y411" i="4" l="1"/>
  <c r="W412" i="4"/>
  <c r="Y412" i="4" l="1"/>
  <c r="W413" i="4"/>
  <c r="Y413" i="4" l="1"/>
  <c r="W414" i="4"/>
  <c r="Y414" i="4" l="1"/>
  <c r="W415" i="4"/>
  <c r="Y415" i="4" l="1"/>
  <c r="W416" i="4"/>
  <c r="Y416" i="4" l="1"/>
  <c r="W417" i="4"/>
  <c r="Y417" i="4" l="1"/>
  <c r="W418" i="4"/>
  <c r="Y418" i="4" l="1"/>
  <c r="W419" i="4"/>
  <c r="Y419" i="4" l="1"/>
  <c r="W420" i="4"/>
  <c r="Y420" i="4" l="1"/>
  <c r="W421" i="4"/>
  <c r="Y421" i="4" l="1"/>
  <c r="W422" i="4"/>
  <c r="Y422" i="4" l="1"/>
  <c r="W423" i="4"/>
  <c r="Y423" i="4" l="1"/>
  <c r="W424" i="4"/>
  <c r="Y424" i="4" l="1"/>
  <c r="W425" i="4"/>
  <c r="Y425" i="4" l="1"/>
  <c r="W426" i="4"/>
  <c r="Y426" i="4" l="1"/>
  <c r="W427" i="4"/>
  <c r="Y427" i="4" l="1"/>
  <c r="W428" i="4"/>
  <c r="Y428" i="4" l="1"/>
  <c r="W429" i="4"/>
  <c r="Y429" i="4" l="1"/>
  <c r="W430" i="4"/>
  <c r="W431" i="4" l="1"/>
  <c r="W432" i="4" s="1"/>
  <c r="H218" i="10" s="1"/>
  <c r="Y430" i="4"/>
  <c r="F150" i="11" l="1"/>
  <c r="F154" i="11" s="1"/>
  <c r="H223" i="10"/>
  <c r="H224" i="10"/>
  <c r="K218" i="10"/>
  <c r="O218" i="10"/>
  <c r="H248" i="10"/>
  <c r="H253" i="10" s="1"/>
  <c r="H263" i="10"/>
  <c r="H268" i="10" s="1"/>
  <c r="Y431" i="4"/>
  <c r="Y432" i="4" s="1"/>
  <c r="D218" i="10"/>
  <c r="D263" i="10" s="1"/>
  <c r="O253" i="10" l="1"/>
  <c r="K253" i="10"/>
  <c r="O268" i="10"/>
  <c r="K268" i="10"/>
  <c r="O224" i="10"/>
  <c r="K224" i="10"/>
  <c r="O263" i="10"/>
  <c r="H278" i="10"/>
  <c r="H283" i="10" s="1"/>
  <c r="K263" i="10"/>
  <c r="H269" i="10"/>
  <c r="O248" i="10"/>
  <c r="K248" i="10"/>
  <c r="H254" i="10"/>
  <c r="O223" i="10"/>
  <c r="K223" i="10"/>
  <c r="D268" i="10"/>
  <c r="D278" i="10"/>
  <c r="D269" i="10"/>
  <c r="D223" i="10"/>
  <c r="D224" i="10"/>
  <c r="D248" i="10"/>
  <c r="C150" i="11"/>
  <c r="C154" i="11" s="1"/>
  <c r="O283" i="10" l="1"/>
  <c r="K283" i="10"/>
  <c r="O278" i="10"/>
  <c r="K278" i="10"/>
  <c r="H284" i="10"/>
  <c r="O269" i="10"/>
  <c r="K269" i="10"/>
  <c r="O254" i="10"/>
  <c r="K254" i="10"/>
  <c r="D253" i="10"/>
  <c r="D254" i="10"/>
  <c r="D284" i="10"/>
  <c r="D283" i="10"/>
  <c r="E221" i="10"/>
  <c r="P221" i="10" s="1"/>
  <c r="M221" i="10" l="1"/>
  <c r="E266" i="10"/>
  <c r="N266" i="10" s="1"/>
  <c r="N221" i="10"/>
  <c r="O284" i="10"/>
  <c r="K284" i="10"/>
  <c r="D152" i="11"/>
  <c r="E251" i="10"/>
  <c r="L221" i="10"/>
  <c r="P266" i="10" l="1"/>
  <c r="M266" i="10"/>
  <c r="E281" i="10"/>
  <c r="L266" i="10"/>
  <c r="N251" i="10"/>
  <c r="P251" i="10"/>
  <c r="M251" i="10"/>
  <c r="L251" i="10"/>
  <c r="F218" i="10"/>
  <c r="F248" i="10" s="1"/>
  <c r="M281" i="10" l="1"/>
  <c r="L281" i="10"/>
  <c r="N281" i="10"/>
  <c r="F253" i="10"/>
  <c r="F254" i="10"/>
  <c r="P254" i="10" s="1"/>
  <c r="F223" i="10"/>
  <c r="F263" i="10"/>
  <c r="F224" i="10"/>
  <c r="P224" i="10" s="1"/>
  <c r="E150" i="11"/>
  <c r="E154" i="11" s="1"/>
  <c r="F269" i="10" l="1"/>
  <c r="P269" i="10" s="1"/>
  <c r="F268" i="10"/>
  <c r="F278" i="10"/>
  <c r="P278" i="10" l="1"/>
  <c r="F283" i="10"/>
  <c r="P283" i="10" s="1"/>
  <c r="F284" i="10"/>
  <c r="P284" i="10" s="1"/>
  <c r="E218" i="10"/>
  <c r="D150" i="11" s="1"/>
  <c r="D154" i="11" s="1"/>
  <c r="E248" i="10" l="1"/>
  <c r="E253" i="10" s="1"/>
  <c r="L253" i="10" s="1"/>
  <c r="P218" i="10"/>
  <c r="N218" i="10"/>
  <c r="M218" i="10"/>
  <c r="E263" i="10"/>
  <c r="E224" i="10"/>
  <c r="E223" i="10"/>
  <c r="P248" i="10"/>
  <c r="L218" i="10"/>
  <c r="N248" i="10" l="1"/>
  <c r="L248" i="10"/>
  <c r="M248" i="10"/>
  <c r="E254" i="10"/>
  <c r="L254" i="10" s="1"/>
  <c r="P253" i="10"/>
  <c r="N253" i="10"/>
  <c r="M253" i="10"/>
  <c r="P263" i="10"/>
  <c r="E278" i="10"/>
  <c r="E268" i="10"/>
  <c r="N263" i="10"/>
  <c r="E269" i="10"/>
  <c r="L263" i="10"/>
  <c r="M263" i="10"/>
  <c r="M224" i="10"/>
  <c r="L224" i="10"/>
  <c r="N224" i="10"/>
  <c r="L223" i="10"/>
  <c r="N223" i="10"/>
  <c r="M223" i="10"/>
  <c r="P223" i="10"/>
  <c r="M254" i="10" l="1"/>
  <c r="N254" i="10"/>
  <c r="P268" i="10"/>
  <c r="M268" i="10"/>
  <c r="L268" i="10"/>
  <c r="N268" i="10"/>
  <c r="E284" i="10"/>
  <c r="N278" i="10"/>
  <c r="L278" i="10"/>
  <c r="E283" i="10"/>
  <c r="M278" i="10"/>
  <c r="L269" i="10"/>
  <c r="M269" i="10"/>
  <c r="N269" i="10"/>
  <c r="N283" i="10" l="1"/>
  <c r="L283" i="10"/>
  <c r="M283" i="10"/>
  <c r="N284" i="10"/>
  <c r="L284" i="10"/>
  <c r="M284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644F5B-C033-4444-9166-79F83F1FE5C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7F37C0A-364A-47F8-AB0B-D7A17F505BA7}" name="WorksheetConnection_Ages Auto!$A:$D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AgesAutoAD1"/>
        </x15:connection>
      </ext>
    </extLst>
  </connection>
</connections>
</file>

<file path=xl/sharedStrings.xml><?xml version="1.0" encoding="utf-8"?>
<sst xmlns="http://schemas.openxmlformats.org/spreadsheetml/2006/main" count="29952" uniqueCount="1540">
  <si>
    <t>DAILY BED UTILIZATION FORM</t>
  </si>
  <si>
    <t>GHANA HEALTH SERVICE</t>
  </si>
  <si>
    <t>Hospital:…………………………….</t>
  </si>
  <si>
    <t>HOHOE MUNI HOSP</t>
  </si>
  <si>
    <t>Ward:…………………..</t>
  </si>
  <si>
    <t>MALE WARD</t>
  </si>
  <si>
    <t>Number of patients remaining as at last day of previous month</t>
  </si>
  <si>
    <t>Bed complement</t>
  </si>
  <si>
    <t>Day of  the Month</t>
  </si>
  <si>
    <t>Admissions</t>
  </si>
  <si>
    <t>Discharges</t>
  </si>
  <si>
    <t>Deaths</t>
  </si>
  <si>
    <r>
      <t>Deaths &lt;</t>
    </r>
    <r>
      <rPr>
        <b/>
        <sz val="11.65"/>
        <rFont val="Arial"/>
        <family val="2"/>
      </rPr>
      <t>24Hrs</t>
    </r>
  </si>
  <si>
    <t>Transfers-In</t>
  </si>
  <si>
    <t>Transfers-Out</t>
  </si>
  <si>
    <t>No. of Patients Remaning In Ward</t>
  </si>
  <si>
    <t>MONTH</t>
  </si>
  <si>
    <t>JANUARY</t>
  </si>
  <si>
    <t>Ward</t>
  </si>
  <si>
    <t>Hospital</t>
  </si>
  <si>
    <t>WARD</t>
  </si>
  <si>
    <t>Bed Compliment</t>
  </si>
  <si>
    <t>Patients on bed at the beginning of the month</t>
  </si>
  <si>
    <t>Transfer In</t>
  </si>
  <si>
    <t>Transfer Out</t>
  </si>
  <si>
    <t>Patient Days</t>
  </si>
  <si>
    <t>Male Medical</t>
  </si>
  <si>
    <t>Paediatry</t>
  </si>
  <si>
    <t>Female Medical</t>
  </si>
  <si>
    <t>Block F</t>
  </si>
  <si>
    <t>Male Emergency</t>
  </si>
  <si>
    <t>Block G</t>
  </si>
  <si>
    <t>Block H</t>
  </si>
  <si>
    <t>Female Emergency</t>
  </si>
  <si>
    <t>Neonatal Ward</t>
  </si>
  <si>
    <t>TOTAL</t>
  </si>
  <si>
    <t>CHILDREN</t>
  </si>
  <si>
    <t>FEMALE</t>
  </si>
  <si>
    <t>BLK F</t>
  </si>
  <si>
    <t>NEONATAL</t>
  </si>
  <si>
    <t xml:space="preserve">  </t>
  </si>
  <si>
    <t>FEBRUARY</t>
  </si>
  <si>
    <t>MARCH</t>
  </si>
  <si>
    <t xml:space="preserve">  Average Daily Bed Occupancy</t>
  </si>
  <si>
    <t>Average Length of Stay</t>
  </si>
  <si>
    <t>Bed Turnover Interval</t>
  </si>
  <si>
    <t>Bed Turnover Rate</t>
  </si>
  <si>
    <t>Percentage of Occupancy</t>
  </si>
  <si>
    <t>Death Rate</t>
  </si>
  <si>
    <t xml:space="preserve"> </t>
  </si>
  <si>
    <t>APRIL</t>
  </si>
  <si>
    <t>MBU</t>
  </si>
  <si>
    <t>Ward:</t>
  </si>
  <si>
    <t>MALE EMERGENCY</t>
  </si>
  <si>
    <t>FEMALE EMERGENCY</t>
  </si>
  <si>
    <t>BLK H</t>
  </si>
  <si>
    <t>BLK G</t>
  </si>
  <si>
    <t>FEMALE WARD</t>
  </si>
  <si>
    <t>MAY</t>
  </si>
  <si>
    <t>FEMALE EMERG.</t>
  </si>
  <si>
    <t>JUNE</t>
  </si>
  <si>
    <t>JULY</t>
  </si>
  <si>
    <t>AUGUST</t>
  </si>
  <si>
    <t>SEPTEMBER</t>
  </si>
  <si>
    <t>OCTOBER</t>
  </si>
  <si>
    <t>CHILDREN'S</t>
  </si>
  <si>
    <t>NOVEMBER</t>
  </si>
  <si>
    <t>DECEMBER</t>
  </si>
  <si>
    <t>Paediatric</t>
  </si>
  <si>
    <t>Gynaecological</t>
  </si>
  <si>
    <t>Maternity</t>
  </si>
  <si>
    <t>NHIS</t>
  </si>
  <si>
    <t>Sex</t>
  </si>
  <si>
    <t>Age</t>
  </si>
  <si>
    <t>Name of Deceased</t>
  </si>
  <si>
    <t>Date of Death</t>
  </si>
  <si>
    <t>S/N</t>
  </si>
  <si>
    <t xml:space="preserve">JANUARY </t>
  </si>
  <si>
    <t>Folder Number</t>
  </si>
  <si>
    <t>NICU</t>
  </si>
  <si>
    <t>Deaths &lt;24Hrs</t>
  </si>
  <si>
    <t>f</t>
  </si>
  <si>
    <t>m</t>
  </si>
  <si>
    <t>0-28</t>
  </si>
  <si>
    <t>1-11</t>
  </si>
  <si>
    <t>1-4</t>
  </si>
  <si>
    <t>5-9</t>
  </si>
  <si>
    <t>10-14</t>
  </si>
  <si>
    <t>15-17</t>
  </si>
  <si>
    <t>18-19</t>
  </si>
  <si>
    <t>20-34</t>
  </si>
  <si>
    <t>35-49</t>
  </si>
  <si>
    <t>50-59</t>
  </si>
  <si>
    <t>60-69</t>
  </si>
  <si>
    <t>70+</t>
  </si>
  <si>
    <t>Total</t>
  </si>
  <si>
    <t xml:space="preserve">   </t>
  </si>
  <si>
    <t>M</t>
  </si>
  <si>
    <t>F</t>
  </si>
  <si>
    <t>MALE</t>
  </si>
  <si>
    <t>NON INS</t>
  </si>
  <si>
    <t>INS</t>
  </si>
  <si>
    <t>FRMALE</t>
  </si>
  <si>
    <t>AGE</t>
  </si>
  <si>
    <t>SEX</t>
  </si>
  <si>
    <t>m/w</t>
  </si>
  <si>
    <t>f/w</t>
  </si>
  <si>
    <t>c/w</t>
  </si>
  <si>
    <t>8mths</t>
  </si>
  <si>
    <t>11mths</t>
  </si>
  <si>
    <t>2mths</t>
  </si>
  <si>
    <t>4mths</t>
  </si>
  <si>
    <t>7mths</t>
  </si>
  <si>
    <t>6mths</t>
  </si>
  <si>
    <t>3mths</t>
  </si>
  <si>
    <t>9mths</t>
  </si>
  <si>
    <t>2days</t>
  </si>
  <si>
    <t>1day</t>
  </si>
  <si>
    <t>11days</t>
  </si>
  <si>
    <t>EMG</t>
  </si>
  <si>
    <t>Male</t>
  </si>
  <si>
    <t>both ins and non ins</t>
  </si>
  <si>
    <t>M/W</t>
  </si>
  <si>
    <t>F/W</t>
  </si>
  <si>
    <t>Insu</t>
  </si>
  <si>
    <t>no</t>
  </si>
  <si>
    <t>yes</t>
  </si>
  <si>
    <t>9days</t>
  </si>
  <si>
    <t>6days</t>
  </si>
  <si>
    <t>G</t>
  </si>
  <si>
    <t>BLKF</t>
  </si>
  <si>
    <t>BLKG</t>
  </si>
  <si>
    <t>BLKH</t>
  </si>
  <si>
    <t>1DAY</t>
  </si>
  <si>
    <t>C/W</t>
  </si>
  <si>
    <t>27days</t>
  </si>
  <si>
    <t>0DAY</t>
  </si>
  <si>
    <t>17DAYS</t>
  </si>
  <si>
    <t>16DAYS</t>
  </si>
  <si>
    <t>3DAYS</t>
  </si>
  <si>
    <t>8MTHS</t>
  </si>
  <si>
    <t>11MTHS</t>
  </si>
  <si>
    <t>2MTHS</t>
  </si>
  <si>
    <t>7MTHS</t>
  </si>
  <si>
    <t>1MTH</t>
  </si>
  <si>
    <t>4MTHS</t>
  </si>
  <si>
    <t>10MTHS</t>
  </si>
  <si>
    <t>5DAYS</t>
  </si>
  <si>
    <t>15DAYS</t>
  </si>
  <si>
    <t>13DAYS</t>
  </si>
  <si>
    <t>6DAYS</t>
  </si>
  <si>
    <t>4DAYS</t>
  </si>
  <si>
    <t>8DAYS</t>
  </si>
  <si>
    <t>14DAYS</t>
  </si>
  <si>
    <t>12DAYS</t>
  </si>
  <si>
    <t>7DAYS</t>
  </si>
  <si>
    <t>11DAYS</t>
  </si>
  <si>
    <t>10DAYS</t>
  </si>
  <si>
    <t>9DAYS</t>
  </si>
  <si>
    <t>8MTH</t>
  </si>
  <si>
    <t>6MTH</t>
  </si>
  <si>
    <t>E/W</t>
  </si>
  <si>
    <t>5MTHS</t>
  </si>
  <si>
    <t>2MTH</t>
  </si>
  <si>
    <t>9MTH</t>
  </si>
  <si>
    <t>10MTH</t>
  </si>
  <si>
    <t>11MHT</t>
  </si>
  <si>
    <t>11MTH</t>
  </si>
  <si>
    <t>7MTH</t>
  </si>
  <si>
    <t xml:space="preserve">M </t>
  </si>
  <si>
    <t>DOB</t>
  </si>
  <si>
    <t>26 DAYS</t>
  </si>
  <si>
    <t>1 DAY</t>
  </si>
  <si>
    <t>3 DAYS</t>
  </si>
  <si>
    <t>27 DAY</t>
  </si>
  <si>
    <t>2 DAY</t>
  </si>
  <si>
    <t>16 DAYS</t>
  </si>
  <si>
    <t>11 DAYS</t>
  </si>
  <si>
    <t>38 DAYS</t>
  </si>
  <si>
    <t>14 DAYS</t>
  </si>
  <si>
    <t>18 DAYS</t>
  </si>
  <si>
    <t xml:space="preserve">17 DAYS </t>
  </si>
  <si>
    <t>10 DAYS</t>
  </si>
  <si>
    <t>20 DAYS</t>
  </si>
  <si>
    <t>7 DAYS</t>
  </si>
  <si>
    <t>5 DAYS</t>
  </si>
  <si>
    <t>2DAYS</t>
  </si>
  <si>
    <t>Feb</t>
  </si>
  <si>
    <t>5moths</t>
  </si>
  <si>
    <t>2moths</t>
  </si>
  <si>
    <t>Patients on bed at the beginning of the Year</t>
  </si>
  <si>
    <t>Patients on bed at the beginning of the Quarter</t>
  </si>
  <si>
    <t>Patients on bed at the beginning of the 2ND Half Year</t>
  </si>
  <si>
    <t>Patients on bed at the beginning of the 3RD Quarter</t>
  </si>
  <si>
    <t>Patients on bed at the beginning of the 2nd Quarter</t>
  </si>
  <si>
    <t>Patients on bed at the beginning of the 1st Quarter</t>
  </si>
  <si>
    <t>Emergency</t>
  </si>
  <si>
    <t>ADRESS</t>
  </si>
  <si>
    <t>FEB</t>
  </si>
  <si>
    <t>DEATHS FOR MARCH, 2024</t>
  </si>
  <si>
    <t>MONTHLY BED UTILIZATION FORM - 4TH QUARTER, 2024</t>
  </si>
  <si>
    <t>MONTHLY BED UTILIZATION FORM - 2ND HALF YEAR, 2024</t>
  </si>
  <si>
    <t>MONTHLY BED UTILIZATION FORM - JANUARY TO DECEMBER, 2024</t>
  </si>
  <si>
    <t>JAN</t>
  </si>
  <si>
    <t>ward</t>
  </si>
  <si>
    <t>AAA4157</t>
  </si>
  <si>
    <t>04/01/2024</t>
  </si>
  <si>
    <t>AAD6488</t>
  </si>
  <si>
    <t>08/01/2024</t>
  </si>
  <si>
    <t>GLATI  EMMANUEL</t>
  </si>
  <si>
    <t>AMENUVEVE  RUTH</t>
  </si>
  <si>
    <t>AAD5893</t>
  </si>
  <si>
    <t>07/01/2024</t>
  </si>
  <si>
    <t>BABY OF ASARE DIANA</t>
  </si>
  <si>
    <t>AAD6575</t>
  </si>
  <si>
    <t>BABY OF JENNIFER YAKUBU</t>
  </si>
  <si>
    <t>AAD6368</t>
  </si>
  <si>
    <t>BABY OF ANKU MIRACLE</t>
  </si>
  <si>
    <t>AAA7860</t>
  </si>
  <si>
    <t>19/01/2024</t>
  </si>
  <si>
    <t>BOKE EMMANUEL</t>
  </si>
  <si>
    <t>AAD7332</t>
  </si>
  <si>
    <t>16/01/2024</t>
  </si>
  <si>
    <t>BABY OF HERRITA ADAMS</t>
  </si>
  <si>
    <t>0DAYS</t>
  </si>
  <si>
    <t>AAD7181</t>
  </si>
  <si>
    <t>17/01/2024</t>
  </si>
  <si>
    <t>BABY OF SARAH DOTSE</t>
  </si>
  <si>
    <t>AAD7395</t>
  </si>
  <si>
    <t>23/01/2024</t>
  </si>
  <si>
    <t>DORLEKU GILBERT</t>
  </si>
  <si>
    <t>AAD7525</t>
  </si>
  <si>
    <t>29/01/2024</t>
  </si>
  <si>
    <t>AGBEKA CATHERINE</t>
  </si>
  <si>
    <t>YES</t>
  </si>
  <si>
    <t>NO</t>
  </si>
  <si>
    <t>ALOS</t>
  </si>
  <si>
    <t>BTR</t>
  </si>
  <si>
    <t>BTI</t>
  </si>
  <si>
    <t>Deaths Rate</t>
  </si>
  <si>
    <t>Bed Occupancy Rate</t>
  </si>
  <si>
    <t>Death Rate By Wards</t>
  </si>
  <si>
    <t>Female</t>
  </si>
  <si>
    <t>Children</t>
  </si>
  <si>
    <t>A&amp;E</t>
  </si>
  <si>
    <t>AAD7693</t>
  </si>
  <si>
    <t>02/02/2024</t>
  </si>
  <si>
    <t>KETI ATSU</t>
  </si>
  <si>
    <t>AAG1606</t>
  </si>
  <si>
    <t>GBORKPA WISDOM</t>
  </si>
  <si>
    <t>ACI8748</t>
  </si>
  <si>
    <t>09/02/2024</t>
  </si>
  <si>
    <t>OTINPONG LAWRENCE</t>
  </si>
  <si>
    <t>AAA3496</t>
  </si>
  <si>
    <t>10/02/2024</t>
  </si>
  <si>
    <t xml:space="preserve">AKPARI ALBERT </t>
  </si>
  <si>
    <t>08/02/2024</t>
  </si>
  <si>
    <t>NYAMADI ELIZABETH</t>
  </si>
  <si>
    <t>AAD8335</t>
  </si>
  <si>
    <t>SALISU FAUSTINA</t>
  </si>
  <si>
    <t>AAD8894</t>
  </si>
  <si>
    <t>14/02/2024</t>
  </si>
  <si>
    <t>ADRAKU DAVID</t>
  </si>
  <si>
    <t>AAD8848</t>
  </si>
  <si>
    <t>12/02/2024</t>
  </si>
  <si>
    <t>ASHIEGBI NORA</t>
  </si>
  <si>
    <t>AAA4424</t>
  </si>
  <si>
    <t>AMETSIKOR GRACE</t>
  </si>
  <si>
    <t>19/02/2024</t>
  </si>
  <si>
    <t>AAC7205</t>
  </si>
  <si>
    <t>SEKPE VERONICA</t>
  </si>
  <si>
    <t>AAD9211</t>
  </si>
  <si>
    <t>GAGADZI CHRISTINE</t>
  </si>
  <si>
    <t>AAD9494</t>
  </si>
  <si>
    <t>21/02/2024</t>
  </si>
  <si>
    <t>LULU  ANASTASIA</t>
  </si>
  <si>
    <t>AAD9500</t>
  </si>
  <si>
    <t>22/02/2024</t>
  </si>
  <si>
    <t>ADDIA ESINAM</t>
  </si>
  <si>
    <t>AAA8978</t>
  </si>
  <si>
    <t>AAE0141</t>
  </si>
  <si>
    <t>01/03/2024</t>
  </si>
  <si>
    <t>ADDI KORSI LAWRENCE</t>
  </si>
  <si>
    <t>AAD5262</t>
  </si>
  <si>
    <t>03/03/2024</t>
  </si>
  <si>
    <t xml:space="preserve">OFORI ADDO CHARITY </t>
  </si>
  <si>
    <t>AAB4974</t>
  </si>
  <si>
    <t>05/03/2024</t>
  </si>
  <si>
    <t>AGBO MARGARET</t>
  </si>
  <si>
    <t>AAA8476</t>
  </si>
  <si>
    <t>04/03/2024</t>
  </si>
  <si>
    <t>KOMBERTO KWABENA</t>
  </si>
  <si>
    <t>16TH</t>
  </si>
  <si>
    <t>AAE0389</t>
  </si>
  <si>
    <t>06/03/2024</t>
  </si>
  <si>
    <t>BABY OF RACHAEL AGLIDZA</t>
  </si>
  <si>
    <t>AWUMEY ELIZABETH</t>
  </si>
  <si>
    <t>AAC9362</t>
  </si>
  <si>
    <t>11/03/2024</t>
  </si>
  <si>
    <t>AMOAKO IBRAHIM</t>
  </si>
  <si>
    <t>AAC0650</t>
  </si>
  <si>
    <t>09/03/2024</t>
  </si>
  <si>
    <t>AHOR VICTORIA</t>
  </si>
  <si>
    <t>AAE0804</t>
  </si>
  <si>
    <t>10/03/2024</t>
  </si>
  <si>
    <t>AKUAMOAH AMA SELINA</t>
  </si>
  <si>
    <t>AAE0356</t>
  </si>
  <si>
    <t>14/03/2024</t>
  </si>
  <si>
    <t>BADU FRANCIS</t>
  </si>
  <si>
    <t>AAD3022</t>
  </si>
  <si>
    <t>13/03/2024</t>
  </si>
  <si>
    <t>ATITSOGBUI CHRISTINE</t>
  </si>
  <si>
    <t>AAA0332</t>
  </si>
  <si>
    <t>BATSE JULIANA</t>
  </si>
  <si>
    <t>AAC6997</t>
  </si>
  <si>
    <t>16/03/2024</t>
  </si>
  <si>
    <t>OSEI EMELIA</t>
  </si>
  <si>
    <t>AAD8620</t>
  </si>
  <si>
    <t>OEDITEY CHRISTINE</t>
  </si>
  <si>
    <t>15/03/2024</t>
  </si>
  <si>
    <t xml:space="preserve">KAKIBI KWAKU </t>
  </si>
  <si>
    <t>AAE1176</t>
  </si>
  <si>
    <t>18/03/2024</t>
  </si>
  <si>
    <t>NYANTEH FRANCISCA</t>
  </si>
  <si>
    <t>AAC8093</t>
  </si>
  <si>
    <t>19/03/2024</t>
  </si>
  <si>
    <t>ATIKPLI MARGARET</t>
  </si>
  <si>
    <t>AGBOSU AGNES</t>
  </si>
  <si>
    <t>AAE1417</t>
  </si>
  <si>
    <t>23/03/2024</t>
  </si>
  <si>
    <t>KWAO JEMIMA</t>
  </si>
  <si>
    <t>AAE0886</t>
  </si>
  <si>
    <t>25/03/2024</t>
  </si>
  <si>
    <t>BABY OF AMI AMEGATSE</t>
  </si>
  <si>
    <t>AAE1371</t>
  </si>
  <si>
    <t>22/03/2024</t>
  </si>
  <si>
    <t>BONSI OSCAR</t>
  </si>
  <si>
    <t>AAE1348</t>
  </si>
  <si>
    <t>PEWUDIE ROSE</t>
  </si>
  <si>
    <t>AAD9576</t>
  </si>
  <si>
    <t>24/03/2024</t>
  </si>
  <si>
    <t>KLUTSE WILLIAM</t>
  </si>
  <si>
    <t>AAA1957</t>
  </si>
  <si>
    <t>29/03/2024</t>
  </si>
  <si>
    <t>YAKUBU SALAJI</t>
  </si>
  <si>
    <t>AAA4640</t>
  </si>
  <si>
    <t>AMEDOR MOSES</t>
  </si>
  <si>
    <t>AAE1942</t>
  </si>
  <si>
    <t>31/03/2024</t>
  </si>
  <si>
    <t>BABY OF DOGBEY BLESS</t>
  </si>
  <si>
    <t>AAE1630</t>
  </si>
  <si>
    <t>27/03/2024</t>
  </si>
  <si>
    <t>AGBELI WILLIAM</t>
  </si>
  <si>
    <t>No</t>
  </si>
  <si>
    <t>Yes</t>
  </si>
  <si>
    <t>AAE0328</t>
  </si>
  <si>
    <t>AAB4726</t>
  </si>
  <si>
    <t>AAB1450</t>
  </si>
  <si>
    <t>Cause Of Death</t>
  </si>
  <si>
    <t>01/04/2024</t>
  </si>
  <si>
    <t xml:space="preserve">M/W </t>
  </si>
  <si>
    <t>AAE1854</t>
  </si>
  <si>
    <t>06/04/2024</t>
  </si>
  <si>
    <t>AAD5138</t>
  </si>
  <si>
    <t>11/04/2024</t>
  </si>
  <si>
    <t>AGBENOWU WISDOM</t>
  </si>
  <si>
    <t>AAE2110</t>
  </si>
  <si>
    <t>ACQUAH WILSON</t>
  </si>
  <si>
    <t>AAD2337</t>
  </si>
  <si>
    <t>15/04/2024</t>
  </si>
  <si>
    <t>ADJEI AMU- EVANS</t>
  </si>
  <si>
    <t>AAE1979</t>
  </si>
  <si>
    <t>04/04/2024</t>
  </si>
  <si>
    <t>BABY OF AGBLEY ENYONAM ETHEL</t>
  </si>
  <si>
    <t>AAE2557</t>
  </si>
  <si>
    <t>BABY OF AKPANI PATRICIA</t>
  </si>
  <si>
    <t>AAE0026</t>
  </si>
  <si>
    <t>07/04/2024</t>
  </si>
  <si>
    <t>BABY OF AGBENYEGAH JOSEPHINE</t>
  </si>
  <si>
    <t>6WKS</t>
  </si>
  <si>
    <t>AAE2659</t>
  </si>
  <si>
    <t>13/04/2024</t>
  </si>
  <si>
    <t>BABY OF NYONATOR GLORIA</t>
  </si>
  <si>
    <t>AAK2987</t>
  </si>
  <si>
    <t>WOTORDZOR FREEBORN KOKU GABRIEL</t>
  </si>
  <si>
    <t>14/04/2024</t>
  </si>
  <si>
    <t>BABY OF ANULLA EUNICE</t>
  </si>
  <si>
    <t>AAD8336</t>
  </si>
  <si>
    <t>19/04/2024</t>
  </si>
  <si>
    <t>YEBOAH CHRISTIAN</t>
  </si>
  <si>
    <t>AAE2774</t>
  </si>
  <si>
    <t>AAE1738</t>
  </si>
  <si>
    <t>BABY OF DZAH DEBORAH</t>
  </si>
  <si>
    <t>24DAYS</t>
  </si>
  <si>
    <t>AAE2769</t>
  </si>
  <si>
    <t>BABY OF DOGBE PERPETUAL</t>
  </si>
  <si>
    <t>AAE2663</t>
  </si>
  <si>
    <t>24/04/2024</t>
  </si>
  <si>
    <t>LETTU BERNICE</t>
  </si>
  <si>
    <t>AAE2718</t>
  </si>
  <si>
    <t>27/04/2024</t>
  </si>
  <si>
    <t>AAE3342</t>
  </si>
  <si>
    <t>AYIGBEY MOSES</t>
  </si>
  <si>
    <t>AAE4959</t>
  </si>
  <si>
    <t>NTIFUL JANET</t>
  </si>
  <si>
    <t>AAC4731</t>
  </si>
  <si>
    <t>30/04/2024</t>
  </si>
  <si>
    <t>AMEWUHO EUGENIA</t>
  </si>
  <si>
    <t>DUNYA EPIPHANIA</t>
  </si>
  <si>
    <t>TETTELO BEN</t>
  </si>
  <si>
    <t>02/05/2024</t>
  </si>
  <si>
    <t>AAE2981</t>
  </si>
  <si>
    <t>DOTSE JANET</t>
  </si>
  <si>
    <t>AAE3411</t>
  </si>
  <si>
    <t>03/05/2024</t>
  </si>
  <si>
    <t>BABY OF AKPLOR MELODY</t>
  </si>
  <si>
    <t>AAE3905</t>
  </si>
  <si>
    <t>04/05/2024</t>
  </si>
  <si>
    <t>QUASHIE ROGER</t>
  </si>
  <si>
    <t>AAE3838</t>
  </si>
  <si>
    <t>AGBLEDZE ELIZABETH</t>
  </si>
  <si>
    <t>11/05/2024</t>
  </si>
  <si>
    <t>TAY THEOPHILUS</t>
  </si>
  <si>
    <t>AAA5302</t>
  </si>
  <si>
    <t>07/05/2024</t>
  </si>
  <si>
    <t>AMPONSAH REGINA</t>
  </si>
  <si>
    <t>AAE4275</t>
  </si>
  <si>
    <t>OFORI GRACE</t>
  </si>
  <si>
    <t>AAA1397</t>
  </si>
  <si>
    <t>14/05/2024</t>
  </si>
  <si>
    <t>BADASU GODWIN</t>
  </si>
  <si>
    <t>AAE4438</t>
  </si>
  <si>
    <t>17/05/2024</t>
  </si>
  <si>
    <t>AMUZU GODWIN</t>
  </si>
  <si>
    <t>AAH8922</t>
  </si>
  <si>
    <t>15/05/2024</t>
  </si>
  <si>
    <t>BABY OF YAA ABUBAKARI</t>
  </si>
  <si>
    <t>20DAYS</t>
  </si>
  <si>
    <t>AAE1312</t>
  </si>
  <si>
    <t>16/05/2026</t>
  </si>
  <si>
    <t>AMPOH FAUSTINE</t>
  </si>
  <si>
    <t>AAB4001</t>
  </si>
  <si>
    <t>21/05/2024</t>
  </si>
  <si>
    <t>TIGBE YAW WILLIAM</t>
  </si>
  <si>
    <t>AAA6113</t>
  </si>
  <si>
    <t>AMEGBE ISAAC</t>
  </si>
  <si>
    <t>24/05/2024</t>
  </si>
  <si>
    <t>AAE4716</t>
  </si>
  <si>
    <t>BABY OF NYAMEASEM COMFORT</t>
  </si>
  <si>
    <t>AAD9186</t>
  </si>
  <si>
    <t>BABY OF EFUMATEY GRACE</t>
  </si>
  <si>
    <t>AAB9817</t>
  </si>
  <si>
    <t>26/05/2024</t>
  </si>
  <si>
    <t>NDRO DIANA</t>
  </si>
  <si>
    <t>AAC2802</t>
  </si>
  <si>
    <t>31-05-2024</t>
  </si>
  <si>
    <t>LAMBERT OLORSKY</t>
  </si>
  <si>
    <t>AAE5101</t>
  </si>
  <si>
    <t>28-05-2024</t>
  </si>
  <si>
    <t>GLADYS AGUDU</t>
  </si>
  <si>
    <t>AAE3979</t>
  </si>
  <si>
    <t>05/06/2024</t>
  </si>
  <si>
    <t>01/06/2024</t>
  </si>
  <si>
    <t>ADZIMAH GIFTY</t>
  </si>
  <si>
    <t>AAE1636</t>
  </si>
  <si>
    <t>SHAIBU FATI</t>
  </si>
  <si>
    <t>AAE0673</t>
  </si>
  <si>
    <t>02/06/2024</t>
  </si>
  <si>
    <t>AVAKU GEORGINA</t>
  </si>
  <si>
    <t>06/06/2024</t>
  </si>
  <si>
    <t>AAE5483</t>
  </si>
  <si>
    <t>04/06/2024</t>
  </si>
  <si>
    <t>KODZO HENRY</t>
  </si>
  <si>
    <t>AAE4112</t>
  </si>
  <si>
    <t>BABY OF ADZO AMETOR</t>
  </si>
  <si>
    <t>29DAYS</t>
  </si>
  <si>
    <t>AAE5333</t>
  </si>
  <si>
    <t>MANTEY AGNES A . AMA</t>
  </si>
  <si>
    <t>AAE3857</t>
  </si>
  <si>
    <t>AMETEFE ROSEMARY</t>
  </si>
  <si>
    <t>AAA9873</t>
  </si>
  <si>
    <t>CHUNTOR FELIX</t>
  </si>
  <si>
    <t>AAE5775</t>
  </si>
  <si>
    <t>08/06/2024</t>
  </si>
  <si>
    <t>AAE5845</t>
  </si>
  <si>
    <t>10/06/2024</t>
  </si>
  <si>
    <t>DELLOR JOHN</t>
  </si>
  <si>
    <t>AAA3176</t>
  </si>
  <si>
    <t>16/06/2024</t>
  </si>
  <si>
    <t>DUAH MARY</t>
  </si>
  <si>
    <t>AAE6130</t>
  </si>
  <si>
    <t>14/06/2024</t>
  </si>
  <si>
    <t>BABY OF OPPONG FAUSTINA</t>
  </si>
  <si>
    <t>AAA4505</t>
  </si>
  <si>
    <t>25/06/2024</t>
  </si>
  <si>
    <t>OTITIAKU REGINA</t>
  </si>
  <si>
    <t>AAE6462</t>
  </si>
  <si>
    <t>23/06/2024</t>
  </si>
  <si>
    <t>PARKU JANET</t>
  </si>
  <si>
    <t>AAE6558</t>
  </si>
  <si>
    <t>AMENYOE SITSOFE</t>
  </si>
  <si>
    <t>AAD6690</t>
  </si>
  <si>
    <t>29/06/2024</t>
  </si>
  <si>
    <t>AGBLENOWORKPI KWESI</t>
  </si>
  <si>
    <t>AAA8340</t>
  </si>
  <si>
    <t>30/06/2024</t>
  </si>
  <si>
    <t>KOTOH ANTHONY</t>
  </si>
  <si>
    <t>28/06/2024</t>
  </si>
  <si>
    <t>AAC1362</t>
  </si>
  <si>
    <t>EDAH ELISSA</t>
  </si>
  <si>
    <t>AAC4195</t>
  </si>
  <si>
    <t>ATTU GERSHON</t>
  </si>
  <si>
    <t>Francis Dogbey</t>
  </si>
  <si>
    <t>12-07-2024</t>
  </si>
  <si>
    <t>Daniel Komla Drafor</t>
  </si>
  <si>
    <t>20/07/2024</t>
  </si>
  <si>
    <t>Bernard Atty</t>
  </si>
  <si>
    <t>22/07/2024</t>
  </si>
  <si>
    <t>AAC5821</t>
  </si>
  <si>
    <t>01/07/2024</t>
  </si>
  <si>
    <t>Mohammed Alhassan</t>
  </si>
  <si>
    <t>02/07/2024</t>
  </si>
  <si>
    <t>AAB6629</t>
  </si>
  <si>
    <t>Richard Asare Asiedu</t>
  </si>
  <si>
    <t>AAE7043</t>
  </si>
  <si>
    <t>AAE7577</t>
  </si>
  <si>
    <t>AAC5978</t>
  </si>
  <si>
    <t>27/07/2024</t>
  </si>
  <si>
    <t>AAB3710</t>
  </si>
  <si>
    <t>Ameka Mensah Kwasi Helmut</t>
  </si>
  <si>
    <t>MW</t>
  </si>
  <si>
    <t>AAE8207</t>
  </si>
  <si>
    <t>31/07/2024</t>
  </si>
  <si>
    <t>William Asian</t>
  </si>
  <si>
    <t>09/07/2024</t>
  </si>
  <si>
    <t>AAE5462</t>
  </si>
  <si>
    <t>Godfred Ganyo</t>
  </si>
  <si>
    <t>AAE5477</t>
  </si>
  <si>
    <t>Charity Agbale</t>
  </si>
  <si>
    <t>AAE6107</t>
  </si>
  <si>
    <t>08/07/2024</t>
  </si>
  <si>
    <t>Baby of Bless Godzah</t>
  </si>
  <si>
    <t>25 days</t>
  </si>
  <si>
    <t>AAE7233</t>
  </si>
  <si>
    <t>04/07/2024</t>
  </si>
  <si>
    <t>AAB3127</t>
  </si>
  <si>
    <t>Hannah Kludze</t>
  </si>
  <si>
    <t>10/07/2024</t>
  </si>
  <si>
    <t>13/07/2024</t>
  </si>
  <si>
    <t>AAE7807</t>
  </si>
  <si>
    <t>18/07/2024</t>
  </si>
  <si>
    <t>Delali Dzanton</t>
  </si>
  <si>
    <t xml:space="preserve">Vadzo Rejoice </t>
  </si>
  <si>
    <t>OT-A02-AAB9071</t>
  </si>
  <si>
    <t>Yahya Larubu</t>
  </si>
  <si>
    <t>AAD2186</t>
  </si>
  <si>
    <t>Sapaty Anthomy</t>
  </si>
  <si>
    <t>VOLTA REG. HOSP</t>
  </si>
  <si>
    <t>VR-A01-AAC9603</t>
  </si>
  <si>
    <t>VR-A01-AAA6203</t>
  </si>
  <si>
    <t>VR-A01-AAF0059</t>
  </si>
  <si>
    <t>VR-A01-AAE9647</t>
  </si>
  <si>
    <t>11-08-2024</t>
  </si>
  <si>
    <t>18-08-2024</t>
  </si>
  <si>
    <t>20-08-2024</t>
  </si>
  <si>
    <t>28-08-2024</t>
  </si>
  <si>
    <t>EMMANUEL  KWAKU DZATO</t>
  </si>
  <si>
    <t>DANIEL WORWORNYO</t>
  </si>
  <si>
    <t>EVANS   ADZAH</t>
  </si>
  <si>
    <t>NYAME RICHARD</t>
  </si>
  <si>
    <t>60Year(s)</t>
  </si>
  <si>
    <t>68Year(s)</t>
  </si>
  <si>
    <t>58Year(s)</t>
  </si>
  <si>
    <t>52Year(s)</t>
  </si>
  <si>
    <t>53Year(s)</t>
  </si>
  <si>
    <t>35Year(s)</t>
  </si>
  <si>
    <t>39Year(s)</t>
  </si>
  <si>
    <t>78Year(s)</t>
  </si>
  <si>
    <t>61Year(s)</t>
  </si>
  <si>
    <t>10-08-2024</t>
  </si>
  <si>
    <t>13-08-2024</t>
  </si>
  <si>
    <t>15-08-2024</t>
  </si>
  <si>
    <t>27-08-2024</t>
  </si>
  <si>
    <t>VR-A01-AAE8951</t>
  </si>
  <si>
    <t>VR-A01-AAE8854</t>
  </si>
  <si>
    <t>VR-A01-AAE6232</t>
  </si>
  <si>
    <t>VR-A01-AAA1422</t>
  </si>
  <si>
    <t>VR-A01-AAC2725</t>
  </si>
  <si>
    <t>AGNES   DZABAKU</t>
  </si>
  <si>
    <t>GLADYS  AMA DZANU</t>
  </si>
  <si>
    <t>VICTORIA  ADZOA AKPEMADO</t>
  </si>
  <si>
    <t>EMELDA   GADZE</t>
  </si>
  <si>
    <t>ANITA KOFINTI</t>
  </si>
  <si>
    <t>Male Ward</t>
  </si>
  <si>
    <t>Female Ward</t>
  </si>
  <si>
    <t>baby of FORGIVE MOHAMMED</t>
  </si>
  <si>
    <t>VR-A01-AAE8968</t>
  </si>
  <si>
    <t>16-08-2024</t>
  </si>
  <si>
    <t>0Day(s)</t>
  </si>
  <si>
    <t>DEATHS FOR JANUARY 2025</t>
  </si>
  <si>
    <t>AAF6236</t>
  </si>
  <si>
    <t>02-01-2025</t>
  </si>
  <si>
    <t>TWAFIK SALAM</t>
  </si>
  <si>
    <t>AAB8054</t>
  </si>
  <si>
    <t>FLORENCE SEKU</t>
  </si>
  <si>
    <t>AAF6263</t>
  </si>
  <si>
    <t>03-01-2025</t>
  </si>
  <si>
    <t>COSMOS ASHIAMA</t>
  </si>
  <si>
    <t>AAC3185</t>
  </si>
  <si>
    <t>10/01/2025</t>
  </si>
  <si>
    <t>04/01/2025</t>
  </si>
  <si>
    <t>THOMFOR GANOR</t>
  </si>
  <si>
    <t>AAG9015</t>
  </si>
  <si>
    <t>15/01/2025</t>
  </si>
  <si>
    <t>GIFTY ASARE</t>
  </si>
  <si>
    <t>AAE4682</t>
  </si>
  <si>
    <t>BABY OF NAILA MOHAMMED</t>
  </si>
  <si>
    <t>18/01/2025</t>
  </si>
  <si>
    <t>AAB8562</t>
  </si>
  <si>
    <t>19/01/2025</t>
  </si>
  <si>
    <t>GYATO KWAME MBEBOR</t>
  </si>
  <si>
    <t>AAF7284</t>
  </si>
  <si>
    <t>27/01/2025</t>
  </si>
  <si>
    <t>CHRISTINE APPIAH</t>
  </si>
  <si>
    <t>AAB7545</t>
  </si>
  <si>
    <t>29/01/2025</t>
  </si>
  <si>
    <t>AMPOFO FRANCIS KWADZO</t>
  </si>
  <si>
    <t>MONTHLY BED UTILIZATION FORM - JANUARY, 2025</t>
  </si>
  <si>
    <t>MONTHLY BED UTILIZATION FORM - FEBRUARY, 2025</t>
  </si>
  <si>
    <t>MONTHLY BED UTILIZATION FORM - MARCH, 2025</t>
  </si>
  <si>
    <t>MONTHLY BED UTILIZATION FORM - APRIL, 2025</t>
  </si>
  <si>
    <t>MONTHLY BED UTILIZATION FORM - MAY, 2025</t>
  </si>
  <si>
    <t>MONTHLY BED UTILIZATION FORM - JUNE, 2025</t>
  </si>
  <si>
    <t>MONTHLY BED UTILIZATION FORM - JULY, 2025</t>
  </si>
  <si>
    <t>MONTHLY BED UTILIZATION FORM - AUGUST, 2025</t>
  </si>
  <si>
    <t>MONTHLY BED UTILIZATION FORM - SEPTEMBER, 2025</t>
  </si>
  <si>
    <t>MONTHLY BED UTILIZATION FORM - OCTOBER, 2025</t>
  </si>
  <si>
    <t>MONTHLY BED UTILIZATION FORM - NOVEMBER, 2025</t>
  </si>
  <si>
    <t>MONTHLY BED UTILIZATION FORM - DECEMBER, 2025</t>
  </si>
  <si>
    <t>AAF6697</t>
  </si>
  <si>
    <t>13/01/2025</t>
  </si>
  <si>
    <t>JOHN TORSU</t>
  </si>
  <si>
    <t>AAF6878</t>
  </si>
  <si>
    <t>17/01/2025</t>
  </si>
  <si>
    <t>BABY OF DAGADZI MARCELINE</t>
  </si>
  <si>
    <t>2 DAYS</t>
  </si>
  <si>
    <t>AAF6377</t>
  </si>
  <si>
    <t>06/01/2025</t>
  </si>
  <si>
    <t>EMMANUEL AGBEKO</t>
  </si>
  <si>
    <t>AAF6386</t>
  </si>
  <si>
    <t>07/01/2025</t>
  </si>
  <si>
    <t>BEN AWUMEY</t>
  </si>
  <si>
    <t>AAF6286</t>
  </si>
  <si>
    <t>AAF6017</t>
  </si>
  <si>
    <t>NAHIMA YAO</t>
  </si>
  <si>
    <t>PRINCE DZAH</t>
  </si>
  <si>
    <t>AAF6430</t>
  </si>
  <si>
    <t>14/01/2025</t>
  </si>
  <si>
    <t>JOSEPH KARANI</t>
  </si>
  <si>
    <t>AAB6012</t>
  </si>
  <si>
    <t>CHRISTIAN TRASEY</t>
  </si>
  <si>
    <t>AAF5433</t>
  </si>
  <si>
    <t>28/01/2025</t>
  </si>
  <si>
    <t>WILLIAM GOMASHIE</t>
  </si>
  <si>
    <t>AAF5978</t>
  </si>
  <si>
    <t>05/01/2025</t>
  </si>
  <si>
    <t>JUSTINE AMA ATTAFI</t>
  </si>
  <si>
    <t>AFF6253</t>
  </si>
  <si>
    <t>EMMA AGBAVITOR</t>
  </si>
  <si>
    <t>AAE7897</t>
  </si>
  <si>
    <t>15-01-2025</t>
  </si>
  <si>
    <t>TERESA ABABIO</t>
  </si>
  <si>
    <t>AAF6882</t>
  </si>
  <si>
    <t>VICTORIA APPIAH</t>
  </si>
  <si>
    <t>18-01-2025</t>
  </si>
  <si>
    <t>AAA5315</t>
  </si>
  <si>
    <t>25-01-2025</t>
  </si>
  <si>
    <t>VICTORIA ALLATA</t>
  </si>
  <si>
    <t>AAE6092</t>
  </si>
  <si>
    <t>27-01-2025</t>
  </si>
  <si>
    <t>BENEDICTA ABRUH-MENSAH</t>
  </si>
  <si>
    <t>AAF6915</t>
  </si>
  <si>
    <t>30-01-2025</t>
  </si>
  <si>
    <t>VALENTINE TETTEY</t>
  </si>
  <si>
    <t>2 D</t>
  </si>
  <si>
    <t>DOD</t>
  </si>
  <si>
    <t>Ocupation</t>
  </si>
  <si>
    <t>SN</t>
  </si>
  <si>
    <t>A/E</t>
  </si>
  <si>
    <t>6 MTHS</t>
  </si>
  <si>
    <t>7 MTHS</t>
  </si>
  <si>
    <t>8 MTHS</t>
  </si>
  <si>
    <t>11 MTHS</t>
  </si>
  <si>
    <t>9 MTHS</t>
  </si>
  <si>
    <t>0 D</t>
  </si>
  <si>
    <t>1 D</t>
  </si>
  <si>
    <t>3 D</t>
  </si>
  <si>
    <t>8 D</t>
  </si>
  <si>
    <t>6 D</t>
  </si>
  <si>
    <t xml:space="preserve">0 D </t>
  </si>
  <si>
    <t>4  D</t>
  </si>
  <si>
    <t>4 D</t>
  </si>
  <si>
    <t>30 D</t>
  </si>
  <si>
    <t>19 D</t>
  </si>
  <si>
    <t>1 MTH</t>
  </si>
  <si>
    <t>4 MTHS</t>
  </si>
  <si>
    <t>2 MTHS</t>
  </si>
  <si>
    <t>1 MTHS</t>
  </si>
  <si>
    <t>10 MTHS</t>
  </si>
  <si>
    <t>5 MTHS</t>
  </si>
  <si>
    <t>11 D</t>
  </si>
  <si>
    <t>24 D</t>
  </si>
  <si>
    <t>7 D</t>
  </si>
  <si>
    <t>22 D</t>
  </si>
  <si>
    <t>18 D</t>
  </si>
  <si>
    <t>28/02/2025</t>
  </si>
  <si>
    <t>VERONICA AFRAKUMA</t>
  </si>
  <si>
    <t>26/02/2025</t>
  </si>
  <si>
    <t>JULIANA YAO KUMA</t>
  </si>
  <si>
    <t>AAF5900</t>
  </si>
  <si>
    <t>AAC2131</t>
  </si>
  <si>
    <t>AAG7233</t>
  </si>
  <si>
    <t>22/02/2025</t>
  </si>
  <si>
    <t>NURIATU SAKIBU</t>
  </si>
  <si>
    <t>AAD3668</t>
  </si>
  <si>
    <t>14/02/2025</t>
  </si>
  <si>
    <t>CHARLOTTE YEBOAH</t>
  </si>
  <si>
    <t>AAF7756</t>
  </si>
  <si>
    <t>13/02/2025</t>
  </si>
  <si>
    <t xml:space="preserve">MADELEN PARDON  </t>
  </si>
  <si>
    <t>AAC5099</t>
  </si>
  <si>
    <t>09/02/2025</t>
  </si>
  <si>
    <t>ROSE AKABAH</t>
  </si>
  <si>
    <t>AAA6854</t>
  </si>
  <si>
    <t>07/02/2025</t>
  </si>
  <si>
    <t>PHIDELIA SABAH</t>
  </si>
  <si>
    <t>AAC9314</t>
  </si>
  <si>
    <t>03/02/2025</t>
  </si>
  <si>
    <t>ELIZABETH AHIABLE</t>
  </si>
  <si>
    <t>DEATHS FOR FEB, 2025</t>
  </si>
  <si>
    <t>AAF7889</t>
  </si>
  <si>
    <t>BABY OF ATTAH KAFUI</t>
  </si>
  <si>
    <t>0 DAY</t>
  </si>
  <si>
    <t>AAF8064</t>
  </si>
  <si>
    <t>16/02/2025</t>
  </si>
  <si>
    <t>BABY OF FAFALI AHIAGBENU</t>
  </si>
  <si>
    <t>AAF8694</t>
  </si>
  <si>
    <t>TSAH DZIDEFO</t>
  </si>
  <si>
    <t>AAP9123</t>
  </si>
  <si>
    <t>04/02/2025</t>
  </si>
  <si>
    <t>AMEDZO BISMARK</t>
  </si>
  <si>
    <t>10/02/2025</t>
  </si>
  <si>
    <t>AAE1229</t>
  </si>
  <si>
    <t>AAF7593</t>
  </si>
  <si>
    <t xml:space="preserve">DENUTSI GABRIEL </t>
  </si>
  <si>
    <t>SIMON NYARKU</t>
  </si>
  <si>
    <t>HAROLD KABA</t>
  </si>
  <si>
    <t>AAE9699</t>
  </si>
  <si>
    <t>AAA5517</t>
  </si>
  <si>
    <t>15/02/2025</t>
  </si>
  <si>
    <t>ISAKA IBRAHIM</t>
  </si>
  <si>
    <t>AAA7648</t>
  </si>
  <si>
    <t>JOHN DZIWORNU DENU</t>
  </si>
  <si>
    <t>17/02/2025</t>
  </si>
  <si>
    <t>ISAAC ADETEY</t>
  </si>
  <si>
    <t>AAC4100</t>
  </si>
  <si>
    <t>19/02/2025</t>
  </si>
  <si>
    <t>KPLOANYI K. CONTANT</t>
  </si>
  <si>
    <t>JOHN SEGBEKU</t>
  </si>
  <si>
    <t>AAA0378</t>
  </si>
  <si>
    <t>AAF3975</t>
  </si>
  <si>
    <t>AAB3313</t>
  </si>
  <si>
    <t>20/02/2025</t>
  </si>
  <si>
    <t>MICHAEL F. ADZIMAH</t>
  </si>
  <si>
    <t>21/02/2025</t>
  </si>
  <si>
    <t>AAC8516</t>
  </si>
  <si>
    <t>DOMINIC APIETU</t>
  </si>
  <si>
    <t>AAD1694</t>
  </si>
  <si>
    <t>WISDOM HAVOR</t>
  </si>
  <si>
    <t>AAC7037</t>
  </si>
  <si>
    <t>AAF7897</t>
  </si>
  <si>
    <t>SOSTHENES ABUSUAMPEH</t>
  </si>
  <si>
    <t>JOHN TULASI</t>
  </si>
  <si>
    <t>AAF7417</t>
  </si>
  <si>
    <t>02/02/2025</t>
  </si>
  <si>
    <t>SIKA ATTAFI</t>
  </si>
  <si>
    <t>05/02/2025</t>
  </si>
  <si>
    <t>AAF7663</t>
  </si>
  <si>
    <t>JULIUS ASASE</t>
  </si>
  <si>
    <t>AAB2754</t>
  </si>
  <si>
    <t>06/02/2025</t>
  </si>
  <si>
    <t>CYRUS CALEB LANTAME</t>
  </si>
  <si>
    <t>AAA4838</t>
  </si>
  <si>
    <t>TEDDY DOMEVI</t>
  </si>
  <si>
    <t>AAF8250</t>
  </si>
  <si>
    <t>AAA6749</t>
  </si>
  <si>
    <t>MICHAEL KOTTOH</t>
  </si>
  <si>
    <t>FELICIA SOMEVI</t>
  </si>
  <si>
    <t>SUSANA OBENG</t>
  </si>
  <si>
    <t>AAF8522</t>
  </si>
  <si>
    <t>AAF8309</t>
  </si>
  <si>
    <t xml:space="preserve">ASANA SALIFU </t>
  </si>
  <si>
    <t>SERAPHINE ANKU</t>
  </si>
  <si>
    <t>AA15501</t>
  </si>
  <si>
    <t>ANKU ELIZABETH</t>
  </si>
  <si>
    <t>AAC4758</t>
  </si>
  <si>
    <t>AAF8982</t>
  </si>
  <si>
    <t>08/03/2025</t>
  </si>
  <si>
    <t>TIJANI MAMUDU</t>
  </si>
  <si>
    <t>01/03/2025</t>
  </si>
  <si>
    <t>AAB8086</t>
  </si>
  <si>
    <t>AAD6867</t>
  </si>
  <si>
    <t>ROSE AKUA MORNY</t>
  </si>
  <si>
    <t>GABRIEL ATSYOR</t>
  </si>
  <si>
    <t>AAD2582</t>
  </si>
  <si>
    <t>16/03/2025</t>
  </si>
  <si>
    <t>SENU ADJATO</t>
  </si>
  <si>
    <t>AAF8874</t>
  </si>
  <si>
    <t>06/03/2025</t>
  </si>
  <si>
    <t>VICTOR SEWORNU</t>
  </si>
  <si>
    <t>AAF8700</t>
  </si>
  <si>
    <t>ALBERT ANKRAH</t>
  </si>
  <si>
    <t>AAA5159</t>
  </si>
  <si>
    <t>10/03/2025</t>
  </si>
  <si>
    <t>SUSANA KOTA</t>
  </si>
  <si>
    <t>AAF8757</t>
  </si>
  <si>
    <t>05/03/2025</t>
  </si>
  <si>
    <t>PAT KOSALINA</t>
  </si>
  <si>
    <t>AAE5719</t>
  </si>
  <si>
    <t>CHRISTOPHER OWUSU-ANSAH</t>
  </si>
  <si>
    <t>11/03/2025</t>
  </si>
  <si>
    <t>BABY OF VICTORIA NGON</t>
  </si>
  <si>
    <t>AAF8906</t>
  </si>
  <si>
    <t>6 DAYS</t>
  </si>
  <si>
    <t>AAF9589</t>
  </si>
  <si>
    <t>22/03/2025</t>
  </si>
  <si>
    <t xml:space="preserve">ADJEI MARTHA </t>
  </si>
  <si>
    <t>AAD5061</t>
  </si>
  <si>
    <t>HENRIETTA ANKU</t>
  </si>
  <si>
    <t>AAA0714</t>
  </si>
  <si>
    <t>29/03/2025</t>
  </si>
  <si>
    <t>COMFORT AKUAMOAH</t>
  </si>
  <si>
    <t>AAF9656</t>
  </si>
  <si>
    <t>31/03/2025</t>
  </si>
  <si>
    <t>BABY OF KUMA ADZAMUA</t>
  </si>
  <si>
    <t>8 DAYS</t>
  </si>
  <si>
    <t>AAF9494</t>
  </si>
  <si>
    <t>FRED YAW KAYENTEY</t>
  </si>
  <si>
    <t>26/03/2025</t>
  </si>
  <si>
    <t>MARTIN LASSEN</t>
  </si>
  <si>
    <t>27/03/2025</t>
  </si>
  <si>
    <t>AAA1119</t>
  </si>
  <si>
    <t>MANFRED EDOKPOE</t>
  </si>
  <si>
    <t>AAC7054</t>
  </si>
  <si>
    <t>28/03/2025</t>
  </si>
  <si>
    <t>SIMON AGBO</t>
  </si>
  <si>
    <t>AAF9720</t>
  </si>
  <si>
    <t>AMUZU DOTSE</t>
  </si>
  <si>
    <t>AAB7556</t>
  </si>
  <si>
    <t>DEATHS FOR MARCH, 2025</t>
  </si>
  <si>
    <t>14 D</t>
  </si>
  <si>
    <t>16 D</t>
  </si>
  <si>
    <t>JUSTINE ONIPAYEDE</t>
  </si>
  <si>
    <t>AAD4912</t>
  </si>
  <si>
    <t>24/03/2025</t>
  </si>
  <si>
    <t>EDITH KUDIENU</t>
  </si>
  <si>
    <t>AAB6269</t>
  </si>
  <si>
    <t>LUCY DENUH</t>
  </si>
  <si>
    <t>AAA3658</t>
  </si>
  <si>
    <t>ELIZABETH QUAO KUMADIE</t>
  </si>
  <si>
    <t>AAF9828</t>
  </si>
  <si>
    <t>30/03/2025</t>
  </si>
  <si>
    <t>HELLEN AKOTO</t>
  </si>
  <si>
    <t>AAF9268</t>
  </si>
  <si>
    <t>AAF9456</t>
  </si>
  <si>
    <t>18/03/2025</t>
  </si>
  <si>
    <t>BABY OF ELIZABETH DZIFA</t>
  </si>
  <si>
    <t>DEATHS FOR APRIL, 2025</t>
  </si>
  <si>
    <t>3 MTHS</t>
  </si>
  <si>
    <t>5 D</t>
  </si>
  <si>
    <t>AAD0017</t>
  </si>
  <si>
    <t>AAF7376</t>
  </si>
  <si>
    <t>01/04/2025</t>
  </si>
  <si>
    <t>PETER MAWUSI</t>
  </si>
  <si>
    <t>DAVID WORNA</t>
  </si>
  <si>
    <t>04/04/2025</t>
  </si>
  <si>
    <t>AAF7546</t>
  </si>
  <si>
    <t>REUBEN AKABUA</t>
  </si>
  <si>
    <t>06/04/2025</t>
  </si>
  <si>
    <t>AAC0369</t>
  </si>
  <si>
    <t>EMMANUEL ANKU</t>
  </si>
  <si>
    <t>07/04/2025</t>
  </si>
  <si>
    <t>AAD6576</t>
  </si>
  <si>
    <t>AAG0094</t>
  </si>
  <si>
    <t>RICHARD ATI</t>
  </si>
  <si>
    <t>SAMUEL AGBEKO</t>
  </si>
  <si>
    <t>14/04/2025</t>
  </si>
  <si>
    <t>LEONARD AGBO</t>
  </si>
  <si>
    <t>AAF7727</t>
  </si>
  <si>
    <t>AAG0649</t>
  </si>
  <si>
    <t>17/04/2025</t>
  </si>
  <si>
    <t>KINGSLEY NYANKU</t>
  </si>
  <si>
    <t>AAF0759</t>
  </si>
  <si>
    <t>18/04/2025</t>
  </si>
  <si>
    <t>PAUL AMEGADZE</t>
  </si>
  <si>
    <t>02/04/2025</t>
  </si>
  <si>
    <t>AAA3985</t>
  </si>
  <si>
    <t>FATI HUSEIN</t>
  </si>
  <si>
    <t>AAA2391</t>
  </si>
  <si>
    <t>DORIS BOAME</t>
  </si>
  <si>
    <t>15/04/2025</t>
  </si>
  <si>
    <t>AAF3556</t>
  </si>
  <si>
    <t>AAA9851</t>
  </si>
  <si>
    <t>LYDIA ASIMPAH</t>
  </si>
  <si>
    <t>DOROTHY TOGBE</t>
  </si>
  <si>
    <t>20/04/2025</t>
  </si>
  <si>
    <t>AAB1504</t>
  </si>
  <si>
    <t>REGINA AFELI</t>
  </si>
  <si>
    <t>AAB2029</t>
  </si>
  <si>
    <t>AAM5099</t>
  </si>
  <si>
    <t>MARY ALAGAH</t>
  </si>
  <si>
    <t>JOHN LEWUI</t>
  </si>
  <si>
    <t>12/04/2025</t>
  </si>
  <si>
    <t>AAF9458</t>
  </si>
  <si>
    <t>GLADYS DZODZODZI</t>
  </si>
  <si>
    <t>AAG0483</t>
  </si>
  <si>
    <t>ROLAND ADOM CHRISTOPHER</t>
  </si>
  <si>
    <t>AAF9793</t>
  </si>
  <si>
    <t>BABY OF SARAH NUBOURDAY</t>
  </si>
  <si>
    <t>AAG0058</t>
  </si>
  <si>
    <t>BABY OF ASIGBE ELIZABETH</t>
  </si>
  <si>
    <t>MONTHLY BED UTILIZATION FORM - 1ST QUARTER, 2025</t>
  </si>
  <si>
    <t>MONTHLY BED UTILIZATION FORM - 2ND QUARTER, 2025</t>
  </si>
  <si>
    <t>MONTHLY BED UTILIZATION FORM - HALF YEAR, 2025</t>
  </si>
  <si>
    <t xml:space="preserve"> 1 D</t>
  </si>
  <si>
    <t>28/04/2025</t>
  </si>
  <si>
    <t>APAW SIMON</t>
  </si>
  <si>
    <t>AAG0753</t>
  </si>
  <si>
    <t>AAB1729</t>
  </si>
  <si>
    <t>21/04/2025</t>
  </si>
  <si>
    <t>CHARITY NYAVOR</t>
  </si>
  <si>
    <t>26/04/2025</t>
  </si>
  <si>
    <t>AAE9386</t>
  </si>
  <si>
    <t>AAK0031</t>
  </si>
  <si>
    <t>COMFORT KABBEY</t>
  </si>
  <si>
    <t>MARIAM DAKE</t>
  </si>
  <si>
    <t>AAG0998</t>
  </si>
  <si>
    <t>27/04/2025</t>
  </si>
  <si>
    <t>BEAUTY ANKU</t>
  </si>
  <si>
    <t>GLORIA DARKO</t>
  </si>
  <si>
    <t>AAC7481</t>
  </si>
  <si>
    <t>AAC4903</t>
  </si>
  <si>
    <t>ESTHER DOMPEH</t>
  </si>
  <si>
    <t xml:space="preserve"> M</t>
  </si>
  <si>
    <t>DEATHS FOR MAY, 2025</t>
  </si>
  <si>
    <t>DEATHS FOR JUNE, 2025</t>
  </si>
  <si>
    <t>10 D</t>
  </si>
  <si>
    <t>9 D</t>
  </si>
  <si>
    <t>26 D</t>
  </si>
  <si>
    <t>25 D</t>
  </si>
  <si>
    <t>12 D</t>
  </si>
  <si>
    <t>23 D</t>
  </si>
  <si>
    <t>AAF8942</t>
  </si>
  <si>
    <t>06/05/2025</t>
  </si>
  <si>
    <t>ROBERTSON DZIKUNU</t>
  </si>
  <si>
    <t>AAD4374</t>
  </si>
  <si>
    <t>07/05/2025</t>
  </si>
  <si>
    <t>03/05/2025</t>
  </si>
  <si>
    <t>EMILSON ANANI</t>
  </si>
  <si>
    <t>12/05/2025</t>
  </si>
  <si>
    <t>AAE3069</t>
  </si>
  <si>
    <t>AAD4444</t>
  </si>
  <si>
    <t>AMINU ABDULAI ABUBAKAR</t>
  </si>
  <si>
    <t>PETER KENNEDY AMAGLO</t>
  </si>
  <si>
    <t>17/05/2025</t>
  </si>
  <si>
    <t>AAD0222</t>
  </si>
  <si>
    <t>PAUL BOBBY YAW KOTOBRIDJA</t>
  </si>
  <si>
    <t>20/05/2025</t>
  </si>
  <si>
    <t>AAG1920</t>
  </si>
  <si>
    <t>DANIEL BOAKYE</t>
  </si>
  <si>
    <t>26/05/2025</t>
  </si>
  <si>
    <t>AAC3820</t>
  </si>
  <si>
    <t>AAD8705</t>
  </si>
  <si>
    <t>AAD3952</t>
  </si>
  <si>
    <t>PROSPER KWAMI DZUMADOR</t>
  </si>
  <si>
    <t>EMILSON KOFI AYIVOR</t>
  </si>
  <si>
    <t>RUBEN AKATOR</t>
  </si>
  <si>
    <t>AAC3118</t>
  </si>
  <si>
    <t>27/05/2025</t>
  </si>
  <si>
    <t>MICHAEL SENCHIM</t>
  </si>
  <si>
    <t>ABB1660</t>
  </si>
  <si>
    <t>EDNA AMETEPEY</t>
  </si>
  <si>
    <t>AAF8629</t>
  </si>
  <si>
    <t>AAG1323</t>
  </si>
  <si>
    <t>VICTORIA DOGBE</t>
  </si>
  <si>
    <t>AGNES ANYAMGEH</t>
  </si>
  <si>
    <t>AAD9138</t>
  </si>
  <si>
    <t>AHIAKPAH FRANCISCA</t>
  </si>
  <si>
    <t>15/05/2025</t>
  </si>
  <si>
    <t>AAG1620</t>
  </si>
  <si>
    <t>MARGARET ABETOR</t>
  </si>
  <si>
    <t>AAE9447</t>
  </si>
  <si>
    <t>16/05/2025</t>
  </si>
  <si>
    <t>FLORENCE TSRIBI</t>
  </si>
  <si>
    <t>AAG1149</t>
  </si>
  <si>
    <t>21/05/2025</t>
  </si>
  <si>
    <t>24/05/2025</t>
  </si>
  <si>
    <t>GRACE DEKPE</t>
  </si>
  <si>
    <t>04/05/2025</t>
  </si>
  <si>
    <t>14/05/2025</t>
  </si>
  <si>
    <t>AAF9395</t>
  </si>
  <si>
    <t>AAG1452</t>
  </si>
  <si>
    <t>FELICIA DOGBEY</t>
  </si>
  <si>
    <t>AKUA KUMARDO</t>
  </si>
  <si>
    <t>28/05/2025</t>
  </si>
  <si>
    <t>AAA0232</t>
  </si>
  <si>
    <t>VICENTIA ABORGAH</t>
  </si>
  <si>
    <t>AAF1482</t>
  </si>
  <si>
    <t>29/05/2025</t>
  </si>
  <si>
    <t>EVELYN VINYOWUGAH</t>
  </si>
  <si>
    <t>AAG2071</t>
  </si>
  <si>
    <t>30/05/2025</t>
  </si>
  <si>
    <t>ADAMU MOTIYATU</t>
  </si>
  <si>
    <t>AAG1154</t>
  </si>
  <si>
    <t>BABY OF GODO ANITA</t>
  </si>
  <si>
    <t>AAE9477</t>
  </si>
  <si>
    <t>AAC2463</t>
  </si>
  <si>
    <t>01/05/2025</t>
  </si>
  <si>
    <t>GRACE MENSAH</t>
  </si>
  <si>
    <t>JANET A. KAKRABAH</t>
  </si>
  <si>
    <t>AAC4403</t>
  </si>
  <si>
    <t>PEACE ADZRAKUTSE</t>
  </si>
  <si>
    <t>AAG1261</t>
  </si>
  <si>
    <t>ENOCH SENA AKUMAH</t>
  </si>
  <si>
    <t>AAA4453</t>
  </si>
  <si>
    <t>FLORENCE DEH</t>
  </si>
  <si>
    <t>AAB0925</t>
  </si>
  <si>
    <t>EDITH ABLA KORKOR</t>
  </si>
  <si>
    <t>AAA2046</t>
  </si>
  <si>
    <t>ANTOANETTE DENTEH</t>
  </si>
  <si>
    <t>AAG2236</t>
  </si>
  <si>
    <t>MARTIN SIAKU</t>
  </si>
  <si>
    <t>AAF4099</t>
  </si>
  <si>
    <t>GEORGINA GOZAH</t>
  </si>
  <si>
    <t>AAG2413</t>
  </si>
  <si>
    <t>AAD9606</t>
  </si>
  <si>
    <t>01/06/2025</t>
  </si>
  <si>
    <t>03/06/2025</t>
  </si>
  <si>
    <t>LEMBOE SAMUEL</t>
  </si>
  <si>
    <t>10/06/2025</t>
  </si>
  <si>
    <t>AAG1175</t>
  </si>
  <si>
    <t>ABDUL RAMAN IDDRISU</t>
  </si>
  <si>
    <t>AAD7317</t>
  </si>
  <si>
    <t>13/06/2025</t>
  </si>
  <si>
    <t xml:space="preserve">WINFRED AMEVOR </t>
  </si>
  <si>
    <t>20/06/2025</t>
  </si>
  <si>
    <t>AAG3090</t>
  </si>
  <si>
    <t>DANIEL AHIAGBOR</t>
  </si>
  <si>
    <t>AAF9573</t>
  </si>
  <si>
    <t>25/06/2025</t>
  </si>
  <si>
    <t>ALEX AFESI</t>
  </si>
  <si>
    <t>AAC4596</t>
  </si>
  <si>
    <t>EVELYN TATAGAH</t>
  </si>
  <si>
    <t>AAG2343</t>
  </si>
  <si>
    <t>24/06/2025</t>
  </si>
  <si>
    <t xml:space="preserve">GEORGINA KORBLE </t>
  </si>
  <si>
    <t>09/06/2025</t>
  </si>
  <si>
    <t>AAG2193</t>
  </si>
  <si>
    <t xml:space="preserve">RITA AMEVOR </t>
  </si>
  <si>
    <t>22/06/2025</t>
  </si>
  <si>
    <t>AAG2888</t>
  </si>
  <si>
    <t>BABY OF ELIZABETH KORNU</t>
  </si>
  <si>
    <t>AAB8136</t>
  </si>
  <si>
    <t>05/06/2025</t>
  </si>
  <si>
    <t>DAHINATU SAFIU</t>
  </si>
  <si>
    <t>AAA8271</t>
  </si>
  <si>
    <t>18/06/2025</t>
  </si>
  <si>
    <t>DAVID KUDROBUAMI</t>
  </si>
  <si>
    <t>AAE6020</t>
  </si>
  <si>
    <t>19/06/2025</t>
  </si>
  <si>
    <t>EMMANUEL KWASI ALORNYO</t>
  </si>
  <si>
    <t>AAG3095</t>
  </si>
  <si>
    <t>21/06/2025</t>
  </si>
  <si>
    <t>BAWA SANI</t>
  </si>
  <si>
    <t>AAG3142</t>
  </si>
  <si>
    <t>AFUA AJERU</t>
  </si>
  <si>
    <t>AAG3093</t>
  </si>
  <si>
    <t>29/06/2025</t>
  </si>
  <si>
    <t>ZIDA THERESA</t>
  </si>
  <si>
    <t>13 D</t>
  </si>
  <si>
    <t>17 D</t>
  </si>
  <si>
    <t>ALBERT K. AKYEREWA</t>
  </si>
  <si>
    <t>ADDRESS</t>
  </si>
  <si>
    <t>Age Groups</t>
  </si>
  <si>
    <t>Column Labels</t>
  </si>
  <si>
    <t>2025 JULY</t>
  </si>
  <si>
    <t>6 MTH</t>
  </si>
  <si>
    <t>4 MTH</t>
  </si>
  <si>
    <t>1  MTH</t>
  </si>
  <si>
    <t>10 MTH</t>
  </si>
  <si>
    <t>9 MTH</t>
  </si>
  <si>
    <t>8 MTH</t>
  </si>
  <si>
    <t>2 MTH</t>
  </si>
  <si>
    <t>7 MTH</t>
  </si>
  <si>
    <t>AGE BAND</t>
  </si>
  <si>
    <t>Row Labels</t>
  </si>
  <si>
    <t>Count of AGE</t>
  </si>
  <si>
    <t>Statement of In-patient Both Insured and Non</t>
  </si>
  <si>
    <t>AAG2993</t>
  </si>
  <si>
    <t>01/07/2025</t>
  </si>
  <si>
    <t>03/07/2025</t>
  </si>
  <si>
    <t>05/07/2025</t>
  </si>
  <si>
    <t>09/07/2025</t>
  </si>
  <si>
    <t>TORWORDZO ROBERT MENSAH</t>
  </si>
  <si>
    <t>AAG3548</t>
  </si>
  <si>
    <t>11/07/2025</t>
  </si>
  <si>
    <t>DAVID KUDZO GONYO</t>
  </si>
  <si>
    <t>AAC6528</t>
  </si>
  <si>
    <t>24/07/2025</t>
  </si>
  <si>
    <t>DANIEL WORLASI ADABRA</t>
  </si>
  <si>
    <t>AAA5188</t>
  </si>
  <si>
    <t>29/07/2025</t>
  </si>
  <si>
    <t>AMBROSE KWASHIE</t>
  </si>
  <si>
    <t>AAD3140</t>
  </si>
  <si>
    <t>ALICE AKUA TETTEY</t>
  </si>
  <si>
    <t>AAF6394</t>
  </si>
  <si>
    <t>JANET BOTSYOE</t>
  </si>
  <si>
    <t>AAB2740</t>
  </si>
  <si>
    <t>12/07/2025</t>
  </si>
  <si>
    <t>DORIS TETTEY</t>
  </si>
  <si>
    <t>REJOICE ABRA TEKPOR</t>
  </si>
  <si>
    <t>AAG4349</t>
  </si>
  <si>
    <t>28/07/2025</t>
  </si>
  <si>
    <t>JOYCE AGBEMENU</t>
  </si>
  <si>
    <t>AAE8334</t>
  </si>
  <si>
    <t>21/07/2025</t>
  </si>
  <si>
    <t>DESTINY GODWIN MAWUNYA VUKPOR</t>
  </si>
  <si>
    <t>21 MTH</t>
  </si>
  <si>
    <t>AAG4223</t>
  </si>
  <si>
    <t>19/07/2025</t>
  </si>
  <si>
    <t>BABY OF BRIDGET TSEYIBOR</t>
  </si>
  <si>
    <t>AAG3921</t>
  </si>
  <si>
    <t>BABY OF FOLI MAWUNYA</t>
  </si>
  <si>
    <t>12 DAYS</t>
  </si>
  <si>
    <t>AAO2127</t>
  </si>
  <si>
    <t>AAE1996</t>
  </si>
  <si>
    <t>VICTORIA KUDAH</t>
  </si>
  <si>
    <t>LINDA BOKORKOR</t>
  </si>
  <si>
    <t>AAC5987</t>
  </si>
  <si>
    <t>AAG4193</t>
  </si>
  <si>
    <t>EMMANUEL TORKPO</t>
  </si>
  <si>
    <t>ROSE ROSE</t>
  </si>
  <si>
    <t>AAG3968</t>
  </si>
  <si>
    <t>JULY DEATHS 2025</t>
  </si>
  <si>
    <t>3 MTH</t>
  </si>
  <si>
    <t>5 MTH</t>
  </si>
  <si>
    <t>11 MTH</t>
  </si>
  <si>
    <t>AUGUST 2025</t>
  </si>
  <si>
    <t>03/08/2025</t>
  </si>
  <si>
    <t>RAYMOND GLADZA</t>
  </si>
  <si>
    <t>AAA5999</t>
  </si>
  <si>
    <t>AAG4934</t>
  </si>
  <si>
    <t>05/08/2025</t>
  </si>
  <si>
    <t>ANKU JOHN</t>
  </si>
  <si>
    <t>AAG4687</t>
  </si>
  <si>
    <t>09/08/2025</t>
  </si>
  <si>
    <t>EMMANUEL ASHONG</t>
  </si>
  <si>
    <t>13/08/2025</t>
  </si>
  <si>
    <t>AAA7735</t>
  </si>
  <si>
    <t>FRANK ABROKWA</t>
  </si>
  <si>
    <t>15/08/2025</t>
  </si>
  <si>
    <t>AAE1895</t>
  </si>
  <si>
    <t>FRANCIS PRAWU</t>
  </si>
  <si>
    <t>21/08/2025</t>
  </si>
  <si>
    <t>AAF0851</t>
  </si>
  <si>
    <t>TSIGBE RICHARD</t>
  </si>
  <si>
    <t>24/08/2025</t>
  </si>
  <si>
    <t>AAG5917</t>
  </si>
  <si>
    <t>OBROTEY MARTIN</t>
  </si>
  <si>
    <t>04/08/2025</t>
  </si>
  <si>
    <t>AAL5593</t>
  </si>
  <si>
    <t>FITY JOSEPHINE</t>
  </si>
  <si>
    <t>AAE5150</t>
  </si>
  <si>
    <t>08/08/2025</t>
  </si>
  <si>
    <t>FRANCISCA HAYIBOR</t>
  </si>
  <si>
    <t>10/08/2025</t>
  </si>
  <si>
    <t>AAF7613</t>
  </si>
  <si>
    <t>FLORENCE NENE</t>
  </si>
  <si>
    <t>11/08/2025</t>
  </si>
  <si>
    <t>BERTHA ASEMPI</t>
  </si>
  <si>
    <t>AAG3345</t>
  </si>
  <si>
    <t>AAD5984</t>
  </si>
  <si>
    <t>16/08/2025</t>
  </si>
  <si>
    <t>VERONICA FOOLI</t>
  </si>
  <si>
    <t>AAF4209</t>
  </si>
  <si>
    <t>CHARITY ADJEI</t>
  </si>
  <si>
    <t>17/08/2025</t>
  </si>
  <si>
    <t>AAG5141</t>
  </si>
  <si>
    <t>NIMON BIENVENU</t>
  </si>
  <si>
    <t>AAG5230</t>
  </si>
  <si>
    <t>BABY OF PEACE AFENYO</t>
  </si>
  <si>
    <t>AAG5546</t>
  </si>
  <si>
    <t>19/08/2025</t>
  </si>
  <si>
    <t>BABY OF SENA AMI ADEGBEDZI</t>
  </si>
  <si>
    <t>4 DAY</t>
  </si>
  <si>
    <t>AAD0145</t>
  </si>
  <si>
    <t>AAC2408</t>
  </si>
  <si>
    <t>02/08/2025</t>
  </si>
  <si>
    <t>AMINA MORO</t>
  </si>
  <si>
    <t>CECILIA ADZIMAH</t>
  </si>
  <si>
    <t>BENJAMIN APPIAH</t>
  </si>
  <si>
    <t>AAE9500</t>
  </si>
  <si>
    <t>SEYRAM KWAKUDUA</t>
  </si>
  <si>
    <t>AAC1108</t>
  </si>
  <si>
    <t>SETH WALTER KPETSE</t>
  </si>
  <si>
    <t>GIFTY DOGBEY</t>
  </si>
  <si>
    <t>AAG4941</t>
  </si>
  <si>
    <t>AAG8365</t>
  </si>
  <si>
    <t>DEATHS FOR AUGUST 2025</t>
  </si>
  <si>
    <t>Address</t>
  </si>
  <si>
    <t>Referral</t>
  </si>
  <si>
    <t xml:space="preserve"> JULY</t>
  </si>
  <si>
    <t>MONTHLY BED UTILIZATION FORM - 3RD QUARTER, 2025</t>
  </si>
  <si>
    <t>AAG6399</t>
  </si>
  <si>
    <t>04/09/2025</t>
  </si>
  <si>
    <t>SAMPSOM NYANKU</t>
  </si>
  <si>
    <t>AAL4090</t>
  </si>
  <si>
    <t>06/09/2025</t>
  </si>
  <si>
    <t>SELORM ATTOH</t>
  </si>
  <si>
    <t>SEPTEMBER 2025</t>
  </si>
  <si>
    <t>AAC7874</t>
  </si>
  <si>
    <t>08/09/2025</t>
  </si>
  <si>
    <t>ALEX KUMA</t>
  </si>
  <si>
    <t>AAC1900</t>
  </si>
  <si>
    <t>11/09/2025</t>
  </si>
  <si>
    <t>EMMANUEL MENSAH</t>
  </si>
  <si>
    <t>AAC7368</t>
  </si>
  <si>
    <t>14/09/2025</t>
  </si>
  <si>
    <t>GLI JOHNSON</t>
  </si>
  <si>
    <t>AAG6273</t>
  </si>
  <si>
    <t>PEACE HOMENYNO</t>
  </si>
  <si>
    <t>AAG6523</t>
  </si>
  <si>
    <t>FLORENCE AWUVE</t>
  </si>
  <si>
    <t>AAG5459</t>
  </si>
  <si>
    <t>PEACE AMUZU</t>
  </si>
  <si>
    <t>AAB7177</t>
  </si>
  <si>
    <t>10/09/2025</t>
  </si>
  <si>
    <t>MUSTAPHA MUMUNI</t>
  </si>
  <si>
    <t>Grand Total</t>
  </si>
  <si>
    <t>10-14 Years</t>
  </si>
  <si>
    <t>15-17 Years</t>
  </si>
  <si>
    <t>18-19 Years</t>
  </si>
  <si>
    <t>20-34 Years</t>
  </si>
  <si>
    <t>35-49 Years</t>
  </si>
  <si>
    <t>50-59 Years</t>
  </si>
  <si>
    <t>60-69 Years</t>
  </si>
  <si>
    <t>70+ Years</t>
  </si>
  <si>
    <t xml:space="preserve"> 0 D</t>
  </si>
  <si>
    <t>AAB5804</t>
  </si>
  <si>
    <t>19/09/2025</t>
  </si>
  <si>
    <t>AVORNYO PROSPER</t>
  </si>
  <si>
    <t>AAC6908</t>
  </si>
  <si>
    <t>22/09/2025</t>
  </si>
  <si>
    <t>MOHAMMED AWAL NUHU</t>
  </si>
  <si>
    <t>24/09/2025</t>
  </si>
  <si>
    <t>AAF2826</t>
  </si>
  <si>
    <t>ALHAJI IBRAHIM ABUBAKARI</t>
  </si>
  <si>
    <t>AAB0400</t>
  </si>
  <si>
    <t>29/09/2025</t>
  </si>
  <si>
    <t>TSE SIMON NYANSAH</t>
  </si>
  <si>
    <t>AAG7312</t>
  </si>
  <si>
    <t>BABY OF MAMA ZAWARIA</t>
  </si>
  <si>
    <t>DEATHS FOR SEPTEMBER 2025</t>
  </si>
  <si>
    <t>&gt;5 malaria</t>
  </si>
  <si>
    <t>&lt;5 malaria</t>
  </si>
  <si>
    <t>&lt;5 malaria death</t>
  </si>
  <si>
    <t>&gt;5 malaria death</t>
  </si>
  <si>
    <t>Malaria Cases</t>
  </si>
  <si>
    <t xml:space="preserve">Non-Insured Attendants </t>
  </si>
  <si>
    <t>Admissions       M/F</t>
  </si>
  <si>
    <t>Discharges         M/F</t>
  </si>
  <si>
    <t>Deaths                 M/F</t>
  </si>
  <si>
    <r>
      <t>Deaths &lt;</t>
    </r>
    <r>
      <rPr>
        <b/>
        <sz val="11.65"/>
        <rFont val="Arial"/>
        <family val="2"/>
      </rPr>
      <t>24Hrs                M/F</t>
    </r>
  </si>
  <si>
    <t>Transfers-In                  M/F</t>
  </si>
  <si>
    <t>Transfers-Out               M/F</t>
  </si>
  <si>
    <t>No. of Patients Remaning In Ward    M/F</t>
  </si>
  <si>
    <t>OCTOBER  M/F</t>
  </si>
  <si>
    <t>DEATHS FOR OCT, 2025</t>
  </si>
  <si>
    <t>AAG7623</t>
  </si>
  <si>
    <t>03/10/2025</t>
  </si>
  <si>
    <t>Kludze George</t>
  </si>
  <si>
    <t>AAG7833</t>
  </si>
  <si>
    <t>07/10/2025</t>
  </si>
  <si>
    <t>Wormeyo Emmanuel</t>
  </si>
  <si>
    <t>AAG8596</t>
  </si>
  <si>
    <t>20/10/2025</t>
  </si>
  <si>
    <t>Venya Francis</t>
  </si>
  <si>
    <t>AAB5641</t>
  </si>
  <si>
    <t>01/10/2025</t>
  </si>
  <si>
    <t>Adorsu Hope Arnold</t>
  </si>
  <si>
    <t>AAC9868</t>
  </si>
  <si>
    <t>02/10/2025</t>
  </si>
  <si>
    <t>Joseph Freewill Asem</t>
  </si>
  <si>
    <t>AAE4844</t>
  </si>
  <si>
    <t>Pongo John</t>
  </si>
  <si>
    <t>Dzamboe Eric Aaron</t>
  </si>
  <si>
    <t>AAG7700</t>
  </si>
  <si>
    <t>13/10/2025</t>
  </si>
  <si>
    <t>Dzebu Samuel</t>
  </si>
  <si>
    <t>21/10/2025</t>
  </si>
  <si>
    <t>AAE6844</t>
  </si>
  <si>
    <t>12/10/2025</t>
  </si>
  <si>
    <t>Attu Janet</t>
  </si>
  <si>
    <t>AAC3862</t>
  </si>
  <si>
    <t>Sani Fati</t>
  </si>
  <si>
    <t>AAA7228</t>
  </si>
  <si>
    <t>Ayim Fafa</t>
  </si>
  <si>
    <t>AAF8439</t>
  </si>
  <si>
    <t>17/10/2025</t>
  </si>
  <si>
    <t>Asamoah Mirabel</t>
  </si>
  <si>
    <t>AAG5960</t>
  </si>
  <si>
    <t>19/10/2025</t>
  </si>
  <si>
    <t>Baby of Nutsugah Priscilla</t>
  </si>
  <si>
    <t xml:space="preserve">F </t>
  </si>
  <si>
    <t>AAG7801</t>
  </si>
  <si>
    <t>05/10/2025</t>
  </si>
  <si>
    <t>Baby of Adoh Kayile</t>
  </si>
  <si>
    <t xml:space="preserve"> NICU</t>
  </si>
  <si>
    <t>AAG8584</t>
  </si>
  <si>
    <t>Baby Folikumah Beauty</t>
  </si>
  <si>
    <t>Blk/F</t>
  </si>
  <si>
    <t>DEATHS FOR OCTOBER 2025</t>
  </si>
  <si>
    <t>Blk H</t>
  </si>
  <si>
    <t>November  M/F</t>
  </si>
  <si>
    <t>AAA8553</t>
  </si>
  <si>
    <t>27/10/2025</t>
  </si>
  <si>
    <t>COMFORT AGBENORTO</t>
  </si>
  <si>
    <t>AAE5005</t>
  </si>
  <si>
    <t>28/10/2025</t>
  </si>
  <si>
    <t>FAUSTINA AKOM</t>
  </si>
  <si>
    <t>Blk G</t>
  </si>
  <si>
    <t>1 mth</t>
  </si>
  <si>
    <t>5 mth</t>
  </si>
  <si>
    <t>11 mth</t>
  </si>
  <si>
    <t>4 mth</t>
  </si>
  <si>
    <t>6 mth</t>
  </si>
  <si>
    <t>3 mth</t>
  </si>
  <si>
    <t>8 mth</t>
  </si>
  <si>
    <t>28 d</t>
  </si>
  <si>
    <t>9 mth</t>
  </si>
  <si>
    <t>0 d</t>
  </si>
  <si>
    <t>1 d</t>
  </si>
  <si>
    <t>5 d</t>
  </si>
  <si>
    <t>7 d</t>
  </si>
  <si>
    <t>2 d</t>
  </si>
  <si>
    <t>13 d</t>
  </si>
  <si>
    <t>8 d</t>
  </si>
  <si>
    <t>12 d</t>
  </si>
  <si>
    <t>6 d</t>
  </si>
  <si>
    <t>4 d</t>
  </si>
  <si>
    <t>3 d</t>
  </si>
  <si>
    <t>0-28 Days</t>
  </si>
  <si>
    <t>1-11 Months</t>
  </si>
  <si>
    <t>1-4 Years</t>
  </si>
  <si>
    <t>5-9 Years</t>
  </si>
  <si>
    <t>10 mth</t>
  </si>
  <si>
    <t>7 mth</t>
  </si>
  <si>
    <t>2 mth</t>
  </si>
  <si>
    <t>BLK/F</t>
  </si>
  <si>
    <t>BLK/G</t>
  </si>
  <si>
    <t>BLK/H</t>
  </si>
  <si>
    <t>19 d</t>
  </si>
  <si>
    <t>10 d</t>
  </si>
  <si>
    <t>23 d</t>
  </si>
  <si>
    <t>AAA9333</t>
  </si>
  <si>
    <t>06/11/2025</t>
  </si>
  <si>
    <t>FRANCIS AMEGATSE</t>
  </si>
  <si>
    <t>AAE0493</t>
  </si>
  <si>
    <t>08/11/2025</t>
  </si>
  <si>
    <t>25/11/2025</t>
  </si>
  <si>
    <t>07/11/2025</t>
  </si>
  <si>
    <t>17/11/2025</t>
  </si>
  <si>
    <t>19/11/2025</t>
  </si>
  <si>
    <t>20/11/2025</t>
  </si>
  <si>
    <t>EPHRAIM ADIO</t>
  </si>
  <si>
    <t>EMMANUEL FITI</t>
  </si>
  <si>
    <t>AAA8591</t>
  </si>
  <si>
    <t>AAA9713</t>
  </si>
  <si>
    <t>11/11/2025</t>
  </si>
  <si>
    <t>AFETI TORNYI</t>
  </si>
  <si>
    <t>AAD3555</t>
  </si>
  <si>
    <t>AAE1026</t>
  </si>
  <si>
    <t>AAD6664</t>
  </si>
  <si>
    <t>MARTIN BUTAH</t>
  </si>
  <si>
    <t>AFANI MORDZINU</t>
  </si>
  <si>
    <t>HOPE AYIVOR</t>
  </si>
  <si>
    <t>12/11/2025</t>
  </si>
  <si>
    <t>15/11/2025</t>
  </si>
  <si>
    <t>AAG0952</t>
  </si>
  <si>
    <t>SIEGFRIED YEBBI</t>
  </si>
  <si>
    <t>AAG8288</t>
  </si>
  <si>
    <t xml:space="preserve">KAMPO JOHN </t>
  </si>
  <si>
    <t>AAD6224</t>
  </si>
  <si>
    <t>ALFRED NORMANYO</t>
  </si>
  <si>
    <t>AAG9611</t>
  </si>
  <si>
    <t>PHILLIP DZORNU</t>
  </si>
  <si>
    <t>24/11/2026</t>
  </si>
  <si>
    <t>AAG9964</t>
  </si>
  <si>
    <t>ERIC ASEM</t>
  </si>
  <si>
    <t>03/11/2025</t>
  </si>
  <si>
    <t>AAC5596</t>
  </si>
  <si>
    <t>LUCY GOZAH</t>
  </si>
  <si>
    <t>AAG8969</t>
  </si>
  <si>
    <t>05/11/2025</t>
  </si>
  <si>
    <t>EVELYN LANDE</t>
  </si>
  <si>
    <t>AAE9586</t>
  </si>
  <si>
    <t>ALLAVI ELIZABETH</t>
  </si>
  <si>
    <t>AAG9237</t>
  </si>
  <si>
    <t>BERNICE AVORNYO</t>
  </si>
  <si>
    <t>AAP2449</t>
  </si>
  <si>
    <t>CECILIA OWUSU</t>
  </si>
  <si>
    <t>AAF4268</t>
  </si>
  <si>
    <t>PHILIP KWAME MIKADO</t>
  </si>
  <si>
    <t>AAG9662</t>
  </si>
  <si>
    <t>BABY OF ADUKPO ESTHER</t>
  </si>
  <si>
    <t>AAE0475</t>
  </si>
  <si>
    <t>29/11/2025</t>
  </si>
  <si>
    <t>BABAY OF DONKOR ANNIE</t>
  </si>
  <si>
    <t>AAG5670</t>
  </si>
  <si>
    <t>09/11/2025</t>
  </si>
  <si>
    <t>BERNICE AHIABU</t>
  </si>
  <si>
    <t>AAG9221</t>
  </si>
  <si>
    <t>14/11/2025</t>
  </si>
  <si>
    <t>CONFIDENCE EMMANUEL BOON</t>
  </si>
  <si>
    <t>AAB1487</t>
  </si>
  <si>
    <t>21/11/2025</t>
  </si>
  <si>
    <t xml:space="preserve">ADIZA ADAM </t>
  </si>
  <si>
    <t>AAH0213</t>
  </si>
  <si>
    <t>23/11/2025</t>
  </si>
  <si>
    <t>HELEN DORTSU</t>
  </si>
  <si>
    <t>AAD9380</t>
  </si>
  <si>
    <t>JEREMIAH OYINTEY</t>
  </si>
  <si>
    <t>Deaths Nov 2025</t>
  </si>
  <si>
    <t>DEATHS FOR NOVEMBER 2025</t>
  </si>
  <si>
    <t>AAG9703</t>
  </si>
  <si>
    <t>STEPHEN BOEMAH</t>
  </si>
  <si>
    <t>DECEMBER  M/F</t>
  </si>
  <si>
    <t xml:space="preserve">DEATHS FOR DECEMBER </t>
  </si>
  <si>
    <t>AAA8872</t>
  </si>
  <si>
    <t>02/12/2025</t>
  </si>
  <si>
    <t xml:space="preserve">EMMANUEL KWAKU TSOGBE </t>
  </si>
  <si>
    <t>AAH0581</t>
  </si>
  <si>
    <t>GATOR ALEX</t>
  </si>
  <si>
    <t>03/12/2025</t>
  </si>
  <si>
    <t>04/12/2025</t>
  </si>
  <si>
    <t>05/12/2025</t>
  </si>
  <si>
    <t>08/12/2025</t>
  </si>
  <si>
    <t>09/12/2025</t>
  </si>
  <si>
    <t>AAE8745</t>
  </si>
  <si>
    <t>EMMANUEL LARNYO</t>
  </si>
  <si>
    <t>AAG9572</t>
  </si>
  <si>
    <t>SOLOMON MENSAH</t>
  </si>
  <si>
    <t>AAH0637</t>
  </si>
  <si>
    <t>10/12/2025</t>
  </si>
  <si>
    <t>RUBEN ASIMATEY</t>
  </si>
  <si>
    <t>AAH0994</t>
  </si>
  <si>
    <t>12/12/2025</t>
  </si>
  <si>
    <t>ALEX KUMORDZI</t>
  </si>
  <si>
    <t>AAB9422</t>
  </si>
  <si>
    <t>14/12/2025</t>
  </si>
  <si>
    <t>DZIMAN KUSE</t>
  </si>
  <si>
    <t>AAF9885</t>
  </si>
  <si>
    <t>19/12/2025</t>
  </si>
  <si>
    <t>THOMAS AKOTO EKPEDZOR</t>
  </si>
  <si>
    <t>AAF5836</t>
  </si>
  <si>
    <t>20/12/2025</t>
  </si>
  <si>
    <t>SAMUEL ASHONG</t>
  </si>
  <si>
    <t>AAH1148</t>
  </si>
  <si>
    <t>21/12/2025</t>
  </si>
  <si>
    <t>UKNOWN PERSON</t>
  </si>
  <si>
    <t>AAH1381</t>
  </si>
  <si>
    <t>25/12/2025</t>
  </si>
  <si>
    <t>RICHARD AKORDEY</t>
  </si>
  <si>
    <t>AAF9881</t>
  </si>
  <si>
    <t>26/12/2025</t>
  </si>
  <si>
    <t>AGBEKO AHADZI</t>
  </si>
  <si>
    <t>AAH0668</t>
  </si>
  <si>
    <t>01/12/2025</t>
  </si>
  <si>
    <t>MERCY SOTI</t>
  </si>
  <si>
    <t>AAD7618</t>
  </si>
  <si>
    <t>MARGARET BOTWE</t>
  </si>
  <si>
    <t>AAB0399</t>
  </si>
  <si>
    <t>DONKOR FAUSTINE</t>
  </si>
  <si>
    <t>AAG0028</t>
  </si>
  <si>
    <t>15/12/2025</t>
  </si>
  <si>
    <t>HELLEN ATTAH</t>
  </si>
  <si>
    <t>AAH1127</t>
  </si>
  <si>
    <t>17/12/2025</t>
  </si>
  <si>
    <t>AKU KOMU</t>
  </si>
  <si>
    <t>AAD5620</t>
  </si>
  <si>
    <t>23/12/2025</t>
  </si>
  <si>
    <t>EUGENIA AFEKE</t>
  </si>
  <si>
    <t>AAG0029</t>
  </si>
  <si>
    <t>GETRUDE AFI TOMETEY</t>
  </si>
  <si>
    <t>KAFUI ADABOE</t>
  </si>
  <si>
    <t>AAD8531</t>
  </si>
  <si>
    <t>AAA0658</t>
  </si>
  <si>
    <t>OTUABU MIRIAM</t>
  </si>
  <si>
    <t>AAH0576</t>
  </si>
  <si>
    <t>BABY OF PATRICIA KOMLATSE</t>
  </si>
  <si>
    <t>DAY 5</t>
  </si>
  <si>
    <t>AAG9973</t>
  </si>
  <si>
    <t>BABY OF AURELIA ZILEVU</t>
  </si>
  <si>
    <t>DAY 18</t>
  </si>
  <si>
    <t>AAH0934</t>
  </si>
  <si>
    <t>BABY OF JULLIET NYAMESI</t>
  </si>
  <si>
    <t>DAY 3</t>
  </si>
  <si>
    <t>AAH1418</t>
  </si>
  <si>
    <t>22/12/2025</t>
  </si>
  <si>
    <t>BABY OF ALHASSAN SADIA</t>
  </si>
  <si>
    <t>DAY 4</t>
  </si>
  <si>
    <t>AAH0104</t>
  </si>
  <si>
    <t xml:space="preserve">BABY OF ESTHER ADDAE </t>
  </si>
  <si>
    <t>AAA0696</t>
  </si>
  <si>
    <t>JOSEPH AKPETEY</t>
  </si>
  <si>
    <t>AAH0332</t>
  </si>
  <si>
    <t>FUSEINI IDRISU</t>
  </si>
  <si>
    <t>AAA4696</t>
  </si>
  <si>
    <t xml:space="preserve">JOSHUA ATSU </t>
  </si>
  <si>
    <t>AAH1084</t>
  </si>
  <si>
    <t>MENSAH MELTIME</t>
  </si>
  <si>
    <t>AAH1197</t>
  </si>
  <si>
    <t>CHRISTOPH DZORDZORBU</t>
  </si>
  <si>
    <t>AAH1422</t>
  </si>
  <si>
    <t>PAULINA AKPAH</t>
  </si>
  <si>
    <t>AAH1366</t>
  </si>
  <si>
    <t>27/12/2025</t>
  </si>
  <si>
    <t>MORKLI GODSWAY</t>
  </si>
  <si>
    <t>DEATHS FOR DECEMBER 2025</t>
  </si>
  <si>
    <t>AAH0658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</si>
</sst>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[Red]\(0.00\)"/>
  </numFmts>
  <fonts count="4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11.65"/>
      <name val="Arial"/>
      <family val="2"/>
    </font>
    <font>
      <b/>
      <sz val="10"/>
      <name val="Arial"/>
      <family val="2"/>
    </font>
    <font>
      <sz val="1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4"/>
      <color theme="1"/>
      <name val="Arial Narrow"/>
      <family val="2"/>
    </font>
    <font>
      <b/>
      <sz val="22"/>
      <color theme="1"/>
      <name val="Arial Narrow"/>
      <family val="2"/>
    </font>
    <font>
      <b/>
      <sz val="14"/>
      <color theme="1"/>
      <name val="Arial Narrow"/>
      <family val="2"/>
    </font>
    <font>
      <b/>
      <sz val="20"/>
      <name val="Times New Roman"/>
      <family val="1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name val="Arial Narrow"/>
      <family val="2"/>
    </font>
    <font>
      <sz val="14"/>
      <name val="Arial Narrow"/>
      <family val="2"/>
    </font>
    <font>
      <b/>
      <sz val="10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2"/>
    </font>
    <font>
      <b/>
      <sz val="11"/>
      <color theme="1"/>
      <name val="Times New Roman"/>
      <family val="1"/>
    </font>
    <font>
      <sz val="11"/>
      <color rgb="FF00B050"/>
      <name val="Calibri"/>
      <family val="2"/>
      <scheme val="minor"/>
    </font>
    <font>
      <b/>
      <sz val="10"/>
      <color rgb="FFFF0000"/>
      <name val="Times New Roman"/>
      <family val="1"/>
    </font>
    <font>
      <sz val="11"/>
      <color rgb="FFFF0000"/>
      <name val="Times New Roman"/>
      <family val="1"/>
    </font>
    <font>
      <sz val="11"/>
      <color rgb="FFFF0000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2"/>
    </font>
    <font>
      <sz val="12"/>
      <color theme="1"/>
      <name val="Times New Roman"/>
      <family val="1"/>
    </font>
    <font>
      <sz val="10"/>
      <color theme="1"/>
      <name val="Times New Roman"/>
      <family val="2"/>
    </font>
    <font>
      <b/>
      <sz val="10"/>
      <color rgb="FF000000"/>
      <name val="Segoe UI"/>
      <family val="2"/>
    </font>
    <font>
      <sz val="10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b/>
      <sz val="11"/>
      <color rgb="FFED0000"/>
      <name val="Calibri"/>
      <family val="2"/>
      <scheme val="minor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rgb="FFDDDDDD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741">
    <xf numFmtId="0" fontId="0" fillId="0" borderId="0" xfId="0"/>
    <xf numFmtId="0" fontId="3" fillId="0" borderId="4" xfId="0" applyFont="1" applyBorder="1"/>
    <xf numFmtId="0" fontId="0" fillId="0" borderId="5" xfId="0" applyBorder="1"/>
    <xf numFmtId="0" fontId="3" fillId="0" borderId="6" xfId="0" applyFont="1" applyBorder="1"/>
    <xf numFmtId="0" fontId="4" fillId="0" borderId="4" xfId="0" applyFont="1" applyBorder="1"/>
    <xf numFmtId="0" fontId="0" fillId="0" borderId="4" xfId="0" applyBorder="1"/>
    <xf numFmtId="0" fontId="8" fillId="0" borderId="4" xfId="0" applyFont="1" applyBorder="1"/>
    <xf numFmtId="0" fontId="5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4" xfId="0" applyFont="1" applyBorder="1"/>
    <xf numFmtId="0" fontId="2" fillId="0" borderId="4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4" fillId="0" borderId="16" xfId="0" applyFont="1" applyBorder="1"/>
    <xf numFmtId="0" fontId="4" fillId="0" borderId="17" xfId="0" applyFont="1" applyBorder="1"/>
    <xf numFmtId="0" fontId="0" fillId="0" borderId="17" xfId="0" applyBorder="1"/>
    <xf numFmtId="0" fontId="3" fillId="0" borderId="17" xfId="0" applyFont="1" applyBorder="1"/>
    <xf numFmtId="0" fontId="8" fillId="0" borderId="20" xfId="0" applyFont="1" applyBorder="1"/>
    <xf numFmtId="0" fontId="3" fillId="0" borderId="21" xfId="0" applyFont="1" applyBorder="1"/>
    <xf numFmtId="0" fontId="3" fillId="0" borderId="22" xfId="0" applyFont="1" applyBorder="1"/>
    <xf numFmtId="0" fontId="0" fillId="0" borderId="23" xfId="0" applyBorder="1"/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/>
    <xf numFmtId="0" fontId="0" fillId="0" borderId="11" xfId="0" applyBorder="1" applyAlignment="1">
      <alignment vertical="center"/>
    </xf>
    <xf numFmtId="0" fontId="7" fillId="0" borderId="4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0" fillId="0" borderId="31" xfId="0" applyBorder="1" applyAlignment="1">
      <alignment horizontal="center" vertical="center"/>
    </xf>
    <xf numFmtId="0" fontId="0" fillId="0" borderId="12" xfId="0" applyBorder="1"/>
    <xf numFmtId="0" fontId="0" fillId="0" borderId="24" xfId="0" applyBorder="1"/>
    <xf numFmtId="0" fontId="3" fillId="0" borderId="16" xfId="0" applyFont="1" applyBorder="1"/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20" xfId="0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5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0" fillId="0" borderId="20" xfId="0" applyBorder="1"/>
    <xf numFmtId="0" fontId="2" fillId="0" borderId="21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11" xfId="0" applyBorder="1"/>
    <xf numFmtId="0" fontId="2" fillId="0" borderId="14" xfId="0" applyFont="1" applyBorder="1"/>
    <xf numFmtId="0" fontId="2" fillId="0" borderId="15" xfId="0" applyFont="1" applyBorder="1"/>
    <xf numFmtId="0" fontId="2" fillId="0" borderId="13" xfId="0" applyFont="1" applyBorder="1"/>
    <xf numFmtId="0" fontId="13" fillId="0" borderId="17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17" fillId="0" borderId="2" xfId="0" applyFont="1" applyBorder="1" applyAlignment="1">
      <alignment vertical="center"/>
    </xf>
    <xf numFmtId="0" fontId="15" fillId="0" borderId="0" xfId="0" applyFont="1"/>
    <xf numFmtId="0" fontId="19" fillId="0" borderId="0" xfId="0" applyFont="1"/>
    <xf numFmtId="0" fontId="12" fillId="0" borderId="28" xfId="0" applyFont="1" applyBorder="1" applyAlignment="1">
      <alignment vertical="center"/>
    </xf>
    <xf numFmtId="0" fontId="19" fillId="0" borderId="3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2" fontId="19" fillId="0" borderId="26" xfId="0" applyNumberFormat="1" applyFont="1" applyBorder="1" applyAlignment="1">
      <alignment horizontal="center" vertical="center"/>
    </xf>
    <xf numFmtId="2" fontId="19" fillId="0" borderId="12" xfId="0" applyNumberFormat="1" applyFont="1" applyBorder="1" applyAlignment="1">
      <alignment horizontal="center" vertical="center"/>
    </xf>
    <xf numFmtId="164" fontId="19" fillId="0" borderId="12" xfId="0" applyNumberFormat="1" applyFont="1" applyBorder="1" applyAlignment="1">
      <alignment horizontal="center" vertical="center"/>
    </xf>
    <xf numFmtId="2" fontId="19" fillId="0" borderId="33" xfId="0" applyNumberFormat="1" applyFont="1" applyBorder="1" applyAlignment="1">
      <alignment horizontal="center" vertical="center"/>
    </xf>
    <xf numFmtId="2" fontId="19" fillId="0" borderId="24" xfId="0" applyNumberFormat="1" applyFont="1" applyBorder="1" applyAlignment="1">
      <alignment horizontal="center" vertical="center"/>
    </xf>
    <xf numFmtId="0" fontId="12" fillId="0" borderId="29" xfId="0" applyFont="1" applyBorder="1" applyAlignment="1">
      <alignment vertical="center"/>
    </xf>
    <xf numFmtId="0" fontId="19" fillId="0" borderId="6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64" fontId="19" fillId="0" borderId="4" xfId="0" applyNumberFormat="1" applyFont="1" applyBorder="1" applyAlignment="1">
      <alignment horizontal="center" vertical="center"/>
    </xf>
    <xf numFmtId="2" fontId="19" fillId="0" borderId="4" xfId="0" applyNumberFormat="1" applyFont="1" applyBorder="1" applyAlignment="1">
      <alignment horizontal="center" vertical="center"/>
    </xf>
    <xf numFmtId="2" fontId="19" fillId="0" borderId="5" xfId="0" applyNumberFormat="1" applyFont="1" applyBorder="1" applyAlignment="1">
      <alignment horizontal="center" vertical="center"/>
    </xf>
    <xf numFmtId="0" fontId="12" fillId="0" borderId="30" xfId="0" applyFont="1" applyBorder="1" applyAlignment="1">
      <alignment vertical="center"/>
    </xf>
    <xf numFmtId="0" fontId="19" fillId="0" borderId="9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2" fontId="19" fillId="0" borderId="36" xfId="0" applyNumberFormat="1" applyFont="1" applyBorder="1" applyAlignment="1">
      <alignment horizontal="center" vertical="center"/>
    </xf>
    <xf numFmtId="2" fontId="19" fillId="0" borderId="37" xfId="0" applyNumberFormat="1" applyFont="1" applyBorder="1" applyAlignment="1">
      <alignment horizontal="center" vertical="center"/>
    </xf>
    <xf numFmtId="164" fontId="19" fillId="0" borderId="10" xfId="0" applyNumberFormat="1" applyFont="1" applyBorder="1" applyAlignment="1">
      <alignment horizontal="center" vertical="center"/>
    </xf>
    <xf numFmtId="2" fontId="19" fillId="0" borderId="38" xfId="0" applyNumberFormat="1" applyFont="1" applyBorder="1" applyAlignment="1">
      <alignment horizontal="center" vertical="center"/>
    </xf>
    <xf numFmtId="2" fontId="19" fillId="0" borderId="10" xfId="0" applyNumberFormat="1" applyFont="1" applyBorder="1" applyAlignment="1">
      <alignment horizontal="center" vertical="center"/>
    </xf>
    <xf numFmtId="0" fontId="12" fillId="0" borderId="8" xfId="0" applyFont="1" applyBorder="1"/>
    <xf numFmtId="0" fontId="21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1" fillId="0" borderId="32" xfId="0" applyFont="1" applyBorder="1" applyAlignment="1">
      <alignment horizontal="center"/>
    </xf>
    <xf numFmtId="0" fontId="21" fillId="0" borderId="8" xfId="0" applyFont="1" applyBorder="1" applyAlignment="1">
      <alignment horizontal="center"/>
    </xf>
    <xf numFmtId="2" fontId="21" fillId="0" borderId="14" xfId="0" applyNumberFormat="1" applyFont="1" applyBorder="1" applyAlignment="1">
      <alignment horizontal="center" vertical="center"/>
    </xf>
    <xf numFmtId="164" fontId="21" fillId="0" borderId="14" xfId="0" applyNumberFormat="1" applyFont="1" applyBorder="1" applyAlignment="1">
      <alignment horizontal="center" vertical="center"/>
    </xf>
    <xf numFmtId="2" fontId="21" fillId="0" borderId="34" xfId="0" applyNumberFormat="1" applyFont="1" applyBorder="1" applyAlignment="1">
      <alignment horizontal="center" vertical="center"/>
    </xf>
    <xf numFmtId="2" fontId="21" fillId="0" borderId="15" xfId="0" applyNumberFormat="1" applyFont="1" applyBorder="1" applyAlignment="1">
      <alignment horizontal="center" vertical="center"/>
    </xf>
    <xf numFmtId="0" fontId="21" fillId="0" borderId="0" xfId="0" applyFont="1"/>
    <xf numFmtId="0" fontId="19" fillId="0" borderId="26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164" fontId="19" fillId="0" borderId="37" xfId="0" applyNumberFormat="1" applyFont="1" applyBorder="1" applyAlignment="1">
      <alignment horizontal="center" vertical="center"/>
    </xf>
    <xf numFmtId="2" fontId="19" fillId="0" borderId="39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vertical="center"/>
    </xf>
    <xf numFmtId="0" fontId="21" fillId="0" borderId="13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2" fontId="21" fillId="0" borderId="25" xfId="0" applyNumberFormat="1" applyFont="1" applyBorder="1" applyAlignment="1">
      <alignment horizontal="center" vertical="center"/>
    </xf>
    <xf numFmtId="2" fontId="21" fillId="0" borderId="32" xfId="0" applyNumberFormat="1" applyFont="1" applyBorder="1" applyAlignment="1">
      <alignment horizontal="center" vertical="center"/>
    </xf>
    <xf numFmtId="164" fontId="19" fillId="0" borderId="33" xfId="0" applyNumberFormat="1" applyFont="1" applyBorder="1" applyAlignment="1">
      <alignment horizontal="center" vertical="center"/>
    </xf>
    <xf numFmtId="164" fontId="19" fillId="0" borderId="24" xfId="0" applyNumberFormat="1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164" fontId="19" fillId="0" borderId="38" xfId="0" applyNumberFormat="1" applyFont="1" applyBorder="1" applyAlignment="1">
      <alignment horizontal="center" vertical="center"/>
    </xf>
    <xf numFmtId="164" fontId="19" fillId="0" borderId="39" xfId="0" applyNumberFormat="1" applyFont="1" applyBorder="1" applyAlignment="1">
      <alignment horizontal="center" vertical="center"/>
    </xf>
    <xf numFmtId="0" fontId="12" fillId="0" borderId="13" xfId="0" applyFont="1" applyBorder="1"/>
    <xf numFmtId="164" fontId="21" fillId="0" borderId="25" xfId="0" applyNumberFormat="1" applyFont="1" applyBorder="1" applyAlignment="1">
      <alignment horizontal="center" vertical="center"/>
    </xf>
    <xf numFmtId="164" fontId="21" fillId="0" borderId="32" xfId="0" applyNumberFormat="1" applyFont="1" applyBorder="1" applyAlignment="1">
      <alignment horizontal="center" vertical="center"/>
    </xf>
    <xf numFmtId="164" fontId="21" fillId="0" borderId="15" xfId="0" applyNumberFormat="1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9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/>
    </xf>
    <xf numFmtId="0" fontId="21" fillId="0" borderId="15" xfId="0" applyFont="1" applyBorder="1" applyAlignment="1">
      <alignment horizontal="center"/>
    </xf>
    <xf numFmtId="2" fontId="19" fillId="0" borderId="25" xfId="0" applyNumberFormat="1" applyFont="1" applyBorder="1" applyAlignment="1">
      <alignment horizontal="center" vertical="center"/>
    </xf>
    <xf numFmtId="2" fontId="19" fillId="0" borderId="14" xfId="0" applyNumberFormat="1" applyFont="1" applyBorder="1" applyAlignment="1">
      <alignment horizontal="center" vertical="center"/>
    </xf>
    <xf numFmtId="164" fontId="19" fillId="0" borderId="14" xfId="0" applyNumberFormat="1" applyFont="1" applyBorder="1" applyAlignment="1">
      <alignment horizontal="center" vertical="center"/>
    </xf>
    <xf numFmtId="2" fontId="19" fillId="0" borderId="32" xfId="0" applyNumberFormat="1" applyFont="1" applyBorder="1" applyAlignment="1">
      <alignment horizontal="center" vertical="center"/>
    </xf>
    <xf numFmtId="2" fontId="19" fillId="0" borderId="15" xfId="0" applyNumberFormat="1" applyFont="1" applyBorder="1" applyAlignment="1">
      <alignment horizontal="center" vertical="center"/>
    </xf>
    <xf numFmtId="164" fontId="19" fillId="0" borderId="0" xfId="0" applyNumberFormat="1" applyFont="1"/>
    <xf numFmtId="0" fontId="20" fillId="0" borderId="0" xfId="0" applyFont="1"/>
    <xf numFmtId="0" fontId="21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14" fontId="19" fillId="0" borderId="0" xfId="0" applyNumberFormat="1" applyFont="1" applyAlignment="1">
      <alignment vertical="center"/>
    </xf>
    <xf numFmtId="0" fontId="21" fillId="0" borderId="2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1" fillId="0" borderId="0" xfId="1"/>
    <xf numFmtId="0" fontId="23" fillId="0" borderId="0" xfId="1" applyFont="1" applyAlignment="1">
      <alignment horizontal="center" vertical="center"/>
    </xf>
    <xf numFmtId="0" fontId="23" fillId="0" borderId="28" xfId="1" applyFont="1" applyBorder="1" applyAlignment="1">
      <alignment horizontal="center" vertical="center"/>
    </xf>
    <xf numFmtId="0" fontId="23" fillId="0" borderId="15" xfId="1" applyFont="1" applyBorder="1" applyAlignment="1">
      <alignment horizontal="center" vertical="center"/>
    </xf>
    <xf numFmtId="0" fontId="23" fillId="0" borderId="14" xfId="1" applyFont="1" applyBorder="1" applyAlignment="1">
      <alignment horizontal="center" vertical="center"/>
    </xf>
    <xf numFmtId="0" fontId="23" fillId="0" borderId="8" xfId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2" fillId="0" borderId="20" xfId="0" applyFont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5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25" fillId="0" borderId="2" xfId="0" applyFont="1" applyBorder="1" applyAlignment="1">
      <alignment vertical="center"/>
    </xf>
    <xf numFmtId="0" fontId="2" fillId="0" borderId="0" xfId="0" applyFont="1"/>
    <xf numFmtId="0" fontId="23" fillId="0" borderId="47" xfId="1" applyFont="1" applyBorder="1" applyAlignment="1">
      <alignment horizontal="center" vertical="center"/>
    </xf>
    <xf numFmtId="0" fontId="23" fillId="0" borderId="46" xfId="1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27" fillId="0" borderId="2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 wrapText="1"/>
    </xf>
    <xf numFmtId="0" fontId="3" fillId="0" borderId="9" xfId="0" applyFont="1" applyBorder="1"/>
    <xf numFmtId="0" fontId="3" fillId="0" borderId="10" xfId="0" applyFont="1" applyBorder="1"/>
    <xf numFmtId="0" fontId="0" fillId="0" borderId="12" xfId="0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8" fillId="0" borderId="15" xfId="0" applyFont="1" applyBorder="1" applyAlignment="1">
      <alignment horizontal="center" vertical="center" wrapText="1"/>
    </xf>
    <xf numFmtId="0" fontId="28" fillId="0" borderId="25" xfId="0" applyFont="1" applyBorder="1" applyAlignment="1">
      <alignment horizontal="center" vertical="center" wrapText="1"/>
    </xf>
    <xf numFmtId="164" fontId="28" fillId="0" borderId="1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0" xfId="0" applyFont="1"/>
    <xf numFmtId="0" fontId="29" fillId="0" borderId="0" xfId="0" applyFont="1"/>
    <xf numFmtId="0" fontId="5" fillId="0" borderId="42" xfId="0" applyFont="1" applyBorder="1" applyAlignment="1">
      <alignment vertical="center" wrapText="1"/>
    </xf>
    <xf numFmtId="0" fontId="7" fillId="0" borderId="43" xfId="0" applyFont="1" applyBorder="1" applyAlignment="1">
      <alignment vertical="center" wrapText="1"/>
    </xf>
    <xf numFmtId="49" fontId="0" fillId="0" borderId="0" xfId="0" applyNumberFormat="1"/>
    <xf numFmtId="0" fontId="0" fillId="2" borderId="0" xfId="0" applyFill="1"/>
    <xf numFmtId="0" fontId="30" fillId="0" borderId="17" xfId="1" applyFont="1" applyBorder="1"/>
    <xf numFmtId="0" fontId="30" fillId="0" borderId="17" xfId="1" applyFont="1" applyBorder="1" applyAlignment="1">
      <alignment horizontal="center"/>
    </xf>
    <xf numFmtId="0" fontId="30" fillId="0" borderId="20" xfId="1" applyFont="1" applyBorder="1"/>
    <xf numFmtId="0" fontId="30" fillId="0" borderId="4" xfId="1" applyFont="1" applyBorder="1"/>
    <xf numFmtId="0" fontId="30" fillId="0" borderId="4" xfId="1" applyFont="1" applyBorder="1" applyAlignment="1">
      <alignment horizontal="center"/>
    </xf>
    <xf numFmtId="0" fontId="30" fillId="0" borderId="5" xfId="1" applyFont="1" applyBorder="1"/>
    <xf numFmtId="49" fontId="2" fillId="0" borderId="2" xfId="0" applyNumberFormat="1" applyFont="1" applyBorder="1"/>
    <xf numFmtId="0" fontId="2" fillId="0" borderId="2" xfId="0" applyFont="1" applyBorder="1"/>
    <xf numFmtId="0" fontId="2" fillId="0" borderId="48" xfId="0" applyFont="1" applyBorder="1"/>
    <xf numFmtId="0" fontId="2" fillId="0" borderId="49" xfId="0" applyFont="1" applyBorder="1"/>
    <xf numFmtId="49" fontId="23" fillId="0" borderId="1" xfId="1" applyNumberFormat="1" applyFont="1" applyBorder="1" applyAlignment="1">
      <alignment horizontal="center" vertical="center"/>
    </xf>
    <xf numFmtId="0" fontId="2" fillId="0" borderId="48" xfId="0" applyFont="1" applyBorder="1" applyAlignment="1">
      <alignment horizontal="center"/>
    </xf>
    <xf numFmtId="0" fontId="0" fillId="5" borderId="0" xfId="0" applyFill="1"/>
    <xf numFmtId="0" fontId="31" fillId="4" borderId="4" xfId="0" applyFont="1" applyFill="1" applyBorder="1" applyAlignment="1">
      <alignment horizontal="center"/>
    </xf>
    <xf numFmtId="0" fontId="2" fillId="0" borderId="49" xfId="0" applyFont="1" applyBorder="1" applyAlignment="1">
      <alignment horizontal="center"/>
    </xf>
    <xf numFmtId="1" fontId="19" fillId="0" borderId="0" xfId="0" applyNumberFormat="1" applyFont="1" applyAlignment="1">
      <alignment vertical="center"/>
    </xf>
    <xf numFmtId="17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16" fontId="0" fillId="0" borderId="0" xfId="0" applyNumberFormat="1" applyAlignment="1">
      <alignment horizontal="right"/>
    </xf>
    <xf numFmtId="0" fontId="0" fillId="2" borderId="4" xfId="0" applyFill="1" applyBorder="1"/>
    <xf numFmtId="0" fontId="0" fillId="0" borderId="0" xfId="0" applyAlignment="1">
      <alignment horizontal="right" wrapText="1"/>
    </xf>
    <xf numFmtId="0" fontId="35" fillId="0" borderId="0" xfId="0" applyFont="1" applyAlignment="1">
      <alignment horizontal="right"/>
    </xf>
    <xf numFmtId="2" fontId="21" fillId="0" borderId="40" xfId="0" applyNumberFormat="1" applyFont="1" applyBorder="1" applyAlignment="1">
      <alignment horizontal="center" vertical="center"/>
    </xf>
    <xf numFmtId="2" fontId="19" fillId="0" borderId="13" xfId="0" applyNumberFormat="1" applyFont="1" applyBorder="1" applyAlignment="1">
      <alignment horizontal="center" vertical="center"/>
    </xf>
    <xf numFmtId="49" fontId="23" fillId="0" borderId="0" xfId="1" applyNumberFormat="1" applyFont="1" applyAlignment="1">
      <alignment horizontal="center" vertical="center"/>
    </xf>
    <xf numFmtId="0" fontId="30" fillId="0" borderId="0" xfId="1" applyFont="1"/>
    <xf numFmtId="0" fontId="30" fillId="0" borderId="0" xfId="1" applyFont="1" applyAlignment="1">
      <alignment horizontal="center"/>
    </xf>
    <xf numFmtId="49" fontId="30" fillId="0" borderId="16" xfId="1" applyNumberFormat="1" applyFont="1" applyBorder="1"/>
    <xf numFmtId="49" fontId="30" fillId="0" borderId="6" xfId="1" applyNumberFormat="1" applyFont="1" applyBorder="1"/>
    <xf numFmtId="2" fontId="1" fillId="0" borderId="0" xfId="1" applyNumberFormat="1"/>
    <xf numFmtId="49" fontId="23" fillId="0" borderId="14" xfId="1" applyNumberFormat="1" applyFont="1" applyBorder="1" applyAlignment="1">
      <alignment horizontal="center" vertical="center" wrapText="1"/>
    </xf>
    <xf numFmtId="49" fontId="1" fillId="0" borderId="0" xfId="1" applyNumberFormat="1"/>
    <xf numFmtId="0" fontId="30" fillId="0" borderId="12" xfId="1" applyFont="1" applyBorder="1"/>
    <xf numFmtId="49" fontId="30" fillId="0" borderId="0" xfId="1" applyNumberFormat="1" applyFont="1"/>
    <xf numFmtId="0" fontId="1" fillId="0" borderId="4" xfId="1" applyBorder="1"/>
    <xf numFmtId="49" fontId="1" fillId="0" borderId="4" xfId="1" applyNumberFormat="1" applyBorder="1"/>
    <xf numFmtId="0" fontId="1" fillId="0" borderId="4" xfId="1" applyBorder="1" applyAlignment="1">
      <alignment horizontal="center"/>
    </xf>
    <xf numFmtId="0" fontId="1" fillId="0" borderId="0" xfId="1" applyAlignment="1">
      <alignment horizontal="center" vertical="center"/>
    </xf>
    <xf numFmtId="0" fontId="12" fillId="0" borderId="50" xfId="0" applyFont="1" applyBorder="1"/>
    <xf numFmtId="0" fontId="21" fillId="0" borderId="51" xfId="0" applyFont="1" applyBorder="1" applyAlignment="1">
      <alignment horizontal="center"/>
    </xf>
    <xf numFmtId="0" fontId="20" fillId="0" borderId="52" xfId="0" applyFont="1" applyBorder="1" applyAlignment="1">
      <alignment horizontal="center"/>
    </xf>
    <xf numFmtId="0" fontId="21" fillId="0" borderId="52" xfId="0" applyFont="1" applyBorder="1" applyAlignment="1">
      <alignment horizontal="center"/>
    </xf>
    <xf numFmtId="0" fontId="21" fillId="0" borderId="53" xfId="0" applyFont="1" applyBorder="1" applyAlignment="1">
      <alignment horizontal="center"/>
    </xf>
    <xf numFmtId="2" fontId="19" fillId="0" borderId="5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2" fontId="21" fillId="3" borderId="4" xfId="0" applyNumberFormat="1" applyFont="1" applyFill="1" applyBorder="1" applyAlignment="1">
      <alignment horizontal="center" vertical="center"/>
    </xf>
    <xf numFmtId="2" fontId="21" fillId="3" borderId="12" xfId="0" applyNumberFormat="1" applyFont="1" applyFill="1" applyBorder="1" applyAlignment="1">
      <alignment horizontal="center" vertical="center"/>
    </xf>
    <xf numFmtId="164" fontId="21" fillId="3" borderId="12" xfId="0" applyNumberFormat="1" applyFont="1" applyFill="1" applyBorder="1" applyAlignment="1">
      <alignment horizontal="center" vertical="center"/>
    </xf>
    <xf numFmtId="2" fontId="21" fillId="3" borderId="33" xfId="0" applyNumberFormat="1" applyFont="1" applyFill="1" applyBorder="1" applyAlignment="1">
      <alignment horizontal="center" vertical="center"/>
    </xf>
    <xf numFmtId="2" fontId="21" fillId="3" borderId="24" xfId="0" applyNumberFormat="1" applyFont="1" applyFill="1" applyBorder="1" applyAlignment="1">
      <alignment horizontal="center" vertical="center"/>
    </xf>
    <xf numFmtId="49" fontId="30" fillId="0" borderId="4" xfId="1" applyNumberFormat="1" applyFont="1" applyBorder="1"/>
    <xf numFmtId="0" fontId="23" fillId="0" borderId="16" xfId="1" applyFont="1" applyBorder="1" applyAlignment="1">
      <alignment horizontal="center" vertical="center"/>
    </xf>
    <xf numFmtId="0" fontId="23" fillId="0" borderId="17" xfId="1" applyFont="1" applyBorder="1" applyAlignment="1">
      <alignment horizontal="center" vertical="center" wrapText="1"/>
    </xf>
    <xf numFmtId="0" fontId="23" fillId="0" borderId="17" xfId="1" applyFont="1" applyBorder="1" applyAlignment="1">
      <alignment horizontal="center" vertical="center"/>
    </xf>
    <xf numFmtId="0" fontId="23" fillId="0" borderId="6" xfId="1" applyFont="1" applyBorder="1" applyAlignment="1">
      <alignment horizontal="center" vertical="center"/>
    </xf>
    <xf numFmtId="0" fontId="24" fillId="0" borderId="35" xfId="1" applyFont="1" applyBorder="1"/>
    <xf numFmtId="0" fontId="30" fillId="0" borderId="7" xfId="1" applyFont="1" applyBorder="1"/>
    <xf numFmtId="0" fontId="23" fillId="0" borderId="4" xfId="1" applyFont="1" applyBorder="1" applyAlignment="1">
      <alignment horizontal="left" vertical="center"/>
    </xf>
    <xf numFmtId="49" fontId="23" fillId="0" borderId="4" xfId="1" applyNumberFormat="1" applyFont="1" applyBorder="1" applyAlignment="1">
      <alignment horizontal="left" vertical="center"/>
    </xf>
    <xf numFmtId="0" fontId="1" fillId="0" borderId="4" xfId="1" applyBorder="1" applyAlignment="1">
      <alignment horizontal="left" vertical="center"/>
    </xf>
    <xf numFmtId="0" fontId="31" fillId="3" borderId="4" xfId="0" applyFont="1" applyFill="1" applyBorder="1" applyAlignment="1">
      <alignment horizontal="center"/>
    </xf>
    <xf numFmtId="49" fontId="24" fillId="0" borderId="35" xfId="1" applyNumberFormat="1" applyFont="1" applyBorder="1"/>
    <xf numFmtId="0" fontId="21" fillId="3" borderId="4" xfId="0" applyFont="1" applyFill="1" applyBorder="1" applyAlignment="1">
      <alignment horizontal="center"/>
    </xf>
    <xf numFmtId="0" fontId="30" fillId="0" borderId="7" xfId="1" applyFont="1" applyBorder="1" applyAlignment="1">
      <alignment horizontal="center"/>
    </xf>
    <xf numFmtId="0" fontId="30" fillId="0" borderId="18" xfId="1" applyFont="1" applyBorder="1" applyAlignment="1">
      <alignment horizontal="center"/>
    </xf>
    <xf numFmtId="0" fontId="30" fillId="0" borderId="56" xfId="1" applyFont="1" applyBorder="1"/>
    <xf numFmtId="0" fontId="19" fillId="0" borderId="4" xfId="0" applyFont="1" applyBorder="1"/>
    <xf numFmtId="0" fontId="37" fillId="0" borderId="4" xfId="0" applyFont="1" applyBorder="1"/>
    <xf numFmtId="0" fontId="23" fillId="0" borderId="4" xfId="1" applyFont="1" applyBorder="1" applyAlignment="1">
      <alignment horizontal="center" vertical="center"/>
    </xf>
    <xf numFmtId="49" fontId="23" fillId="0" borderId="4" xfId="1" applyNumberFormat="1" applyFont="1" applyBorder="1" applyAlignment="1">
      <alignment horizontal="center" vertical="center" wrapText="1"/>
    </xf>
    <xf numFmtId="49" fontId="23" fillId="0" borderId="4" xfId="1" applyNumberFormat="1" applyFont="1" applyBorder="1" applyAlignment="1">
      <alignment horizontal="center" vertical="center"/>
    </xf>
    <xf numFmtId="0" fontId="24" fillId="0" borderId="35" xfId="1" applyFont="1" applyBorder="1" applyAlignment="1">
      <alignment horizontal="center"/>
    </xf>
    <xf numFmtId="49" fontId="24" fillId="0" borderId="35" xfId="1" applyNumberFormat="1" applyFont="1" applyBorder="1" applyAlignment="1">
      <alignment horizontal="center"/>
    </xf>
    <xf numFmtId="0" fontId="30" fillId="0" borderId="4" xfId="1" applyFont="1" applyBorder="1" applyAlignment="1">
      <alignment horizontal="left"/>
    </xf>
    <xf numFmtId="0" fontId="23" fillId="0" borderId="4" xfId="1" applyFont="1" applyBorder="1" applyAlignment="1">
      <alignment horizontal="center" vertical="center" wrapText="1"/>
    </xf>
    <xf numFmtId="0" fontId="38" fillId="0" borderId="4" xfId="1" applyFont="1" applyBorder="1"/>
    <xf numFmtId="0" fontId="1" fillId="0" borderId="0" xfId="1" applyAlignment="1">
      <alignment horizontal="right"/>
    </xf>
    <xf numFmtId="0" fontId="0" fillId="0" borderId="4" xfId="0" applyBorder="1" applyProtection="1">
      <protection locked="0"/>
    </xf>
    <xf numFmtId="49" fontId="24" fillId="0" borderId="0" xfId="1" applyNumberFormat="1" applyFont="1" applyAlignment="1">
      <alignment horizontal="center"/>
    </xf>
    <xf numFmtId="0" fontId="23" fillId="0" borderId="50" xfId="1" applyFont="1" applyBorder="1" applyAlignment="1">
      <alignment horizontal="center" vertical="center"/>
    </xf>
    <xf numFmtId="0" fontId="23" fillId="0" borderId="45" xfId="1" applyFont="1" applyBorder="1" applyAlignment="1">
      <alignment horizontal="center" vertical="center" wrapText="1"/>
    </xf>
    <xf numFmtId="49" fontId="23" fillId="0" borderId="52" xfId="1" applyNumberFormat="1" applyFont="1" applyBorder="1" applyAlignment="1">
      <alignment horizontal="center" vertical="center" wrapText="1"/>
    </xf>
    <xf numFmtId="0" fontId="23" fillId="0" borderId="52" xfId="1" applyFont="1" applyBorder="1" applyAlignment="1">
      <alignment horizontal="center" vertical="center"/>
    </xf>
    <xf numFmtId="0" fontId="0" fillId="0" borderId="4" xfId="0" applyBorder="1" applyAlignment="1">
      <alignment horizontal="right" vertical="center"/>
    </xf>
    <xf numFmtId="0" fontId="2" fillId="0" borderId="4" xfId="0" applyFont="1" applyBorder="1" applyAlignment="1">
      <alignment horizontal="right"/>
    </xf>
    <xf numFmtId="0" fontId="30" fillId="0" borderId="4" xfId="1" applyFont="1" applyBorder="1" applyAlignment="1">
      <alignment vertical="center" wrapText="1"/>
    </xf>
    <xf numFmtId="0" fontId="30" fillId="0" borderId="5" xfId="1" applyFont="1" applyBorder="1" applyAlignment="1">
      <alignment vertical="center" wrapText="1"/>
    </xf>
    <xf numFmtId="0" fontId="23" fillId="0" borderId="57" xfId="1" applyFont="1" applyBorder="1" applyAlignment="1">
      <alignment horizontal="center" vertical="center"/>
    </xf>
    <xf numFmtId="49" fontId="30" fillId="0" borderId="9" xfId="1" applyNumberFormat="1" applyFont="1" applyBorder="1"/>
    <xf numFmtId="0" fontId="30" fillId="0" borderId="10" xfId="1" applyFont="1" applyBorder="1" applyAlignment="1">
      <alignment vertical="center" wrapText="1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49" fontId="23" fillId="0" borderId="59" xfId="1" applyNumberFormat="1" applyFont="1" applyBorder="1" applyAlignment="1">
      <alignment horizontal="center" vertical="center"/>
    </xf>
    <xf numFmtId="0" fontId="30" fillId="0" borderId="10" xfId="1" applyFont="1" applyBorder="1"/>
    <xf numFmtId="49" fontId="1" fillId="0" borderId="4" xfId="1" applyNumberFormat="1" applyBorder="1" applyAlignment="1">
      <alignment horizontal="center"/>
    </xf>
    <xf numFmtId="0" fontId="1" fillId="0" borderId="4" xfId="1" applyBorder="1" applyAlignment="1">
      <alignment vertical="center" wrapText="1"/>
    </xf>
    <xf numFmtId="0" fontId="1" fillId="0" borderId="4" xfId="1" applyBorder="1" applyAlignment="1">
      <alignment horizontal="left"/>
    </xf>
    <xf numFmtId="49" fontId="23" fillId="0" borderId="57" xfId="1" applyNumberFormat="1" applyFont="1" applyBorder="1" applyAlignment="1">
      <alignment horizontal="center" vertical="center"/>
    </xf>
    <xf numFmtId="49" fontId="30" fillId="0" borderId="57" xfId="1" applyNumberFormat="1" applyFont="1" applyBorder="1"/>
    <xf numFmtId="0" fontId="30" fillId="0" borderId="58" xfId="1" applyFont="1" applyBorder="1"/>
    <xf numFmtId="0" fontId="30" fillId="0" borderId="48" xfId="1" applyFont="1" applyBorder="1" applyAlignment="1">
      <alignment vertical="center" wrapText="1"/>
    </xf>
    <xf numFmtId="0" fontId="23" fillId="0" borderId="60" xfId="1" applyFont="1" applyBorder="1" applyAlignment="1">
      <alignment horizontal="center" vertical="center"/>
    </xf>
    <xf numFmtId="0" fontId="23" fillId="0" borderId="25" xfId="1" applyFont="1" applyBorder="1" applyAlignment="1">
      <alignment horizontal="center" vertical="center" wrapText="1"/>
    </xf>
    <xf numFmtId="0" fontId="23" fillId="0" borderId="8" xfId="1" applyFont="1" applyBorder="1" applyAlignment="1">
      <alignment horizontal="center" vertical="center" wrapText="1"/>
    </xf>
    <xf numFmtId="0" fontId="32" fillId="0" borderId="0" xfId="0" applyFont="1"/>
    <xf numFmtId="0" fontId="1" fillId="0" borderId="7" xfId="1" applyBorder="1"/>
    <xf numFmtId="0" fontId="1" fillId="0" borderId="4" xfId="1" applyBorder="1" applyAlignment="1">
      <alignment horizontal="center" vertical="center"/>
    </xf>
    <xf numFmtId="0" fontId="1" fillId="0" borderId="0" xfId="1" applyAlignment="1">
      <alignment horizontal="center"/>
    </xf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30" fillId="0" borderId="16" xfId="1" applyNumberFormat="1" applyFont="1" applyBorder="1" applyAlignment="1">
      <alignment horizontal="center"/>
    </xf>
    <xf numFmtId="49" fontId="30" fillId="0" borderId="6" xfId="1" applyNumberFormat="1" applyFont="1" applyBorder="1" applyAlignment="1">
      <alignment horizontal="center"/>
    </xf>
    <xf numFmtId="49" fontId="30" fillId="0" borderId="0" xfId="1" applyNumberFormat="1" applyFont="1" applyAlignment="1">
      <alignment horizontal="center"/>
    </xf>
    <xf numFmtId="49" fontId="1" fillId="0" borderId="0" xfId="1" applyNumberFormat="1" applyAlignment="1">
      <alignment horizontal="center"/>
    </xf>
    <xf numFmtId="49" fontId="0" fillId="0" borderId="4" xfId="0" applyNumberFormat="1" applyBorder="1"/>
    <xf numFmtId="0" fontId="0" fillId="5" borderId="4" xfId="0" applyFill="1" applyBorder="1"/>
    <xf numFmtId="0" fontId="2" fillId="0" borderId="2" xfId="0" applyFont="1" applyBorder="1" applyAlignment="1">
      <alignment horizontal="center"/>
    </xf>
    <xf numFmtId="49" fontId="0" fillId="0" borderId="4" xfId="0" applyNumberFormat="1" applyBorder="1" applyAlignment="1">
      <alignment horizontal="left"/>
    </xf>
    <xf numFmtId="0" fontId="31" fillId="6" borderId="4" xfId="0" applyFont="1" applyFill="1" applyBorder="1" applyAlignment="1">
      <alignment horizontal="center"/>
    </xf>
    <xf numFmtId="0" fontId="23" fillId="0" borderId="53" xfId="1" applyFont="1" applyBorder="1" applyAlignment="1">
      <alignment horizontal="center" vertical="center"/>
    </xf>
    <xf numFmtId="0" fontId="38" fillId="7" borderId="61" xfId="0" applyFont="1" applyFill="1" applyBorder="1" applyAlignment="1">
      <alignment horizontal="left" vertical="top" wrapText="1"/>
    </xf>
    <xf numFmtId="0" fontId="0" fillId="0" borderId="0" xfId="0" applyAlignment="1">
      <alignment horizontal="right" vertical="top"/>
    </xf>
    <xf numFmtId="0" fontId="23" fillId="0" borderId="10" xfId="1" applyFont="1" applyBorder="1" applyAlignment="1">
      <alignment horizontal="center" vertical="center"/>
    </xf>
    <xf numFmtId="0" fontId="35" fillId="0" borderId="0" xfId="0" applyFont="1"/>
    <xf numFmtId="0" fontId="23" fillId="0" borderId="62" xfId="1" applyFont="1" applyBorder="1" applyAlignment="1">
      <alignment horizontal="center" vertical="center" wrapText="1"/>
    </xf>
    <xf numFmtId="49" fontId="30" fillId="0" borderId="63" xfId="1" applyNumberFormat="1" applyFont="1" applyBorder="1"/>
    <xf numFmtId="0" fontId="30" fillId="0" borderId="11" xfId="1" applyFont="1" applyBorder="1" applyAlignment="1">
      <alignment vertical="center" wrapText="1"/>
    </xf>
    <xf numFmtId="49" fontId="38" fillId="0" borderId="4" xfId="1" applyNumberFormat="1" applyFont="1" applyBorder="1" applyAlignment="1">
      <alignment horizontal="center" vertical="center"/>
    </xf>
    <xf numFmtId="0" fontId="36" fillId="0" borderId="4" xfId="1" applyFont="1" applyBorder="1" applyAlignment="1">
      <alignment horizontal="center" vertical="center"/>
    </xf>
    <xf numFmtId="49" fontId="36" fillId="0" borderId="4" xfId="1" applyNumberFormat="1" applyFont="1" applyBorder="1" applyAlignment="1">
      <alignment horizontal="center" vertical="center"/>
    </xf>
    <xf numFmtId="0" fontId="1" fillId="0" borderId="4" xfId="1" applyBorder="1" applyAlignment="1">
      <alignment vertical="center"/>
    </xf>
    <xf numFmtId="0" fontId="1" fillId="0" borderId="10" xfId="1" applyBorder="1"/>
    <xf numFmtId="49" fontId="41" fillId="0" borderId="4" xfId="1" applyNumberFormat="1" applyFont="1" applyBorder="1"/>
    <xf numFmtId="49" fontId="41" fillId="0" borderId="6" xfId="1" applyNumberFormat="1" applyFont="1" applyBorder="1"/>
    <xf numFmtId="0" fontId="30" fillId="0" borderId="12" xfId="1" applyFont="1" applyBorder="1" applyAlignment="1">
      <alignment horizontal="left"/>
    </xf>
    <xf numFmtId="0" fontId="30" fillId="0" borderId="0" xfId="1" applyFont="1" applyAlignment="1">
      <alignment horizontal="left"/>
    </xf>
    <xf numFmtId="0" fontId="1" fillId="0" borderId="0" xfId="1" applyAlignment="1">
      <alignment horizontal="left"/>
    </xf>
    <xf numFmtId="0" fontId="23" fillId="0" borderId="4" xfId="1" applyFont="1" applyBorder="1" applyAlignment="1">
      <alignment horizontal="left" vertical="center" wrapText="1"/>
    </xf>
    <xf numFmtId="49" fontId="23" fillId="0" borderId="47" xfId="1" applyNumberFormat="1" applyFont="1" applyBorder="1" applyAlignment="1">
      <alignment horizontal="left" vertical="center"/>
    </xf>
    <xf numFmtId="49" fontId="23" fillId="0" borderId="1" xfId="1" applyNumberFormat="1" applyFont="1" applyBorder="1" applyAlignment="1">
      <alignment horizontal="left" vertical="center"/>
    </xf>
    <xf numFmtId="0" fontId="23" fillId="0" borderId="4" xfId="1" applyFont="1" applyBorder="1" applyAlignment="1">
      <alignment horizontal="left"/>
    </xf>
    <xf numFmtId="49" fontId="23" fillId="0" borderId="0" xfId="1" applyNumberFormat="1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2" fontId="1" fillId="0" borderId="10" xfId="1" applyNumberFormat="1" applyBorder="1"/>
    <xf numFmtId="0" fontId="1" fillId="0" borderId="12" xfId="1" applyBorder="1"/>
    <xf numFmtId="2" fontId="1" fillId="0" borderId="12" xfId="1" applyNumberFormat="1" applyBorder="1"/>
    <xf numFmtId="0" fontId="23" fillId="0" borderId="64" xfId="1" applyFont="1" applyBorder="1" applyAlignment="1">
      <alignment horizontal="center" vertical="center"/>
    </xf>
    <xf numFmtId="0" fontId="42" fillId="0" borderId="0" xfId="0" applyFont="1"/>
    <xf numFmtId="49" fontId="36" fillId="0" borderId="4" xfId="1" applyNumberFormat="1" applyFont="1" applyBorder="1"/>
    <xf numFmtId="0" fontId="40" fillId="0" borderId="4" xfId="1" applyFont="1" applyBorder="1"/>
    <xf numFmtId="0" fontId="40" fillId="0" borderId="4" xfId="1" applyFont="1" applyBorder="1" applyAlignment="1">
      <alignment horizontal="left"/>
    </xf>
    <xf numFmtId="0" fontId="37" fillId="0" borderId="4" xfId="1" applyFont="1" applyBorder="1"/>
    <xf numFmtId="0" fontId="23" fillId="0" borderId="1" xfId="1" applyFont="1" applyBorder="1" applyAlignment="1">
      <alignment horizontal="left"/>
    </xf>
    <xf numFmtId="0" fontId="42" fillId="0" borderId="4" xfId="0" applyFont="1" applyBorder="1"/>
    <xf numFmtId="49" fontId="41" fillId="0" borderId="3" xfId="1" applyNumberFormat="1" applyFont="1" applyBorder="1"/>
    <xf numFmtId="0" fontId="36" fillId="0" borderId="49" xfId="1" applyFont="1" applyBorder="1" applyAlignment="1">
      <alignment horizontal="center" vertical="center"/>
    </xf>
    <xf numFmtId="49" fontId="37" fillId="0" borderId="16" xfId="1" applyNumberFormat="1" applyFont="1" applyBorder="1"/>
    <xf numFmtId="0" fontId="37" fillId="0" borderId="17" xfId="1" applyFont="1" applyBorder="1"/>
    <xf numFmtId="0" fontId="37" fillId="0" borderId="17" xfId="1" applyFont="1" applyBorder="1" applyAlignment="1">
      <alignment horizontal="center"/>
    </xf>
    <xf numFmtId="0" fontId="37" fillId="0" borderId="20" xfId="1" applyFont="1" applyBorder="1"/>
    <xf numFmtId="49" fontId="36" fillId="0" borderId="2" xfId="1" applyNumberFormat="1" applyFont="1" applyBorder="1" applyAlignment="1">
      <alignment horizontal="center" vertical="center"/>
    </xf>
    <xf numFmtId="0" fontId="37" fillId="0" borderId="4" xfId="1" applyFont="1" applyBorder="1" applyAlignment="1">
      <alignment horizontal="center"/>
    </xf>
    <xf numFmtId="0" fontId="37" fillId="0" borderId="5" xfId="1" applyFont="1" applyBorder="1"/>
    <xf numFmtId="0" fontId="36" fillId="0" borderId="10" xfId="1" applyFont="1" applyBorder="1" applyAlignment="1">
      <alignment horizontal="center" vertical="center"/>
    </xf>
    <xf numFmtId="49" fontId="36" fillId="0" borderId="48" xfId="1" applyNumberFormat="1" applyFont="1" applyBorder="1" applyAlignment="1">
      <alignment horizontal="center" vertical="center"/>
    </xf>
    <xf numFmtId="49" fontId="37" fillId="0" borderId="63" xfId="1" applyNumberFormat="1" applyFont="1" applyBorder="1"/>
    <xf numFmtId="0" fontId="37" fillId="0" borderId="10" xfId="1" applyFont="1" applyBorder="1"/>
    <xf numFmtId="0" fontId="37" fillId="0" borderId="10" xfId="1" applyFont="1" applyBorder="1" applyAlignment="1">
      <alignment horizontal="center"/>
    </xf>
    <xf numFmtId="0" fontId="37" fillId="0" borderId="11" xfId="1" applyFont="1" applyBorder="1"/>
    <xf numFmtId="49" fontId="37" fillId="0" borderId="4" xfId="1" applyNumberFormat="1" applyFont="1" applyBorder="1"/>
    <xf numFmtId="0" fontId="36" fillId="0" borderId="0" xfId="1" applyFont="1" applyAlignment="1">
      <alignment horizontal="center" vertical="center"/>
    </xf>
    <xf numFmtId="49" fontId="36" fillId="0" borderId="0" xfId="1" applyNumberFormat="1" applyFont="1" applyAlignment="1">
      <alignment horizontal="center" vertical="center"/>
    </xf>
    <xf numFmtId="49" fontId="37" fillId="0" borderId="0" xfId="1" applyNumberFormat="1" applyFont="1"/>
    <xf numFmtId="0" fontId="37" fillId="0" borderId="0" xfId="1" applyFont="1"/>
    <xf numFmtId="0" fontId="37" fillId="0" borderId="0" xfId="1" applyFont="1" applyAlignment="1">
      <alignment horizontal="center"/>
    </xf>
    <xf numFmtId="0" fontId="40" fillId="0" borderId="0" xfId="1" applyFont="1"/>
    <xf numFmtId="0" fontId="40" fillId="0" borderId="0" xfId="1" applyFont="1" applyAlignment="1">
      <alignment horizontal="center"/>
    </xf>
    <xf numFmtId="0" fontId="40" fillId="0" borderId="4" xfId="1" applyFont="1" applyBorder="1" applyAlignment="1">
      <alignment horizontal="center"/>
    </xf>
    <xf numFmtId="49" fontId="40" fillId="0" borderId="4" xfId="1" applyNumberFormat="1" applyFont="1" applyBorder="1"/>
    <xf numFmtId="49" fontId="40" fillId="0" borderId="0" xfId="1" applyNumberFormat="1" applyFont="1"/>
    <xf numFmtId="0" fontId="36" fillId="0" borderId="4" xfId="1" applyFont="1" applyBorder="1"/>
    <xf numFmtId="0" fontId="23" fillId="0" borderId="8" xfId="1" applyFont="1" applyBorder="1" applyAlignment="1">
      <alignment vertical="center"/>
    </xf>
    <xf numFmtId="0" fontId="23" fillId="0" borderId="28" xfId="1" applyFont="1" applyBorder="1" applyAlignment="1">
      <alignment vertical="center"/>
    </xf>
    <xf numFmtId="0" fontId="23" fillId="0" borderId="4" xfId="1" applyFont="1" applyBorder="1" applyAlignment="1">
      <alignment vertical="center"/>
    </xf>
    <xf numFmtId="0" fontId="23" fillId="0" borderId="0" xfId="1" applyFont="1" applyAlignment="1">
      <alignment vertical="center"/>
    </xf>
    <xf numFmtId="49" fontId="23" fillId="0" borderId="0" xfId="1" applyNumberFormat="1" applyFont="1" applyAlignment="1">
      <alignment vertical="center"/>
    </xf>
    <xf numFmtId="0" fontId="1" fillId="0" borderId="0" xfId="1" applyAlignment="1">
      <alignment vertical="center"/>
    </xf>
    <xf numFmtId="0" fontId="23" fillId="0" borderId="4" xfId="1" applyFont="1" applyBorder="1" applyAlignment="1">
      <alignment horizontal="center"/>
    </xf>
    <xf numFmtId="0" fontId="36" fillId="0" borderId="4" xfId="1" applyFont="1" applyBorder="1" applyAlignment="1">
      <alignment horizontal="center"/>
    </xf>
    <xf numFmtId="0" fontId="36" fillId="0" borderId="4" xfId="1" applyFont="1" applyBorder="1" applyAlignment="1">
      <alignment horizontal="left"/>
    </xf>
    <xf numFmtId="49" fontId="36" fillId="0" borderId="4" xfId="1" applyNumberFormat="1" applyFont="1" applyBorder="1" applyAlignment="1">
      <alignment horizontal="left"/>
    </xf>
    <xf numFmtId="49" fontId="36" fillId="0" borderId="16" xfId="1" applyNumberFormat="1" applyFont="1" applyBorder="1"/>
    <xf numFmtId="0" fontId="36" fillId="0" borderId="17" xfId="1" applyFont="1" applyBorder="1"/>
    <xf numFmtId="0" fontId="36" fillId="0" borderId="17" xfId="1" applyFont="1" applyBorder="1" applyAlignment="1">
      <alignment horizontal="center"/>
    </xf>
    <xf numFmtId="0" fontId="36" fillId="0" borderId="20" xfId="1" applyFont="1" applyBorder="1" applyAlignment="1">
      <alignment horizontal="center"/>
    </xf>
    <xf numFmtId="0" fontId="36" fillId="0" borderId="5" xfId="1" applyFont="1" applyBorder="1" applyAlignment="1">
      <alignment horizontal="center"/>
    </xf>
    <xf numFmtId="49" fontId="36" fillId="0" borderId="6" xfId="1" applyNumberFormat="1" applyFont="1" applyBorder="1"/>
    <xf numFmtId="49" fontId="36" fillId="0" borderId="6" xfId="1" applyNumberFormat="1" applyFont="1" applyBorder="1" applyAlignment="1">
      <alignment horizontal="left"/>
    </xf>
    <xf numFmtId="0" fontId="36" fillId="0" borderId="0" xfId="1" applyFont="1"/>
    <xf numFmtId="0" fontId="36" fillId="0" borderId="0" xfId="1" applyFont="1" applyAlignment="1">
      <alignment horizontal="center"/>
    </xf>
    <xf numFmtId="0" fontId="23" fillId="0" borderId="0" xfId="1" applyFont="1" applyAlignment="1">
      <alignment horizontal="center"/>
    </xf>
    <xf numFmtId="49" fontId="36" fillId="0" borderId="19" xfId="1" applyNumberFormat="1" applyFont="1" applyBorder="1"/>
    <xf numFmtId="49" fontId="36" fillId="0" borderId="3" xfId="1" applyNumberFormat="1" applyFont="1" applyBorder="1"/>
    <xf numFmtId="49" fontId="36" fillId="0" borderId="3" xfId="1" applyNumberFormat="1" applyFont="1" applyBorder="1" applyAlignment="1">
      <alignment horizontal="left"/>
    </xf>
    <xf numFmtId="0" fontId="2" fillId="0" borderId="0" xfId="0" applyFont="1" applyAlignment="1">
      <alignment horizontal="center"/>
    </xf>
    <xf numFmtId="0" fontId="27" fillId="0" borderId="0" xfId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1" applyFont="1" applyAlignment="1">
      <alignment horizontal="center" vertical="center"/>
    </xf>
    <xf numFmtId="49" fontId="36" fillId="0" borderId="4" xfId="1" applyNumberFormat="1" applyFont="1" applyBorder="1" applyAlignment="1">
      <alignment horizontal="center"/>
    </xf>
    <xf numFmtId="0" fontId="36" fillId="0" borderId="4" xfId="1" applyFont="1" applyBorder="1" applyAlignment="1">
      <alignment vertical="center"/>
    </xf>
    <xf numFmtId="49" fontId="23" fillId="0" borderId="52" xfId="1" applyNumberFormat="1" applyFont="1" applyBorder="1" applyAlignment="1">
      <alignment vertical="center" wrapText="1"/>
    </xf>
    <xf numFmtId="0" fontId="17" fillId="0" borderId="3" xfId="0" applyFont="1" applyBorder="1" applyAlignment="1">
      <alignment vertical="center"/>
    </xf>
    <xf numFmtId="0" fontId="15" fillId="0" borderId="36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9" fillId="3" borderId="4" xfId="0" applyFont="1" applyFill="1" applyBorder="1"/>
    <xf numFmtId="0" fontId="0" fillId="9" borderId="4" xfId="0" applyFill="1" applyBorder="1" applyAlignment="1">
      <alignment vertical="center"/>
    </xf>
    <xf numFmtId="0" fontId="0" fillId="9" borderId="4" xfId="0" applyFill="1" applyBorder="1"/>
    <xf numFmtId="0" fontId="37" fillId="0" borderId="20" xfId="1" applyFont="1" applyBorder="1" applyAlignment="1">
      <alignment horizontal="center"/>
    </xf>
    <xf numFmtId="0" fontId="37" fillId="0" borderId="5" xfId="1" applyFont="1" applyBorder="1" applyAlignment="1">
      <alignment horizontal="center"/>
    </xf>
    <xf numFmtId="0" fontId="37" fillId="0" borderId="50" xfId="1" applyFont="1" applyBorder="1" applyAlignment="1">
      <alignment horizontal="center" vertical="center"/>
    </xf>
    <xf numFmtId="0" fontId="37" fillId="0" borderId="45" xfId="1" applyFont="1" applyBorder="1" applyAlignment="1">
      <alignment horizontal="center" vertical="center" wrapText="1"/>
    </xf>
    <xf numFmtId="49" fontId="37" fillId="0" borderId="52" xfId="1" applyNumberFormat="1" applyFont="1" applyBorder="1" applyAlignment="1">
      <alignment horizontal="center" vertical="center" wrapText="1"/>
    </xf>
    <xf numFmtId="0" fontId="37" fillId="0" borderId="52" xfId="1" applyFont="1" applyBorder="1" applyAlignment="1">
      <alignment horizontal="center" vertical="center"/>
    </xf>
    <xf numFmtId="0" fontId="37" fillId="0" borderId="15" xfId="1" applyFont="1" applyBorder="1" applyAlignment="1">
      <alignment horizontal="center" vertical="center"/>
    </xf>
    <xf numFmtId="0" fontId="37" fillId="0" borderId="4" xfId="1" applyFont="1" applyBorder="1" applyAlignment="1">
      <alignment horizontal="center" vertical="center"/>
    </xf>
    <xf numFmtId="49" fontId="37" fillId="0" borderId="4" xfId="1" applyNumberFormat="1" applyFont="1" applyBorder="1" applyAlignment="1">
      <alignment horizontal="center" vertical="center"/>
    </xf>
    <xf numFmtId="0" fontId="37" fillId="0" borderId="0" xfId="1" applyFont="1" applyAlignment="1">
      <alignment horizontal="center" vertical="center"/>
    </xf>
    <xf numFmtId="49" fontId="37" fillId="0" borderId="0" xfId="1" applyNumberFormat="1" applyFont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27" fillId="0" borderId="37" xfId="1" applyFont="1" applyBorder="1" applyAlignment="1">
      <alignment horizontal="center" vertical="center"/>
    </xf>
    <xf numFmtId="0" fontId="43" fillId="0" borderId="4" xfId="1" applyFont="1" applyBorder="1" applyAlignment="1">
      <alignment horizontal="center" vertical="center"/>
    </xf>
    <xf numFmtId="49" fontId="43" fillId="0" borderId="4" xfId="1" applyNumberFormat="1" applyFont="1" applyBorder="1"/>
    <xf numFmtId="0" fontId="43" fillId="0" borderId="4" xfId="1" applyFont="1" applyBorder="1"/>
    <xf numFmtId="0" fontId="43" fillId="0" borderId="4" xfId="1" applyFont="1" applyBorder="1" applyAlignment="1">
      <alignment horizontal="center"/>
    </xf>
    <xf numFmtId="49" fontId="43" fillId="0" borderId="4" xfId="1" applyNumberFormat="1" applyFont="1" applyBorder="1" applyAlignment="1">
      <alignment horizontal="center" vertical="center"/>
    </xf>
    <xf numFmtId="0" fontId="27" fillId="0" borderId="43" xfId="1" applyFont="1" applyBorder="1" applyAlignment="1">
      <alignment horizontal="center" vertical="center"/>
    </xf>
    <xf numFmtId="0" fontId="27" fillId="0" borderId="20" xfId="1" applyFont="1" applyBorder="1" applyAlignment="1">
      <alignment horizontal="center"/>
    </xf>
    <xf numFmtId="0" fontId="27" fillId="0" borderId="5" xfId="1" applyFont="1" applyBorder="1" applyAlignment="1">
      <alignment horizontal="center"/>
    </xf>
    <xf numFmtId="0" fontId="27" fillId="0" borderId="4" xfId="1" applyFont="1" applyBorder="1" applyAlignment="1">
      <alignment horizontal="center"/>
    </xf>
    <xf numFmtId="0" fontId="27" fillId="0" borderId="65" xfId="1" applyFont="1" applyBorder="1" applyAlignment="1">
      <alignment horizontal="center" vertical="center"/>
    </xf>
    <xf numFmtId="0" fontId="27" fillId="0" borderId="0" xfId="1" applyFont="1" applyAlignment="1">
      <alignment horizontal="center" vertical="center" wrapText="1"/>
    </xf>
    <xf numFmtId="49" fontId="27" fillId="0" borderId="37" xfId="1" applyNumberFormat="1" applyFont="1" applyBorder="1" applyAlignment="1">
      <alignment horizontal="center" vertical="center" wrapText="1"/>
    </xf>
    <xf numFmtId="0" fontId="43" fillId="0" borderId="0" xfId="1" applyFont="1" applyAlignment="1">
      <alignment horizontal="center"/>
    </xf>
    <xf numFmtId="49" fontId="36" fillId="0" borderId="0" xfId="1" applyNumberFormat="1" applyFont="1" applyAlignment="1">
      <alignment horizontal="center"/>
    </xf>
    <xf numFmtId="0" fontId="23" fillId="0" borderId="54" xfId="1" applyFont="1" applyBorder="1" applyAlignment="1">
      <alignment horizontal="center" vertical="center"/>
    </xf>
    <xf numFmtId="0" fontId="44" fillId="0" borderId="4" xfId="0" applyFont="1" applyBorder="1"/>
    <xf numFmtId="49" fontId="38" fillId="0" borderId="4" xfId="0" applyNumberFormat="1" applyFont="1" applyBorder="1"/>
    <xf numFmtId="0" fontId="30" fillId="0" borderId="2" xfId="1" applyFont="1" applyBorder="1"/>
    <xf numFmtId="0" fontId="1" fillId="0" borderId="2" xfId="1" applyBorder="1"/>
    <xf numFmtId="0" fontId="30" fillId="0" borderId="55" xfId="1" applyFont="1" applyBorder="1"/>
    <xf numFmtId="0" fontId="30" fillId="0" borderId="49" xfId="1" applyFont="1" applyBorder="1"/>
    <xf numFmtId="0" fontId="30" fillId="0" borderId="0" xfId="1" applyFont="1" applyAlignment="1">
      <alignment horizontal="center" vertical="center"/>
    </xf>
    <xf numFmtId="0" fontId="30" fillId="0" borderId="27" xfId="1" applyFont="1" applyBorder="1"/>
    <xf numFmtId="0" fontId="30" fillId="0" borderId="26" xfId="1" applyFont="1" applyBorder="1"/>
    <xf numFmtId="0" fontId="2" fillId="0" borderId="58" xfId="0" applyFont="1" applyBorder="1"/>
    <xf numFmtId="0" fontId="2" fillId="0" borderId="33" xfId="0" applyFont="1" applyBorder="1"/>
    <xf numFmtId="49" fontId="0" fillId="0" borderId="38" xfId="0" applyNumberFormat="1" applyBorder="1"/>
    <xf numFmtId="49" fontId="0" fillId="0" borderId="33" xfId="0" applyNumberFormat="1" applyBorder="1"/>
    <xf numFmtId="0" fontId="2" fillId="0" borderId="26" xfId="0" applyFont="1" applyBorder="1"/>
    <xf numFmtId="0" fontId="0" fillId="0" borderId="0" xfId="0" pivotButton="1"/>
    <xf numFmtId="0" fontId="0" fillId="0" borderId="0" xfId="0" pivotButton="1" applyAlignment="1">
      <alignment horizontal="center"/>
    </xf>
    <xf numFmtId="0" fontId="35" fillId="0" borderId="6" xfId="0" applyFont="1" applyBorder="1" applyAlignment="1">
      <alignment horizontal="center" vertical="center"/>
    </xf>
    <xf numFmtId="0" fontId="35" fillId="0" borderId="4" xfId="0" applyFont="1" applyBorder="1"/>
    <xf numFmtId="0" fontId="35" fillId="0" borderId="5" xfId="0" applyFont="1" applyBorder="1"/>
    <xf numFmtId="0" fontId="19" fillId="0" borderId="5" xfId="0" applyFont="1" applyBorder="1"/>
    <xf numFmtId="0" fontId="35" fillId="0" borderId="0" xfId="0" applyFont="1" applyAlignment="1">
      <alignment horizontal="center"/>
    </xf>
    <xf numFmtId="0" fontId="45" fillId="3" borderId="0" xfId="0" applyFont="1" applyFill="1" applyAlignment="1">
      <alignment horizontal="center"/>
    </xf>
    <xf numFmtId="0" fontId="45" fillId="3" borderId="4" xfId="0" applyFont="1" applyFill="1" applyBorder="1" applyAlignment="1">
      <alignment horizontal="center"/>
    </xf>
    <xf numFmtId="0" fontId="1" fillId="0" borderId="40" xfId="1" applyBorder="1" applyAlignment="1">
      <alignment horizontal="center"/>
    </xf>
    <xf numFmtId="0" fontId="1" fillId="0" borderId="0" xfId="1" applyAlignment="1">
      <alignment horizontal="left" vertical="center"/>
    </xf>
    <xf numFmtId="0" fontId="1" fillId="0" borderId="45" xfId="1" applyBorder="1"/>
    <xf numFmtId="0" fontId="43" fillId="0" borderId="7" xfId="1" applyFont="1" applyBorder="1"/>
    <xf numFmtId="0" fontId="43" fillId="0" borderId="4" xfId="1" applyFont="1" applyBorder="1" applyAlignment="1">
      <alignment horizontal="left" vertical="center"/>
    </xf>
    <xf numFmtId="49" fontId="43" fillId="0" borderId="4" xfId="1" applyNumberFormat="1" applyFont="1" applyBorder="1" applyAlignment="1">
      <alignment horizontal="left" vertical="center"/>
    </xf>
    <xf numFmtId="0" fontId="27" fillId="0" borderId="4" xfId="1" applyFont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35" fillId="3" borderId="0" xfId="0" applyFont="1" applyFill="1" applyAlignment="1">
      <alignment horizontal="center"/>
    </xf>
    <xf numFmtId="49" fontId="30" fillId="0" borderId="4" xfId="1" applyNumberFormat="1" applyFont="1" applyBorder="1" applyAlignment="1">
      <alignment horizontal="center"/>
    </xf>
    <xf numFmtId="0" fontId="23" fillId="0" borderId="14" xfId="1" applyFont="1" applyBorder="1" applyAlignment="1">
      <alignment vertical="center"/>
    </xf>
    <xf numFmtId="0" fontId="23" fillId="0" borderId="46" xfId="1" applyFont="1" applyBorder="1" applyAlignment="1">
      <alignment vertical="center" wrapText="1"/>
    </xf>
    <xf numFmtId="49" fontId="23" fillId="0" borderId="47" xfId="1" applyNumberFormat="1" applyFont="1" applyBorder="1" applyAlignment="1">
      <alignment vertical="center"/>
    </xf>
    <xf numFmtId="49" fontId="23" fillId="0" borderId="1" xfId="1" applyNumberFormat="1" applyFont="1" applyBorder="1" applyAlignment="1">
      <alignment vertical="center"/>
    </xf>
    <xf numFmtId="0" fontId="23" fillId="0" borderId="1" xfId="1" applyFont="1" applyBorder="1" applyAlignment="1">
      <alignment vertical="center"/>
    </xf>
    <xf numFmtId="49" fontId="23" fillId="0" borderId="4" xfId="1" applyNumberFormat="1" applyFont="1" applyBorder="1" applyAlignment="1">
      <alignment vertical="center"/>
    </xf>
    <xf numFmtId="0" fontId="43" fillId="0" borderId="28" xfId="1" applyFont="1" applyBorder="1" applyAlignment="1">
      <alignment horizontal="center" vertical="center"/>
    </xf>
    <xf numFmtId="0" fontId="43" fillId="0" borderId="17" xfId="1" applyFont="1" applyBorder="1"/>
    <xf numFmtId="0" fontId="43" fillId="0" borderId="17" xfId="1" applyFont="1" applyBorder="1" applyAlignment="1">
      <alignment horizontal="center"/>
    </xf>
    <xf numFmtId="0" fontId="43" fillId="0" borderId="4" xfId="0" applyFont="1" applyBorder="1"/>
    <xf numFmtId="49" fontId="43" fillId="0" borderId="16" xfId="1" applyNumberFormat="1" applyFont="1" applyBorder="1" applyAlignment="1">
      <alignment horizontal="center"/>
    </xf>
    <xf numFmtId="0" fontId="43" fillId="0" borderId="17" xfId="1" applyFont="1" applyBorder="1" applyAlignment="1">
      <alignment horizontal="left"/>
    </xf>
    <xf numFmtId="49" fontId="43" fillId="0" borderId="6" xfId="1" applyNumberFormat="1" applyFont="1" applyBorder="1" applyAlignment="1">
      <alignment horizontal="center"/>
    </xf>
    <xf numFmtId="0" fontId="43" fillId="0" borderId="4" xfId="1" applyFont="1" applyBorder="1" applyAlignment="1">
      <alignment horizontal="left"/>
    </xf>
    <xf numFmtId="0" fontId="43" fillId="0" borderId="0" xfId="1" applyFont="1"/>
    <xf numFmtId="49" fontId="43" fillId="0" borderId="4" xfId="1" applyNumberFormat="1" applyFont="1" applyBorder="1" applyAlignment="1">
      <alignment horizontal="center"/>
    </xf>
    <xf numFmtId="49" fontId="43" fillId="0" borderId="47" xfId="1" applyNumberFormat="1" applyFont="1" applyBorder="1" applyAlignment="1">
      <alignment vertical="center"/>
    </xf>
    <xf numFmtId="49" fontId="43" fillId="0" borderId="1" xfId="1" applyNumberFormat="1" applyFont="1" applyBorder="1" applyAlignment="1">
      <alignment vertical="center"/>
    </xf>
    <xf numFmtId="0" fontId="43" fillId="0" borderId="1" xfId="1" applyFont="1" applyBorder="1" applyAlignment="1">
      <alignment vertical="center"/>
    </xf>
    <xf numFmtId="49" fontId="43" fillId="0" borderId="4" xfId="1" applyNumberFormat="1" applyFont="1" applyBorder="1" applyAlignment="1">
      <alignment vertical="center"/>
    </xf>
    <xf numFmtId="0" fontId="27" fillId="0" borderId="67" xfId="1" applyFont="1" applyBorder="1" applyAlignment="1">
      <alignment horizontal="center" vertical="center"/>
    </xf>
    <xf numFmtId="0" fontId="43" fillId="0" borderId="18" xfId="1" applyFont="1" applyBorder="1"/>
    <xf numFmtId="0" fontId="2" fillId="0" borderId="38" xfId="0" applyFont="1" applyBorder="1"/>
    <xf numFmtId="0" fontId="35" fillId="3" borderId="6" xfId="0" applyFont="1" applyFill="1" applyBorder="1" applyAlignment="1">
      <alignment horizontal="center" vertical="center"/>
    </xf>
    <xf numFmtId="0" fontId="35" fillId="3" borderId="4" xfId="0" applyFont="1" applyFill="1" applyBorder="1"/>
    <xf numFmtId="0" fontId="35" fillId="3" borderId="5" xfId="0" applyFont="1" applyFill="1" applyBorder="1"/>
    <xf numFmtId="0" fontId="0" fillId="5" borderId="6" xfId="0" applyFill="1" applyBorder="1" applyAlignment="1">
      <alignment horizontal="center" vertical="center"/>
    </xf>
    <xf numFmtId="0" fontId="0" fillId="5" borderId="5" xfId="0" applyFill="1" applyBorder="1"/>
    <xf numFmtId="49" fontId="24" fillId="0" borderId="67" xfId="1" applyNumberFormat="1" applyFont="1" applyBorder="1" applyAlignment="1">
      <alignment horizontal="center"/>
    </xf>
    <xf numFmtId="49" fontId="1" fillId="0" borderId="68" xfId="1" applyNumberFormat="1" applyBorder="1"/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5" borderId="0" xfId="0" applyFill="1" applyAlignment="1">
      <alignment horizontal="center"/>
    </xf>
    <xf numFmtId="0" fontId="43" fillId="0" borderId="12" xfId="1" applyFont="1" applyBorder="1" applyAlignment="1">
      <alignment horizontal="center"/>
    </xf>
    <xf numFmtId="0" fontId="27" fillId="0" borderId="28" xfId="1" applyFont="1" applyBorder="1" applyAlignment="1">
      <alignment horizontal="center" vertical="center"/>
    </xf>
    <xf numFmtId="0" fontId="27" fillId="0" borderId="49" xfId="1" applyFont="1" applyBorder="1" applyAlignment="1">
      <alignment horizontal="center" vertical="center" wrapText="1"/>
    </xf>
    <xf numFmtId="49" fontId="27" fillId="0" borderId="12" xfId="1" applyNumberFormat="1" applyFont="1" applyBorder="1" applyAlignment="1">
      <alignment horizontal="center" vertical="center" wrapText="1"/>
    </xf>
    <xf numFmtId="0" fontId="27" fillId="0" borderId="12" xfId="1" applyFont="1" applyBorder="1" applyAlignment="1">
      <alignment horizontal="center" vertical="center"/>
    </xf>
    <xf numFmtId="0" fontId="27" fillId="0" borderId="33" xfId="1" applyFont="1" applyBorder="1" applyAlignment="1">
      <alignment horizontal="center" vertical="center"/>
    </xf>
    <xf numFmtId="49" fontId="43" fillId="0" borderId="12" xfId="1" applyNumberFormat="1" applyFont="1" applyBorder="1"/>
    <xf numFmtId="0" fontId="43" fillId="0" borderId="12" xfId="1" applyFont="1" applyBorder="1"/>
    <xf numFmtId="0" fontId="43" fillId="0" borderId="12" xfId="0" applyFont="1" applyBorder="1"/>
    <xf numFmtId="0" fontId="46" fillId="0" borderId="4" xfId="1" applyFont="1" applyBorder="1"/>
    <xf numFmtId="0" fontId="43" fillId="0" borderId="12" xfId="1" applyFont="1" applyBorder="1" applyAlignment="1">
      <alignment horizontal="center" vertical="center"/>
    </xf>
    <xf numFmtId="49" fontId="2" fillId="0" borderId="7" xfId="0" applyNumberFormat="1" applyFont="1" applyBorder="1"/>
    <xf numFmtId="0" fontId="2" fillId="0" borderId="4" xfId="0" applyFont="1" applyBorder="1" applyAlignment="1">
      <alignment horizontal="center"/>
    </xf>
    <xf numFmtId="0" fontId="38" fillId="0" borderId="0" xfId="1" applyFont="1"/>
    <xf numFmtId="0" fontId="44" fillId="0" borderId="0" xfId="0" applyFont="1"/>
    <xf numFmtId="49" fontId="38" fillId="0" borderId="0" xfId="0" applyNumberFormat="1" applyFont="1"/>
    <xf numFmtId="49" fontId="1" fillId="0" borderId="35" xfId="1" applyNumberFormat="1" applyBorder="1" applyAlignment="1">
      <alignment horizontal="center"/>
    </xf>
    <xf numFmtId="0" fontId="23" fillId="0" borderId="52" xfId="1" applyFont="1" applyBorder="1" applyAlignment="1">
      <alignment vertic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3" fillId="0" borderId="4" xfId="0" applyFont="1" applyBorder="1" applyAlignment="1">
      <alignment horizontal="left"/>
    </xf>
    <xf numFmtId="0" fontId="0" fillId="0" borderId="12" xfId="0" applyBorder="1" applyProtection="1">
      <protection locked="0"/>
    </xf>
    <xf numFmtId="0" fontId="0" fillId="0" borderId="37" xfId="0" applyBorder="1" applyProtection="1">
      <protection locked="0"/>
    </xf>
    <xf numFmtId="0" fontId="19" fillId="0" borderId="4" xfId="0" applyFont="1" applyBorder="1" applyProtection="1">
      <protection locked="0"/>
    </xf>
    <xf numFmtId="0" fontId="2" fillId="0" borderId="41" xfId="0" applyFont="1" applyBorder="1"/>
    <xf numFmtId="0" fontId="14" fillId="0" borderId="4" xfId="0" applyFont="1" applyBorder="1" applyAlignment="1">
      <alignment horizontal="center"/>
    </xf>
    <xf numFmtId="0" fontId="14" fillId="0" borderId="4" xfId="0" applyFont="1" applyBorder="1"/>
    <xf numFmtId="0" fontId="10" fillId="0" borderId="49" xfId="0" applyFont="1" applyBorder="1" applyAlignment="1">
      <alignment horizontal="center"/>
    </xf>
    <xf numFmtId="49" fontId="33" fillId="0" borderId="0" xfId="1" applyNumberFormat="1" applyFont="1" applyAlignment="1">
      <alignment horizontal="center" vertical="center"/>
    </xf>
    <xf numFmtId="49" fontId="34" fillId="0" borderId="0" xfId="1" applyNumberFormat="1" applyFont="1"/>
    <xf numFmtId="0" fontId="34" fillId="0" borderId="0" xfId="1" applyFont="1"/>
    <xf numFmtId="0" fontId="34" fillId="0" borderId="0" xfId="1" applyFont="1" applyAlignment="1">
      <alignment horizontal="center"/>
    </xf>
    <xf numFmtId="14" fontId="30" fillId="0" borderId="0" xfId="1" applyNumberFormat="1" applyFo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9" fillId="0" borderId="48" xfId="0" applyFont="1" applyBorder="1" applyAlignment="1">
      <alignment horizontal="center"/>
    </xf>
    <xf numFmtId="0" fontId="0" fillId="0" borderId="48" xfId="0" applyBorder="1"/>
    <xf numFmtId="0" fontId="0" fillId="0" borderId="49" xfId="0" applyBorder="1"/>
    <xf numFmtId="0" fontId="0" fillId="0" borderId="0" xfId="0" applyAlignment="1">
      <alignment horizontal="center" vertical="top"/>
    </xf>
    <xf numFmtId="0" fontId="0" fillId="3" borderId="4" xfId="0" applyFill="1" applyBorder="1" applyAlignment="1">
      <alignment horizontal="center"/>
    </xf>
    <xf numFmtId="0" fontId="36" fillId="0" borderId="8" xfId="1" applyFont="1" applyBorder="1" applyAlignment="1">
      <alignment horizontal="center" vertical="center"/>
    </xf>
    <xf numFmtId="0" fontId="36" fillId="0" borderId="46" xfId="1" applyFont="1" applyBorder="1" applyAlignment="1">
      <alignment horizontal="center" vertical="center" wrapText="1"/>
    </xf>
    <xf numFmtId="49" fontId="36" fillId="0" borderId="14" xfId="1" applyNumberFormat="1" applyFont="1" applyBorder="1" applyAlignment="1">
      <alignment horizontal="center" vertical="center" wrapText="1"/>
    </xf>
    <xf numFmtId="0" fontId="36" fillId="0" borderId="14" xfId="1" applyFont="1" applyBorder="1" applyAlignment="1">
      <alignment horizontal="center" vertical="center"/>
    </xf>
    <xf numFmtId="0" fontId="36" fillId="0" borderId="32" xfId="1" applyFont="1" applyBorder="1" applyAlignment="1">
      <alignment horizontal="center" vertical="center"/>
    </xf>
    <xf numFmtId="0" fontId="36" fillId="0" borderId="28" xfId="1" applyFont="1" applyBorder="1" applyAlignment="1">
      <alignment horizontal="center" vertical="center"/>
    </xf>
    <xf numFmtId="0" fontId="36" fillId="0" borderId="47" xfId="1" applyFont="1" applyBorder="1" applyAlignment="1">
      <alignment horizontal="center" vertical="center"/>
    </xf>
    <xf numFmtId="0" fontId="37" fillId="0" borderId="18" xfId="1" applyFont="1" applyBorder="1" applyAlignment="1">
      <alignment horizontal="center"/>
    </xf>
    <xf numFmtId="0" fontId="40" fillId="7" borderId="61" xfId="0" applyFont="1" applyFill="1" applyBorder="1" applyAlignment="1">
      <alignment horizontal="left" vertical="top" wrapText="1"/>
    </xf>
    <xf numFmtId="49" fontId="37" fillId="0" borderId="6" xfId="1" applyNumberFormat="1" applyFont="1" applyBorder="1"/>
    <xf numFmtId="0" fontId="37" fillId="0" borderId="7" xfId="1" applyFont="1" applyBorder="1" applyAlignment="1">
      <alignment horizontal="center"/>
    </xf>
    <xf numFmtId="49" fontId="36" fillId="0" borderId="1" xfId="1" applyNumberFormat="1" applyFont="1" applyBorder="1" applyAlignment="1">
      <alignment horizontal="center" vertical="center"/>
    </xf>
    <xf numFmtId="0" fontId="39" fillId="0" borderId="0" xfId="1" applyFont="1"/>
    <xf numFmtId="0" fontId="30" fillId="0" borderId="18" xfId="1" applyFont="1" applyBorder="1"/>
    <xf numFmtId="0" fontId="37" fillId="0" borderId="7" xfId="1" applyFont="1" applyBorder="1"/>
    <xf numFmtId="0" fontId="0" fillId="5" borderId="4" xfId="0" applyFill="1" applyBorder="1" applyAlignment="1">
      <alignment horizontal="center" vertical="center"/>
    </xf>
    <xf numFmtId="0" fontId="0" fillId="5" borderId="4" xfId="0" applyFill="1" applyBorder="1" applyProtection="1">
      <protection locked="0"/>
    </xf>
    <xf numFmtId="0" fontId="36" fillId="0" borderId="4" xfId="1" applyFont="1" applyBorder="1" applyAlignment="1">
      <alignment horizontal="center" vertical="center" wrapText="1"/>
    </xf>
    <xf numFmtId="49" fontId="36" fillId="0" borderId="4" xfId="1" applyNumberFormat="1" applyFont="1" applyBorder="1" applyAlignment="1">
      <alignment horizontal="center" vertical="center" wrapText="1"/>
    </xf>
    <xf numFmtId="49" fontId="24" fillId="0" borderId="0" xfId="1" applyNumberFormat="1" applyFont="1"/>
    <xf numFmtId="0" fontId="40" fillId="7" borderId="4" xfId="0" applyFont="1" applyFill="1" applyBorder="1" applyAlignment="1">
      <alignment horizontal="center" vertical="top" wrapText="1"/>
    </xf>
    <xf numFmtId="0" fontId="27" fillId="0" borderId="4" xfId="1" applyFont="1" applyBorder="1" applyAlignment="1">
      <alignment horizontal="center" vertical="center" wrapText="1"/>
    </xf>
    <xf numFmtId="49" fontId="27" fillId="0" borderId="4" xfId="1" applyNumberFormat="1" applyFont="1" applyBorder="1" applyAlignment="1">
      <alignment horizontal="center" vertical="center" wrapText="1"/>
    </xf>
    <xf numFmtId="0" fontId="43" fillId="7" borderId="4" xfId="0" applyFont="1" applyFill="1" applyBorder="1" applyAlignment="1">
      <alignment horizontal="center" vertical="top" wrapText="1"/>
    </xf>
    <xf numFmtId="0" fontId="43" fillId="0" borderId="4" xfId="1" applyFont="1" applyBorder="1" applyAlignment="1">
      <alignment horizontal="right"/>
    </xf>
    <xf numFmtId="0" fontId="35" fillId="0" borderId="4" xfId="0" applyFont="1" applyBorder="1" applyAlignment="1">
      <alignment horizontal="center"/>
    </xf>
    <xf numFmtId="49" fontId="36" fillId="0" borderId="4" xfId="1" applyNumberFormat="1" applyFont="1" applyBorder="1" applyAlignment="1">
      <alignment horizontal="left" vertical="center" wrapText="1"/>
    </xf>
    <xf numFmtId="49" fontId="37" fillId="0" borderId="4" xfId="1" applyNumberFormat="1" applyFont="1" applyBorder="1" applyAlignment="1">
      <alignment horizontal="left"/>
    </xf>
    <xf numFmtId="49" fontId="40" fillId="0" borderId="4" xfId="1" applyNumberFormat="1" applyFont="1" applyBorder="1" applyAlignment="1">
      <alignment horizontal="left"/>
    </xf>
    <xf numFmtId="49" fontId="37" fillId="0" borderId="10" xfId="1" applyNumberFormat="1" applyFont="1" applyBorder="1" applyAlignment="1">
      <alignment horizontal="left"/>
    </xf>
    <xf numFmtId="49" fontId="36" fillId="0" borderId="4" xfId="1" applyNumberFormat="1" applyFont="1" applyBorder="1" applyAlignment="1">
      <alignment horizontal="left" vertical="center"/>
    </xf>
    <xf numFmtId="49" fontId="36" fillId="0" borderId="10" xfId="1" applyNumberFormat="1" applyFont="1" applyBorder="1" applyAlignment="1">
      <alignment horizontal="left" vertical="center"/>
    </xf>
    <xf numFmtId="49" fontId="36" fillId="0" borderId="48" xfId="1" applyNumberFormat="1" applyFont="1" applyBorder="1" applyAlignment="1">
      <alignment horizontal="left" vertical="center"/>
    </xf>
    <xf numFmtId="49" fontId="36" fillId="0" borderId="0" xfId="1" applyNumberFormat="1" applyFont="1" applyAlignment="1">
      <alignment horizontal="left" vertical="center"/>
    </xf>
    <xf numFmtId="0" fontId="36" fillId="0" borderId="0" xfId="1" applyFont="1" applyAlignment="1">
      <alignment horizontal="left" vertical="center"/>
    </xf>
    <xf numFmtId="0" fontId="40" fillId="0" borderId="0" xfId="1" applyFont="1" applyAlignment="1">
      <alignment horizontal="left"/>
    </xf>
    <xf numFmtId="0" fontId="36" fillId="0" borderId="4" xfId="1" applyFont="1" applyBorder="1" applyAlignment="1">
      <alignment horizontal="left" vertical="center"/>
    </xf>
    <xf numFmtId="0" fontId="37" fillId="0" borderId="4" xfId="1" applyFont="1" applyBorder="1" applyAlignment="1">
      <alignment horizontal="left"/>
    </xf>
    <xf numFmtId="0" fontId="37" fillId="0" borderId="3" xfId="1" applyFont="1" applyBorder="1" applyAlignment="1">
      <alignment horizontal="left"/>
    </xf>
    <xf numFmtId="14" fontId="37" fillId="0" borderId="0" xfId="1" applyNumberFormat="1" applyFont="1" applyAlignment="1">
      <alignment horizontal="left"/>
    </xf>
    <xf numFmtId="0" fontId="36" fillId="0" borderId="4" xfId="1" applyFont="1" applyBorder="1" applyAlignment="1">
      <alignment vertical="center" wrapText="1"/>
    </xf>
    <xf numFmtId="0" fontId="40" fillId="7" borderId="4" xfId="0" applyFont="1" applyFill="1" applyBorder="1" applyAlignment="1">
      <alignment vertical="top" wrapText="1"/>
    </xf>
    <xf numFmtId="49" fontId="36" fillId="0" borderId="4" xfId="1" applyNumberFormat="1" applyFont="1" applyBorder="1" applyAlignment="1">
      <alignment vertical="center"/>
    </xf>
    <xf numFmtId="49" fontId="36" fillId="0" borderId="7" xfId="1" applyNumberFormat="1" applyFont="1" applyBorder="1" applyAlignment="1">
      <alignment vertical="center"/>
    </xf>
    <xf numFmtId="0" fontId="40" fillId="0" borderId="10" xfId="1" applyFont="1" applyBorder="1"/>
    <xf numFmtId="0" fontId="40" fillId="0" borderId="48" xfId="1" applyFont="1" applyBorder="1"/>
    <xf numFmtId="0" fontId="36" fillId="0" borderId="0" xfId="1" applyFont="1" applyAlignment="1">
      <alignment vertical="center"/>
    </xf>
    <xf numFmtId="0" fontId="27" fillId="0" borderId="4" xfId="1" applyFont="1" applyBorder="1" applyAlignment="1">
      <alignment horizontal="left" vertical="center"/>
    </xf>
    <xf numFmtId="0" fontId="27" fillId="0" borderId="3" xfId="0" applyFont="1" applyBorder="1"/>
    <xf numFmtId="0" fontId="43" fillId="0" borderId="4" xfId="1" applyFont="1" applyBorder="1" applyAlignment="1">
      <alignment vertical="center"/>
    </xf>
    <xf numFmtId="49" fontId="43" fillId="0" borderId="7" xfId="1" applyNumberFormat="1" applyFont="1" applyBorder="1" applyAlignment="1">
      <alignment vertical="center"/>
    </xf>
    <xf numFmtId="49" fontId="43" fillId="0" borderId="4" xfId="1" applyNumberFormat="1" applyFont="1" applyBorder="1" applyAlignment="1">
      <alignment horizontal="left"/>
    </xf>
    <xf numFmtId="0" fontId="43" fillId="7" borderId="4" xfId="0" applyFont="1" applyFill="1" applyBorder="1" applyAlignment="1">
      <alignment vertical="top" wrapText="1"/>
    </xf>
    <xf numFmtId="49" fontId="43" fillId="0" borderId="10" xfId="1" applyNumberFormat="1" applyFont="1" applyBorder="1" applyAlignment="1">
      <alignment horizontal="left"/>
    </xf>
    <xf numFmtId="0" fontId="43" fillId="0" borderId="3" xfId="1" applyFont="1" applyBorder="1" applyAlignment="1">
      <alignment horizontal="left"/>
    </xf>
    <xf numFmtId="0" fontId="18" fillId="0" borderId="35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3" fillId="0" borderId="18" xfId="0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0" fillId="0" borderId="49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/>
    </xf>
    <xf numFmtId="0" fontId="14" fillId="0" borderId="19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1" fillId="0" borderId="7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/>
    </xf>
    <xf numFmtId="1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8" fillId="0" borderId="0" xfId="1" applyFont="1" applyAlignment="1">
      <alignment horizontal="center"/>
    </xf>
    <xf numFmtId="0" fontId="38" fillId="0" borderId="7" xfId="1" applyFont="1" applyBorder="1" applyAlignment="1">
      <alignment horizontal="center"/>
    </xf>
    <xf numFmtId="0" fontId="38" fillId="0" borderId="2" xfId="1" applyFont="1" applyBorder="1" applyAlignment="1">
      <alignment horizontal="center"/>
    </xf>
    <xf numFmtId="0" fontId="38" fillId="0" borderId="3" xfId="1" applyFont="1" applyBorder="1" applyAlignment="1">
      <alignment horizontal="center"/>
    </xf>
    <xf numFmtId="49" fontId="38" fillId="0" borderId="7" xfId="0" applyNumberFormat="1" applyFont="1" applyBorder="1" applyAlignment="1">
      <alignment horizontal="center"/>
    </xf>
    <xf numFmtId="49" fontId="38" fillId="0" borderId="2" xfId="0" applyNumberFormat="1" applyFont="1" applyBorder="1" applyAlignment="1">
      <alignment horizontal="center"/>
    </xf>
    <xf numFmtId="49" fontId="38" fillId="0" borderId="3" xfId="0" applyNumberFormat="1" applyFont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17" fontId="0" fillId="0" borderId="7" xfId="0" applyNumberFormat="1" applyBorder="1" applyAlignment="1">
      <alignment horizontal="center"/>
    </xf>
    <xf numFmtId="17" fontId="0" fillId="0" borderId="2" xfId="0" applyNumberFormat="1" applyBorder="1" applyAlignment="1">
      <alignment horizontal="center"/>
    </xf>
    <xf numFmtId="17" fontId="0" fillId="0" borderId="3" xfId="0" applyNumberFormat="1" applyBorder="1" applyAlignment="1">
      <alignment horizontal="center"/>
    </xf>
    <xf numFmtId="0" fontId="2" fillId="0" borderId="48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49" xfId="0" applyFont="1" applyBorder="1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center"/>
    </xf>
    <xf numFmtId="0" fontId="0" fillId="5" borderId="58" xfId="0" applyFill="1" applyBorder="1" applyAlignment="1">
      <alignment horizontal="center"/>
    </xf>
    <xf numFmtId="0" fontId="0" fillId="5" borderId="48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0" fillId="5" borderId="38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36" xfId="0" applyFill="1" applyBorder="1" applyAlignment="1">
      <alignment horizontal="center"/>
    </xf>
    <xf numFmtId="0" fontId="0" fillId="5" borderId="33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17" fontId="2" fillId="0" borderId="7" xfId="0" applyNumberFormat="1" applyFont="1" applyBorder="1" applyAlignment="1">
      <alignment horizontal="center"/>
    </xf>
    <xf numFmtId="17" fontId="2" fillId="0" borderId="2" xfId="0" applyNumberFormat="1" applyFont="1" applyBorder="1" applyAlignment="1">
      <alignment horizontal="center"/>
    </xf>
    <xf numFmtId="17" fontId="2" fillId="0" borderId="3" xfId="0" applyNumberFormat="1" applyFont="1" applyBorder="1" applyAlignment="1">
      <alignment horizontal="center"/>
    </xf>
    <xf numFmtId="0" fontId="24" fillId="0" borderId="35" xfId="1" applyFont="1" applyBorder="1" applyAlignment="1">
      <alignment horizontal="center"/>
    </xf>
    <xf numFmtId="0" fontId="24" fillId="0" borderId="35" xfId="1" applyFont="1" applyBorder="1"/>
    <xf numFmtId="0" fontId="24" fillId="0" borderId="0" xfId="1" applyFont="1" applyAlignment="1">
      <alignment horizontal="center"/>
    </xf>
    <xf numFmtId="0" fontId="24" fillId="0" borderId="0" xfId="1" applyFont="1" applyAlignment="1">
      <alignment horizontal="left"/>
    </xf>
    <xf numFmtId="49" fontId="24" fillId="0" borderId="35" xfId="1" applyNumberFormat="1" applyFont="1" applyBorder="1" applyAlignment="1">
      <alignment horizontal="center"/>
    </xf>
    <xf numFmtId="0" fontId="24" fillId="0" borderId="49" xfId="1" applyFont="1" applyBorder="1" applyAlignment="1">
      <alignment horizontal="center"/>
    </xf>
    <xf numFmtId="0" fontId="24" fillId="0" borderId="49" xfId="1" applyFont="1" applyBorder="1"/>
    <xf numFmtId="17" fontId="37" fillId="0" borderId="35" xfId="1" applyNumberFormat="1" applyFont="1" applyBorder="1" applyAlignment="1">
      <alignment horizontal="center"/>
    </xf>
    <xf numFmtId="0" fontId="1" fillId="0" borderId="62" xfId="1" applyBorder="1" applyAlignment="1">
      <alignment horizontal="center"/>
    </xf>
    <xf numFmtId="0" fontId="1" fillId="0" borderId="45" xfId="1" applyBorder="1" applyAlignment="1">
      <alignment horizontal="center"/>
    </xf>
    <xf numFmtId="49" fontId="24" fillId="0" borderId="66" xfId="1" applyNumberFormat="1" applyFont="1" applyBorder="1" applyAlignment="1">
      <alignment horizontal="center"/>
    </xf>
    <xf numFmtId="49" fontId="24" fillId="0" borderId="35" xfId="1" applyNumberFormat="1" applyFont="1" applyBorder="1"/>
    <xf numFmtId="49" fontId="24" fillId="0" borderId="0" xfId="1" applyNumberFormat="1" applyFont="1" applyAlignment="1">
      <alignment horizontal="center"/>
    </xf>
    <xf numFmtId="49" fontId="24" fillId="0" borderId="49" xfId="1" applyNumberFormat="1" applyFont="1" applyBorder="1" applyAlignment="1">
      <alignment horizontal="center"/>
    </xf>
    <xf numFmtId="49" fontId="1" fillId="0" borderId="49" xfId="1" applyNumberFormat="1" applyBorder="1" applyAlignment="1">
      <alignment horizontal="center"/>
    </xf>
    <xf numFmtId="0" fontId="27" fillId="0" borderId="7" xfId="0" applyFont="1" applyBorder="1" applyAlignment="1">
      <alignment horizontal="center"/>
    </xf>
    <xf numFmtId="0" fontId="27" fillId="0" borderId="2" xfId="0" applyFont="1" applyBorder="1" applyAlignment="1">
      <alignment horizontal="center"/>
    </xf>
    <xf numFmtId="0" fontId="27" fillId="0" borderId="3" xfId="0" applyFont="1" applyBorder="1" applyAlignment="1">
      <alignment horizontal="center"/>
    </xf>
    <xf numFmtId="0" fontId="43" fillId="0" borderId="7" xfId="0" applyFont="1" applyBorder="1" applyAlignment="1">
      <alignment horizontal="center"/>
    </xf>
    <xf numFmtId="0" fontId="43" fillId="0" borderId="2" xfId="0" applyFont="1" applyBorder="1" applyAlignment="1">
      <alignment horizontal="center"/>
    </xf>
    <xf numFmtId="0" fontId="43" fillId="0" borderId="3" xfId="0" applyFont="1" applyBorder="1" applyAlignment="1">
      <alignment horizontal="center"/>
    </xf>
    <xf numFmtId="17" fontId="31" fillId="0" borderId="7" xfId="1" applyNumberFormat="1" applyFont="1" applyBorder="1" applyAlignment="1">
      <alignment horizontal="center"/>
    </xf>
    <xf numFmtId="17" fontId="31" fillId="0" borderId="2" xfId="1" applyNumberFormat="1" applyFont="1" applyBorder="1" applyAlignment="1">
      <alignment horizontal="center"/>
    </xf>
    <xf numFmtId="17" fontId="31" fillId="0" borderId="3" xfId="1" applyNumberFormat="1" applyFont="1" applyBorder="1" applyAlignment="1">
      <alignment horizontal="center"/>
    </xf>
    <xf numFmtId="17" fontId="27" fillId="0" borderId="7" xfId="1" applyNumberFormat="1" applyFont="1" applyBorder="1" applyAlignment="1">
      <alignment horizontal="center"/>
    </xf>
    <xf numFmtId="17" fontId="27" fillId="0" borderId="2" xfId="1" applyNumberFormat="1" applyFont="1" applyBorder="1" applyAlignment="1">
      <alignment horizontal="center"/>
    </xf>
    <xf numFmtId="17" fontId="27" fillId="0" borderId="3" xfId="1" applyNumberFormat="1" applyFont="1" applyBorder="1" applyAlignment="1">
      <alignment horizontal="center"/>
    </xf>
    <xf numFmtId="0" fontId="0" fillId="0" borderId="17" xfId="0" applyBorder="1" applyProtection="1">
      <protection locked="0"/>
    </xf>
    <xf numFmtId="0" fontId="0" fillId="0" borderId="10" xfId="0" applyBorder="1" applyProtection="1">
      <protection locked="0"/>
    </xf>
    <xf numFmtId="0" fontId="9" fillId="0" borderId="0" xfId="0" applyFont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3" fillId="0" borderId="16" xfId="0" applyFont="1" applyBorder="1" applyProtection="1">
      <protection locked="0"/>
    </xf>
    <xf numFmtId="0" fontId="4" fillId="0" borderId="17" xfId="0" applyFont="1" applyBorder="1" applyProtection="1">
      <protection locked="0"/>
    </xf>
    <xf numFmtId="0" fontId="3" fillId="0" borderId="17" xfId="0" applyFont="1" applyBorder="1" applyProtection="1">
      <protection locked="0"/>
    </xf>
    <xf numFmtId="0" fontId="3" fillId="0" borderId="18" xfId="0" applyFont="1" applyBorder="1" applyAlignment="1" applyProtection="1">
      <alignment horizontal="center"/>
      <protection locked="0"/>
    </xf>
    <xf numFmtId="0" fontId="3" fillId="0" borderId="19" xfId="0" applyFont="1" applyBorder="1" applyAlignment="1" applyProtection="1">
      <alignment horizontal="center"/>
      <protection locked="0"/>
    </xf>
    <xf numFmtId="0" fontId="8" fillId="0" borderId="20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3" fillId="0" borderId="2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0" fontId="0" fillId="0" borderId="5" xfId="0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Protection="1">
      <protection locked="0"/>
    </xf>
    <xf numFmtId="0" fontId="5" fillId="0" borderId="21" xfId="0" applyFont="1" applyBorder="1" applyAlignment="1" applyProtection="1">
      <alignment horizontal="center" vertical="center" wrapText="1"/>
      <protection locked="0"/>
    </xf>
    <xf numFmtId="0" fontId="5" fillId="0" borderId="22" xfId="0" applyFont="1" applyBorder="1" applyAlignment="1" applyProtection="1">
      <alignment horizontal="center" vertical="center" wrapText="1"/>
      <protection locked="0"/>
    </xf>
    <xf numFmtId="0" fontId="7" fillId="0" borderId="23" xfId="0" applyFont="1" applyBorder="1" applyAlignment="1" applyProtection="1">
      <alignment horizontal="center" vertical="center" wrapText="1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0" fontId="0" fillId="0" borderId="24" xfId="0" applyBorder="1" applyProtection="1"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2" fillId="0" borderId="13" xfId="0" applyFont="1" applyBorder="1" applyAlignment="1" applyProtection="1">
      <alignment horizontal="center" vertical="center"/>
      <protection locked="0"/>
    </xf>
    <xf numFmtId="0" fontId="2" fillId="0" borderId="14" xfId="0" applyFont="1" applyBorder="1" applyProtection="1">
      <protection locked="0"/>
    </xf>
    <xf numFmtId="0" fontId="2" fillId="0" borderId="15" xfId="0" applyFont="1" applyBorder="1" applyProtection="1"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" fillId="0" borderId="21" xfId="0" applyFont="1" applyBorder="1" applyAlignment="1" applyProtection="1">
      <alignment horizontal="center" vertical="center"/>
      <protection locked="0"/>
    </xf>
    <xf numFmtId="0" fontId="2" fillId="0" borderId="22" xfId="0" applyFont="1" applyBorder="1" applyProtection="1">
      <protection locked="0"/>
    </xf>
    <xf numFmtId="0" fontId="2" fillId="0" borderId="23" xfId="0" applyFont="1" applyBorder="1" applyProtection="1">
      <protection locked="0"/>
    </xf>
    <xf numFmtId="0" fontId="3" fillId="0" borderId="21" xfId="0" applyFont="1" applyBorder="1" applyProtection="1">
      <protection locked="0"/>
    </xf>
    <xf numFmtId="0" fontId="3" fillId="0" borderId="22" xfId="0" applyFont="1" applyBorder="1" applyProtection="1">
      <protection locked="0"/>
    </xf>
    <xf numFmtId="0" fontId="0" fillId="0" borderId="23" xfId="0" applyBorder="1" applyProtection="1">
      <protection locked="0"/>
    </xf>
    <xf numFmtId="0" fontId="5" fillId="0" borderId="41" xfId="0" applyFont="1" applyBorder="1" applyAlignment="1" applyProtection="1">
      <alignment horizontal="center" vertical="center" wrapText="1"/>
      <protection locked="0"/>
    </xf>
    <xf numFmtId="0" fontId="5" fillId="0" borderId="42" xfId="0" applyFont="1" applyBorder="1" applyAlignment="1" applyProtection="1">
      <alignment horizontal="center" vertical="center" wrapText="1"/>
      <protection locked="0"/>
    </xf>
    <xf numFmtId="0" fontId="7" fillId="0" borderId="43" xfId="0" applyFont="1" applyBorder="1" applyAlignment="1" applyProtection="1">
      <alignment horizontal="center" vertical="center" wrapText="1"/>
      <protection locked="0"/>
    </xf>
    <xf numFmtId="0" fontId="0" fillId="0" borderId="11" xfId="0" applyBorder="1" applyProtection="1">
      <protection locked="0"/>
    </xf>
    <xf numFmtId="0" fontId="13" fillId="0" borderId="18" xfId="0" applyFont="1" applyBorder="1" applyAlignment="1" applyProtection="1">
      <alignment horizontal="center"/>
      <protection locked="0"/>
    </xf>
    <xf numFmtId="0" fontId="13" fillId="0" borderId="19" xfId="0" applyFont="1" applyBorder="1" applyAlignment="1" applyProtection="1">
      <alignment horizontal="center"/>
      <protection locked="0"/>
    </xf>
    <xf numFmtId="0" fontId="5" fillId="0" borderId="22" xfId="0" applyFont="1" applyBorder="1" applyAlignment="1" applyProtection="1">
      <alignment vertical="center" wrapText="1"/>
      <protection locked="0"/>
    </xf>
    <xf numFmtId="0" fontId="7" fillId="0" borderId="23" xfId="0" applyFont="1" applyBorder="1" applyAlignment="1" applyProtection="1">
      <alignment vertical="center" wrapText="1"/>
      <protection locked="0"/>
    </xf>
    <xf numFmtId="0" fontId="2" fillId="0" borderId="13" xfId="0" applyFont="1" applyBorder="1" applyProtection="1">
      <protection locked="0"/>
    </xf>
    <xf numFmtId="0" fontId="11" fillId="0" borderId="20" xfId="0" applyFont="1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44" xfId="0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00000000-0005-0000-0000-000001000000}"/>
  </cellStyles>
  <dxfs count="9">
    <dxf>
      <font>
        <color rgb="FF9C0006"/>
      </font>
      <fill>
        <patternFill>
          <bgColor rgb="FFFFC7CE"/>
        </patternFill>
      </fill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990033"/>
      <color rgb="FF663300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powerPivotData" Target="model/item.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 ADMISSIONS: JANUARY TO DECEMBER,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MONTH!$A$2:$A$13</c:f>
              <c:strCache>
                <c:ptCount val="12"/>
                <c:pt idx="0">
                  <c:v>JANUARY 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(Monthly!$D$13,Monthly!$D$28,Monthly!$D$43,Monthly!$D$73,Monthly!$D$88,Monthly!$D$103,Monthly!$D$148,Monthly!$D$163,Monthly!$D$178,Monthly!$D$208,Monthly!$D$223,Monthly!$D$238)</c:f>
              <c:numCache>
                <c:formatCode>General</c:formatCode>
                <c:ptCount val="12"/>
                <c:pt idx="0">
                  <c:v>398</c:v>
                </c:pt>
                <c:pt idx="1">
                  <c:v>454</c:v>
                </c:pt>
                <c:pt idx="2">
                  <c:v>425</c:v>
                </c:pt>
                <c:pt idx="3">
                  <c:v>504</c:v>
                </c:pt>
                <c:pt idx="4">
                  <c:v>528</c:v>
                </c:pt>
                <c:pt idx="5">
                  <c:v>324</c:v>
                </c:pt>
                <c:pt idx="6">
                  <c:v>530</c:v>
                </c:pt>
                <c:pt idx="7">
                  <c:v>503</c:v>
                </c:pt>
                <c:pt idx="8">
                  <c:v>453</c:v>
                </c:pt>
                <c:pt idx="9">
                  <c:v>513</c:v>
                </c:pt>
                <c:pt idx="10">
                  <c:v>529</c:v>
                </c:pt>
                <c:pt idx="11">
                  <c:v>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D6-4343-82F1-E0DF686CF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4426416"/>
        <c:axId val="304428376"/>
      </c:barChart>
      <c:catAx>
        <c:axId val="304426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layout>
            <c:manualLayout>
              <c:xMode val="edge"/>
              <c:yMode val="edge"/>
              <c:x val="0.4303665490089601"/>
              <c:y val="0.882356684025445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304428376"/>
        <c:crosses val="autoZero"/>
        <c:auto val="1"/>
        <c:lblAlgn val="ctr"/>
        <c:lblOffset val="100"/>
        <c:noMultiLvlLbl val="0"/>
      </c:catAx>
      <c:valAx>
        <c:axId val="3044283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 OF ADMISSIONS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304426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 INSITUTIONAL</a:t>
            </a:r>
            <a:r>
              <a:rPr lang="en-US" b="1" baseline="0"/>
              <a:t> DEATH RATE, 2021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5"/>
              <c:layout>
                <c:manualLayout>
                  <c:x val="-3.2719836400817999E-2"/>
                  <c:y val="-3.57941834451901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4F2-4704-897F-7295B1A71D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MONTH!$A$2:$A$13</c:f>
              <c:strCache>
                <c:ptCount val="12"/>
                <c:pt idx="0">
                  <c:v>JANUARY 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(Monthly!$P$13,Monthly!$P$28,Monthly!$P$43,Monthly!$P$73,Monthly!$P$88,Monthly!$P$103,Monthly!$P$148,Monthly!$P$163,Monthly!$P$178,Monthly!$P$208,Monthly!$P$223,Monthly!$P$238)</c:f>
              <c:numCache>
                <c:formatCode>0.00</c:formatCode>
                <c:ptCount val="12"/>
                <c:pt idx="0">
                  <c:v>3.225806451612903</c:v>
                </c:pt>
                <c:pt idx="1">
                  <c:v>4</c:v>
                </c:pt>
                <c:pt idx="2" formatCode="0.00_);[Red]\(0.00\)">
                  <c:v>2.4657534246575343</c:v>
                </c:pt>
                <c:pt idx="3">
                  <c:v>1.4888337468982631</c:v>
                </c:pt>
                <c:pt idx="4">
                  <c:v>2.109704641350211</c:v>
                </c:pt>
                <c:pt idx="5">
                  <c:v>2.4691358024691357</c:v>
                </c:pt>
                <c:pt idx="6">
                  <c:v>1.1320754716981132</c:v>
                </c:pt>
                <c:pt idx="7">
                  <c:v>1.5904572564612327</c:v>
                </c:pt>
                <c:pt idx="8">
                  <c:v>0.81300813008130079</c:v>
                </c:pt>
                <c:pt idx="9">
                  <c:v>0.97465886939571145</c:v>
                </c:pt>
                <c:pt idx="10">
                  <c:v>1.8867924528301887</c:v>
                </c:pt>
                <c:pt idx="11">
                  <c:v>3.2608695652173911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2-45EA-8C9F-85B6D8E58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433472"/>
        <c:axId val="304427200"/>
      </c:lineChart>
      <c:catAx>
        <c:axId val="304433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304427200"/>
        <c:crosses val="autoZero"/>
        <c:auto val="1"/>
        <c:lblAlgn val="ctr"/>
        <c:lblOffset val="100"/>
        <c:noMultiLvlLbl val="0"/>
      </c:catAx>
      <c:valAx>
        <c:axId val="304427200"/>
        <c:scaling>
          <c:orientation val="minMax"/>
          <c:max val="7"/>
          <c:min val="0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304433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INSTITUTIONAL MONTHLY BED OCCUPANCY RATE, 2018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MONTH!$A$2:$A$13</c:f>
              <c:strCache>
                <c:ptCount val="12"/>
                <c:pt idx="0">
                  <c:v>JANUARY 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(Monthly!$O$13,Monthly!$O$28,Monthly!$O$43,Monthly!$O$73,Monthly!$O$88,Monthly!$O$103,Monthly!$O$148,Monthly!$O$163,Monthly!$O$178,Monthly!$O$208,Monthly!$O$223,Monthly!$O$238)</c:f>
              <c:numCache>
                <c:formatCode>0.00</c:formatCode>
                <c:ptCount val="12"/>
                <c:pt idx="0">
                  <c:v>46.774193548387096</c:v>
                </c:pt>
                <c:pt idx="1">
                  <c:v>52.548154093097914</c:v>
                </c:pt>
                <c:pt idx="2" formatCode="0.00_);[Red]\(0.00\)">
                  <c:v>50.199347589706413</c:v>
                </c:pt>
                <c:pt idx="3">
                  <c:v>52.584269662921351</c:v>
                </c:pt>
                <c:pt idx="4">
                  <c:v>55.237404856832185</c:v>
                </c:pt>
                <c:pt idx="5">
                  <c:v>40.617977528089888</c:v>
                </c:pt>
                <c:pt idx="6">
                  <c:v>52.537151141718013</c:v>
                </c:pt>
                <c:pt idx="7">
                  <c:v>51.594780717651325</c:v>
                </c:pt>
                <c:pt idx="8">
                  <c:v>52.228464419475657</c:v>
                </c:pt>
                <c:pt idx="9">
                  <c:v>55.346139905762961</c:v>
                </c:pt>
                <c:pt idx="10">
                  <c:v>56.554307116104866</c:v>
                </c:pt>
                <c:pt idx="11">
                  <c:v>56.505980427691192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1D-4B05-9D22-D76585DF2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4428768"/>
        <c:axId val="304429160"/>
      </c:barChart>
      <c:catAx>
        <c:axId val="30442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304429160"/>
        <c:crosses val="autoZero"/>
        <c:auto val="1"/>
        <c:lblAlgn val="ctr"/>
        <c:lblOffset val="100"/>
        <c:noMultiLvlLbl val="0"/>
      </c:catAx>
      <c:valAx>
        <c:axId val="304429160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304428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MONTH!$B$1</c:f>
              <c:strCache>
                <c:ptCount val="1"/>
                <c:pt idx="0">
                  <c:v>Admissions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MONTH!$A$2:$A$13</c:f>
              <c:strCache>
                <c:ptCount val="12"/>
                <c:pt idx="0">
                  <c:v>JANUARY 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MONTH!$B$2:$B$13</c:f>
              <c:numCache>
                <c:formatCode>General</c:formatCode>
                <c:ptCount val="12"/>
                <c:pt idx="0" formatCode="0">
                  <c:v>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E4-41BD-AB52-4A6FD72323F9}"/>
            </c:ext>
          </c:extLst>
        </c:ser>
        <c:ser>
          <c:idx val="1"/>
          <c:order val="1"/>
          <c:tx>
            <c:strRef>
              <c:f>MONTH!$C$1</c:f>
              <c:strCache>
                <c:ptCount val="1"/>
                <c:pt idx="0">
                  <c:v>Discharges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MONTH!$A$2:$A$13</c:f>
              <c:strCache>
                <c:ptCount val="12"/>
                <c:pt idx="0">
                  <c:v>JANUARY 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MONTH!$C$2:$C$13</c:f>
              <c:numCache>
                <c:formatCode>General</c:formatCode>
                <c:ptCount val="12"/>
                <c:pt idx="0" formatCode="0">
                  <c:v>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E4-41BD-AB52-4A6FD72323F9}"/>
            </c:ext>
          </c:extLst>
        </c:ser>
        <c:ser>
          <c:idx val="2"/>
          <c:order val="2"/>
          <c:tx>
            <c:strRef>
              <c:f>MONTH!$D$1</c:f>
              <c:strCache>
                <c:ptCount val="1"/>
                <c:pt idx="0">
                  <c:v>Deaths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MONTH!$A$2:$A$13</c:f>
              <c:strCache>
                <c:ptCount val="12"/>
                <c:pt idx="0">
                  <c:v>JANUARY 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MONTH!$D$2:$D$13</c:f>
              <c:numCache>
                <c:formatCode>General</c:formatCode>
                <c:ptCount val="12"/>
                <c:pt idx="0" formatCode="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E4-41BD-AB52-4A6FD7232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0871528"/>
        <c:axId val="307756248"/>
      </c:barChart>
      <c:catAx>
        <c:axId val="230871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307756248"/>
        <c:crosses val="autoZero"/>
        <c:auto val="1"/>
        <c:lblAlgn val="ctr"/>
        <c:lblOffset val="100"/>
        <c:noMultiLvlLbl val="0"/>
      </c:catAx>
      <c:valAx>
        <c:axId val="307756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230871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MONTH!$A$16</c:f>
              <c:strCache>
                <c:ptCount val="1"/>
                <c:pt idx="0">
                  <c:v>JANUARY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MONTH!$B$15:$I$15</c:f>
              <c:strCache>
                <c:ptCount val="8"/>
                <c:pt idx="0">
                  <c:v>Male</c:v>
                </c:pt>
                <c:pt idx="1">
                  <c:v>Female</c:v>
                </c:pt>
                <c:pt idx="2">
                  <c:v>Children</c:v>
                </c:pt>
                <c:pt idx="3">
                  <c:v>Block F</c:v>
                </c:pt>
                <c:pt idx="4">
                  <c:v>Block G</c:v>
                </c:pt>
                <c:pt idx="5">
                  <c:v>Block H</c:v>
                </c:pt>
                <c:pt idx="6">
                  <c:v>NICU</c:v>
                </c:pt>
                <c:pt idx="7">
                  <c:v>A&amp;E</c:v>
                </c:pt>
              </c:strCache>
            </c:strRef>
          </c:cat>
          <c:val>
            <c:numRef>
              <c:f>MONTH!$B$16:$I$16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2.3255813953488373</c:v>
                </c:pt>
                <c:pt idx="7">
                  <c:v>23.492723492723492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AE-4A0B-8138-5DB402394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7758208"/>
        <c:axId val="307760560"/>
      </c:lineChart>
      <c:catAx>
        <c:axId val="30775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307760560"/>
        <c:crosses val="autoZero"/>
        <c:auto val="1"/>
        <c:lblAlgn val="ctr"/>
        <c:lblOffset val="100"/>
        <c:noMultiLvlLbl val="0"/>
      </c:catAx>
      <c:valAx>
        <c:axId val="30776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307758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19051</xdr:rowOff>
    </xdr:from>
    <xdr:to>
      <xdr:col>6</xdr:col>
      <xdr:colOff>523875</xdr:colOff>
      <xdr:row>14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504CF9-AE05-486B-83C5-163AADE72F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514350</xdr:colOff>
      <xdr:row>0</xdr:row>
      <xdr:rowOff>9525</xdr:rowOff>
    </xdr:from>
    <xdr:to>
      <xdr:col>14</xdr:col>
      <xdr:colOff>295275</xdr:colOff>
      <xdr:row>14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CA1DB6-A69C-44D2-8291-32A0ECEB04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285750</xdr:colOff>
      <xdr:row>0</xdr:row>
      <xdr:rowOff>19050</xdr:rowOff>
    </xdr:from>
    <xdr:to>
      <xdr:col>21</xdr:col>
      <xdr:colOff>447674</xdr:colOff>
      <xdr:row>14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3184C4-C246-450A-BCA6-4AF51C0C3C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276225</xdr:colOff>
      <xdr:row>12</xdr:row>
      <xdr:rowOff>85725</xdr:rowOff>
    </xdr:from>
    <xdr:to>
      <xdr:col>24</xdr:col>
      <xdr:colOff>238124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361950</xdr:colOff>
      <xdr:row>0</xdr:row>
      <xdr:rowOff>0</xdr:rowOff>
    </xdr:from>
    <xdr:to>
      <xdr:col>17</xdr:col>
      <xdr:colOff>57150</xdr:colOff>
      <xdr:row>14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hor" refreshedDate="46027.650869444442" backgroundQuery="1" createdVersion="8" refreshedVersion="8" minRefreshableVersion="3" recordCount="0" supportSubquery="1" supportAdvancedDrill="1" xr:uid="{8268BB44-C0F9-4AE8-B11C-B6ACC44522CC}">
  <cacheSource type="external" connectionId="1"/>
  <cacheFields count="3">
    <cacheField name="[Range].[SEX].[SEX]" caption="SEX" numFmtId="0" hierarchy="1" level="1">
      <sharedItems count="2">
        <s v="F"/>
        <s v="M"/>
      </sharedItems>
    </cacheField>
    <cacheField name="[Measures].[Count of AGE]" caption="Count of AGE" numFmtId="0" hierarchy="6" level="32767"/>
    <cacheField name="[Range].[AGE BAND].[AGE BAND]" caption="AGE BAND" numFmtId="0" hierarchy="3" level="1">
      <sharedItems count="12">
        <s v="0-28 Days"/>
        <s v="10-14 Years"/>
        <s v="1-11 Months"/>
        <s v="1-4 Years"/>
        <s v="15-17 Years"/>
        <s v="18-19 Years"/>
        <s v="20-34 Years"/>
        <s v="35-49 Years"/>
        <s v="50-59 Years"/>
        <s v="5-9 Years"/>
        <s v="60-69 Years"/>
        <s v="70+ Years"/>
      </sharedItems>
    </cacheField>
  </cacheFields>
  <cacheHierarchies count="8">
    <cacheHierarchy uniqueName="[Range].[AGE]" caption="AGE" attribute="1" defaultMemberUniqueName="[Range].[AGE].[All]" allUniqueName="[Range].[AGE].[All]" dimensionUniqueName="[Range]" displayFolder="" count="0" memberValueDatatype="130" unbalanced="0"/>
    <cacheHierarchy uniqueName="[Range].[SEX]" caption="SEX" attribute="1" defaultMemberUniqueName="[Range].[SEX].[All]" allUniqueName="[Range].[SEX].[All]" dimensionUniqueName="[Range]" displayFolder="" count="2" memberValueDatatype="130" unbalanced="0">
      <fieldsUsage count="2">
        <fieldUsage x="-1"/>
        <fieldUsage x="0"/>
      </fieldsUsage>
    </cacheHierarchy>
    <cacheHierarchy uniqueName="[Range].[WARD]" caption="WARD" attribute="1" defaultMemberUniqueName="[Range].[WARD].[All]" allUniqueName="[Range].[WARD].[All]" dimensionUniqueName="[Range]" displayFolder="" count="0" memberValueDatatype="130" unbalanced="0"/>
    <cacheHierarchy uniqueName="[Range].[AGE BAND]" caption="AGE BAND" attribute="1" defaultMemberUniqueName="[Range].[AGE BAND].[All]" allUniqueName="[Range].[AGE BAND].[All]" dimensionUniqueName="[Range]" displayFolder="" count="2" memberValueDatatype="130" unbalanced="0">
      <fieldsUsage count="2">
        <fieldUsage x="-1"/>
        <fieldUsage x="2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AGE]" caption="Count of AG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WARD]" caption="Count of WARD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928592-9DE9-4799-80F3-42DDA8436918}" name="PivotTable2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G2:J16" firstHeaderRow="1" firstDataRow="2" firstDataCol="1"/>
  <pivotFields count="3">
    <pivotField axis="axisCol" allDrilled="1" subtotalTop="0" showAll="0" sortType="descending" defaultSubtotal="0" defaultAttributeDrillState="1">
      <items count="2">
        <item x="1"/>
        <item x="0"/>
      </items>
    </pivotField>
    <pivotField dataField="1" subtotalTop="0" showAll="0" defaultSubtotal="0"/>
    <pivotField axis="axisRow" allDrilled="1" subtotalTop="0" showAll="0" defaultSubtotal="0" defaultAttributeDrillState="1">
      <items count="12">
        <item x="1"/>
        <item x="4"/>
        <item x="5"/>
        <item x="6"/>
        <item x="7"/>
        <item x="8"/>
        <item x="10"/>
        <item x="11"/>
        <item x="0"/>
        <item x="2"/>
        <item x="3"/>
        <item x="9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AGE" fld="1" subtotal="count" baseField="0" baseItem="0"/>
  </dataFields>
  <formats count="8">
    <format dxfId="8">
      <pivotArea outline="0" collapsedLevelsAreSubtotals="1" fieldPosition="0">
        <references count="1">
          <reference field="0" count="1" selected="0">
            <x v="1048832"/>
          </reference>
        </references>
      </pivotArea>
    </format>
    <format dxfId="7">
      <pivotArea field="0" type="button" dataOnly="0" labelOnly="1" outline="0" axis="axisCol" fieldPosition="0"/>
    </format>
    <format dxfId="6">
      <pivotArea dataOnly="0" labelOnly="1" fieldPosition="0">
        <references count="1">
          <reference field="0" count="1">
            <x v="1048832"/>
          </reference>
        </references>
      </pivotArea>
    </format>
    <format dxfId="5">
      <pivotArea outline="0" collapsedLevelsAreSubtotals="1" fieldPosition="0">
        <references count="1">
          <reference field="0" count="1" selected="0">
            <x v="1048832"/>
          </reference>
        </references>
      </pivotArea>
    </format>
    <format dxfId="4">
      <pivotArea type="topRight" dataOnly="0" labelOnly="1" outline="0" fieldPosition="0"/>
    </format>
    <format dxfId="3">
      <pivotArea dataOnly="0" labelOnly="1" fieldPosition="0">
        <references count="1">
          <reference field="0" count="1">
            <x v="1048832"/>
          </reference>
        </references>
      </pivotArea>
    </format>
    <format dxfId="2">
      <pivotArea grandCol="1" outline="0" collapsedLevelsAreSubtotals="1" fieldPosition="0"/>
    </format>
    <format dxfId="1">
      <pivotArea dataOnly="0" labelOnly="1" fieldPosition="0">
        <references count="1">
          <reference field="0" count="1">
            <x v="1048832"/>
          </reference>
        </references>
      </pivotArea>
    </format>
  </formats>
  <pivotHierarchies count="8"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ges Auto!$A:$D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workbookViewId="0">
      <selection activeCell="A16" sqref="A16"/>
    </sheetView>
  </sheetViews>
  <sheetFormatPr defaultRowHeight="15" x14ac:dyDescent="0.25"/>
  <sheetData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CCFF"/>
  </sheetPr>
  <dimension ref="A1:I27"/>
  <sheetViews>
    <sheetView workbookViewId="0">
      <selection activeCell="B2" sqref="B2"/>
    </sheetView>
  </sheetViews>
  <sheetFormatPr defaultRowHeight="15" x14ac:dyDescent="0.25"/>
  <cols>
    <col min="1" max="1" width="11.140625" bestFit="1" customWidth="1"/>
    <col min="2" max="3" width="9.5703125" bestFit="1" customWidth="1"/>
    <col min="4" max="9" width="9.28515625" bestFit="1" customWidth="1"/>
  </cols>
  <sheetData>
    <row r="1" spans="1:9" x14ac:dyDescent="0.25">
      <c r="B1" t="s">
        <v>9</v>
      </c>
      <c r="C1" t="s">
        <v>10</v>
      </c>
      <c r="D1" t="s">
        <v>11</v>
      </c>
      <c r="E1" t="s">
        <v>236</v>
      </c>
      <c r="F1" t="s">
        <v>237</v>
      </c>
      <c r="G1" t="s">
        <v>238</v>
      </c>
      <c r="H1" t="s">
        <v>240</v>
      </c>
      <c r="I1" t="s">
        <v>239</v>
      </c>
    </row>
    <row r="2" spans="1:9" x14ac:dyDescent="0.25">
      <c r="A2" t="s">
        <v>77</v>
      </c>
      <c r="B2" s="282">
        <f>Monthly!D13</f>
        <v>398</v>
      </c>
      <c r="C2" s="282">
        <f>Monthly!E13</f>
        <v>330</v>
      </c>
      <c r="D2" s="282">
        <f>Monthly!F13</f>
        <v>11</v>
      </c>
      <c r="E2" s="281">
        <f>Monthly!L13</f>
        <v>7.5689149560117306</v>
      </c>
      <c r="F2" s="281">
        <f>Monthly!N13</f>
        <v>1.9157303370786516</v>
      </c>
      <c r="G2" s="281">
        <f>Monthly!M13</f>
        <v>8.612903225806452</v>
      </c>
      <c r="H2" s="281">
        <f>Monthly!O13</f>
        <v>46.774193548387096</v>
      </c>
      <c r="I2" s="281">
        <f>Monthly!P13</f>
        <v>3.225806451612903</v>
      </c>
    </row>
    <row r="3" spans="1:9" x14ac:dyDescent="0.25">
      <c r="A3" t="s">
        <v>41</v>
      </c>
    </row>
    <row r="4" spans="1:9" x14ac:dyDescent="0.25">
      <c r="A4" t="s">
        <v>42</v>
      </c>
    </row>
    <row r="5" spans="1:9" x14ac:dyDescent="0.25">
      <c r="A5" t="s">
        <v>50</v>
      </c>
    </row>
    <row r="6" spans="1:9" x14ac:dyDescent="0.25">
      <c r="A6" t="s">
        <v>58</v>
      </c>
    </row>
    <row r="7" spans="1:9" x14ac:dyDescent="0.25">
      <c r="A7" t="s">
        <v>60</v>
      </c>
    </row>
    <row r="8" spans="1:9" x14ac:dyDescent="0.25">
      <c r="A8" t="s">
        <v>61</v>
      </c>
    </row>
    <row r="9" spans="1:9" x14ac:dyDescent="0.25">
      <c r="A9" t="s">
        <v>62</v>
      </c>
    </row>
    <row r="10" spans="1:9" x14ac:dyDescent="0.25">
      <c r="A10" t="s">
        <v>63</v>
      </c>
    </row>
    <row r="11" spans="1:9" x14ac:dyDescent="0.25">
      <c r="A11" t="s">
        <v>64</v>
      </c>
    </row>
    <row r="12" spans="1:9" x14ac:dyDescent="0.25">
      <c r="A12" t="s">
        <v>66</v>
      </c>
    </row>
    <row r="13" spans="1:9" x14ac:dyDescent="0.25">
      <c r="A13" t="s">
        <v>67</v>
      </c>
    </row>
    <row r="15" spans="1:9" x14ac:dyDescent="0.25">
      <c r="A15" t="s">
        <v>241</v>
      </c>
      <c r="B15" t="s">
        <v>120</v>
      </c>
      <c r="C15" t="s">
        <v>242</v>
      </c>
      <c r="D15" t="s">
        <v>243</v>
      </c>
      <c r="E15" t="s">
        <v>29</v>
      </c>
      <c r="F15" t="s">
        <v>31</v>
      </c>
      <c r="G15" t="s">
        <v>32</v>
      </c>
      <c r="H15" t="s">
        <v>79</v>
      </c>
      <c r="I15" t="s">
        <v>244</v>
      </c>
    </row>
    <row r="16" spans="1:9" x14ac:dyDescent="0.25">
      <c r="A16" t="s">
        <v>77</v>
      </c>
      <c r="B16" s="206" t="e">
        <f>Monthly!P4</f>
        <v>#DIV/0!</v>
      </c>
      <c r="C16" s="206" t="e">
        <f>Monthly!P6</f>
        <v>#DIV/0!</v>
      </c>
      <c r="D16" s="206" t="e">
        <f>Monthly!P5</f>
        <v>#DIV/0!</v>
      </c>
      <c r="E16" s="206">
        <f>Monthly!P7</f>
        <v>0</v>
      </c>
      <c r="F16" s="206">
        <f>Monthly!P9</f>
        <v>0</v>
      </c>
      <c r="G16" s="206">
        <f>Monthly!P10</f>
        <v>0</v>
      </c>
      <c r="H16" s="206">
        <f>Monthly!P12</f>
        <v>2.3255813953488373</v>
      </c>
      <c r="I16" s="206">
        <f>(Monthly!P8+Monthly!P11)/2</f>
        <v>23.492723492723492</v>
      </c>
    </row>
    <row r="17" spans="1:1" x14ac:dyDescent="0.25">
      <c r="A17" t="s">
        <v>41</v>
      </c>
    </row>
    <row r="18" spans="1:1" x14ac:dyDescent="0.25">
      <c r="A18" t="s">
        <v>42</v>
      </c>
    </row>
    <row r="19" spans="1:1" x14ac:dyDescent="0.25">
      <c r="A19" t="s">
        <v>50</v>
      </c>
    </row>
    <row r="20" spans="1:1" x14ac:dyDescent="0.25">
      <c r="A20" t="s">
        <v>58</v>
      </c>
    </row>
    <row r="21" spans="1:1" x14ac:dyDescent="0.25">
      <c r="A21" t="s">
        <v>60</v>
      </c>
    </row>
    <row r="22" spans="1:1" x14ac:dyDescent="0.25">
      <c r="A22" t="s">
        <v>61</v>
      </c>
    </row>
    <row r="23" spans="1:1" x14ac:dyDescent="0.25">
      <c r="A23" t="s">
        <v>62</v>
      </c>
    </row>
    <row r="24" spans="1:1" x14ac:dyDescent="0.25">
      <c r="A24" t="s">
        <v>63</v>
      </c>
    </row>
    <row r="25" spans="1:1" x14ac:dyDescent="0.25">
      <c r="A25" t="s">
        <v>64</v>
      </c>
    </row>
    <row r="26" spans="1:1" x14ac:dyDescent="0.25">
      <c r="A26" t="s">
        <v>66</v>
      </c>
    </row>
    <row r="27" spans="1:1" x14ac:dyDescent="0.25">
      <c r="A27" t="s">
        <v>67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2" tint="-0.749992370372631"/>
    <pageSetUpPr fitToPage="1"/>
  </sheetPr>
  <dimension ref="A1:T290"/>
  <sheetViews>
    <sheetView zoomScale="90" zoomScaleNormal="90" workbookViewId="0">
      <selection activeCell="I236" sqref="I236"/>
    </sheetView>
  </sheetViews>
  <sheetFormatPr defaultColWidth="9.140625" defaultRowHeight="15" x14ac:dyDescent="0.25"/>
  <cols>
    <col min="1" max="1" width="23.140625" style="72" customWidth="1"/>
    <col min="2" max="2" width="14.7109375" style="72" customWidth="1"/>
    <col min="3" max="3" width="16.85546875" style="72" customWidth="1"/>
    <col min="4" max="4" width="16.140625" style="72" customWidth="1"/>
    <col min="5" max="5" width="11.140625" style="72" customWidth="1"/>
    <col min="6" max="6" width="10.140625" style="72" customWidth="1"/>
    <col min="7" max="7" width="10.28515625" style="72" customWidth="1"/>
    <col min="8" max="8" width="8.7109375" style="72" customWidth="1"/>
    <col min="9" max="9" width="10.5703125" style="72" customWidth="1"/>
    <col min="10" max="10" width="8.85546875" style="72" customWidth="1"/>
    <col min="11" max="11" width="12.140625" style="72" customWidth="1"/>
    <col min="12" max="12" width="8.28515625" style="72" customWidth="1"/>
    <col min="13" max="13" width="10.140625" style="143" customWidth="1"/>
    <col min="14" max="14" width="9.5703125" style="72" customWidth="1"/>
    <col min="15" max="15" width="11.28515625" style="72" customWidth="1"/>
    <col min="16" max="16" width="7.7109375" style="72" customWidth="1"/>
    <col min="17" max="18" width="9.140625" style="72" customWidth="1"/>
    <col min="19" max="16384" width="9.140625" style="72"/>
  </cols>
  <sheetData>
    <row r="1" spans="1:20" ht="25.5" x14ac:dyDescent="0.35">
      <c r="A1" s="602" t="s">
        <v>1</v>
      </c>
      <c r="B1" s="602"/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2"/>
      <c r="N1" s="602"/>
      <c r="O1" s="602"/>
      <c r="P1" s="602"/>
    </row>
    <row r="2" spans="1:20" ht="26.25" thickBot="1" x14ac:dyDescent="0.4">
      <c r="A2" s="602" t="s">
        <v>627</v>
      </c>
      <c r="B2" s="602"/>
      <c r="C2" s="602"/>
      <c r="D2" s="602"/>
      <c r="E2" s="602"/>
      <c r="F2" s="602"/>
      <c r="G2" s="602"/>
      <c r="H2" s="602"/>
      <c r="I2" s="602"/>
      <c r="J2" s="602"/>
      <c r="K2" s="602"/>
      <c r="L2" s="602"/>
      <c r="M2" s="602"/>
      <c r="N2" s="602"/>
      <c r="O2" s="602"/>
      <c r="P2" s="602"/>
    </row>
    <row r="3" spans="1:20" s="183" customFormat="1" ht="43.5" customHeight="1" thickBot="1" x14ac:dyDescent="0.25">
      <c r="A3" s="176" t="s">
        <v>20</v>
      </c>
      <c r="B3" s="177" t="s">
        <v>22</v>
      </c>
      <c r="C3" s="178" t="s">
        <v>21</v>
      </c>
      <c r="D3" s="178" t="s">
        <v>9</v>
      </c>
      <c r="E3" s="178" t="s">
        <v>10</v>
      </c>
      <c r="F3" s="178" t="s">
        <v>11</v>
      </c>
      <c r="G3" s="178" t="s">
        <v>80</v>
      </c>
      <c r="H3" s="178" t="s">
        <v>25</v>
      </c>
      <c r="I3" s="178" t="s">
        <v>23</v>
      </c>
      <c r="J3" s="179" t="s">
        <v>24</v>
      </c>
      <c r="K3" s="180" t="s">
        <v>43</v>
      </c>
      <c r="L3" s="178" t="s">
        <v>44</v>
      </c>
      <c r="M3" s="181" t="s">
        <v>45</v>
      </c>
      <c r="N3" s="178" t="s">
        <v>46</v>
      </c>
      <c r="O3" s="178" t="s">
        <v>47</v>
      </c>
      <c r="P3" s="179" t="s">
        <v>48</v>
      </c>
      <c r="Q3" s="182" t="s">
        <v>49</v>
      </c>
      <c r="T3" s="183" t="s">
        <v>49</v>
      </c>
    </row>
    <row r="4" spans="1:20" ht="24.95" customHeight="1" x14ac:dyDescent="0.25">
      <c r="A4" s="73" t="s">
        <v>26</v>
      </c>
      <c r="B4" s="74">
        <f>Male!H4</f>
        <v>18</v>
      </c>
      <c r="C4" s="75">
        <v>32</v>
      </c>
      <c r="D4" s="76">
        <f>Male!B38</f>
        <v>0</v>
      </c>
      <c r="E4" s="76">
        <f>Male!C38</f>
        <v>0</v>
      </c>
      <c r="F4" s="76">
        <f>Male!D38</f>
        <v>0</v>
      </c>
      <c r="G4" s="76">
        <f>Male!E38</f>
        <v>0</v>
      </c>
      <c r="H4" s="76">
        <f>Male!H38</f>
        <v>558</v>
      </c>
      <c r="I4" s="76">
        <f>Male!F38</f>
        <v>0</v>
      </c>
      <c r="J4" s="77">
        <f>Male!G38</f>
        <v>0</v>
      </c>
      <c r="K4" s="78">
        <f>H4/31</f>
        <v>18</v>
      </c>
      <c r="L4" s="79" t="e">
        <f>H4/(E4+F4)</f>
        <v>#DIV/0!</v>
      </c>
      <c r="M4" s="80" t="e">
        <f>((C4*31)-H4)/(E4+F4)</f>
        <v>#DIV/0!</v>
      </c>
      <c r="N4" s="81">
        <f>(E4+F4)/C4</f>
        <v>0</v>
      </c>
      <c r="O4" s="79">
        <f>H4*100/(C4*31)</f>
        <v>56.25</v>
      </c>
      <c r="P4" s="82" t="e">
        <f>F4*100/(E4+F4)</f>
        <v>#DIV/0!</v>
      </c>
    </row>
    <row r="5" spans="1:20" ht="24.95" customHeight="1" x14ac:dyDescent="0.25">
      <c r="A5" s="83" t="s">
        <v>27</v>
      </c>
      <c r="B5" s="84">
        <f>Paediatric!H4</f>
        <v>6</v>
      </c>
      <c r="C5" s="85">
        <v>27</v>
      </c>
      <c r="D5" s="86">
        <f>Paediatric!B38</f>
        <v>0</v>
      </c>
      <c r="E5" s="86">
        <f>Paediatric!C38</f>
        <v>0</v>
      </c>
      <c r="F5" s="86">
        <f>Paediatric!D38</f>
        <v>0</v>
      </c>
      <c r="G5" s="86">
        <f>Paediatric!E38</f>
        <v>0</v>
      </c>
      <c r="H5" s="86">
        <f>Paediatric!H38</f>
        <v>186</v>
      </c>
      <c r="I5" s="86">
        <f>Paediatric!F38</f>
        <v>0</v>
      </c>
      <c r="J5" s="87">
        <f>Paediatric!G38</f>
        <v>0</v>
      </c>
      <c r="K5" s="78">
        <f t="shared" ref="K5:K12" si="0">H5/31</f>
        <v>6</v>
      </c>
      <c r="L5" s="79" t="e">
        <f t="shared" ref="L5:L13" si="1">H5/(E5+F5)</f>
        <v>#DIV/0!</v>
      </c>
      <c r="M5" s="88" t="e">
        <f t="shared" ref="M5:M14" si="2">((C5*31)-H5)/(E5+F5)</f>
        <v>#DIV/0!</v>
      </c>
      <c r="N5" s="81">
        <f t="shared" ref="N5:N14" si="3">(E5+F5)/C5</f>
        <v>0</v>
      </c>
      <c r="O5" s="89">
        <f t="shared" ref="O5:O14" si="4">H5*100/(C5*31)</f>
        <v>22.222222222222221</v>
      </c>
      <c r="P5" s="90" t="e">
        <f t="shared" ref="P5:P12" si="5">F5*100/(E5+F5)</f>
        <v>#DIV/0!</v>
      </c>
    </row>
    <row r="6" spans="1:20" ht="24.95" customHeight="1" x14ac:dyDescent="0.25">
      <c r="A6" s="83" t="s">
        <v>28</v>
      </c>
      <c r="B6" s="84">
        <f>Female!H4</f>
        <v>15</v>
      </c>
      <c r="C6" s="85">
        <v>28</v>
      </c>
      <c r="D6" s="86">
        <f>Female!B38</f>
        <v>0</v>
      </c>
      <c r="E6" s="86">
        <f>Female!C38</f>
        <v>0</v>
      </c>
      <c r="F6" s="86">
        <f>Female!D38</f>
        <v>0</v>
      </c>
      <c r="G6" s="86">
        <f>Female!E38</f>
        <v>0</v>
      </c>
      <c r="H6" s="86">
        <f>Female!H38</f>
        <v>465</v>
      </c>
      <c r="I6" s="86">
        <f>Female!F38</f>
        <v>0</v>
      </c>
      <c r="J6" s="87">
        <f>Female!G38</f>
        <v>0</v>
      </c>
      <c r="K6" s="78">
        <f t="shared" si="0"/>
        <v>15</v>
      </c>
      <c r="L6" s="79" t="e">
        <f t="shared" si="1"/>
        <v>#DIV/0!</v>
      </c>
      <c r="M6" s="88" t="e">
        <f t="shared" si="2"/>
        <v>#DIV/0!</v>
      </c>
      <c r="N6" s="81">
        <f t="shared" si="3"/>
        <v>0</v>
      </c>
      <c r="O6" s="89">
        <f t="shared" si="4"/>
        <v>53.571428571428569</v>
      </c>
      <c r="P6" s="90" t="e">
        <f t="shared" si="5"/>
        <v>#DIV/0!</v>
      </c>
    </row>
    <row r="7" spans="1:20" ht="24.95" customHeight="1" x14ac:dyDescent="0.25">
      <c r="A7" s="83" t="s">
        <v>29</v>
      </c>
      <c r="B7" s="84">
        <f>'BLK F'!H4</f>
        <v>12</v>
      </c>
      <c r="C7" s="85">
        <v>20</v>
      </c>
      <c r="D7" s="86">
        <f>'BLK F'!B38</f>
        <v>82</v>
      </c>
      <c r="E7" s="86">
        <f>'BLK F'!C38</f>
        <v>81</v>
      </c>
      <c r="F7" s="86">
        <f>'BLK F'!D38</f>
        <v>0</v>
      </c>
      <c r="G7" s="86">
        <f>'BLK F'!E38</f>
        <v>0</v>
      </c>
      <c r="H7" s="86">
        <f>'BLK F'!H38</f>
        <v>277</v>
      </c>
      <c r="I7" s="86">
        <f>'BLK F'!F38</f>
        <v>1</v>
      </c>
      <c r="J7" s="87">
        <f>'BLK F'!G38</f>
        <v>7</v>
      </c>
      <c r="K7" s="78">
        <f t="shared" si="0"/>
        <v>8.935483870967742</v>
      </c>
      <c r="L7" s="79">
        <f t="shared" si="1"/>
        <v>3.4197530864197532</v>
      </c>
      <c r="M7" s="88">
        <f t="shared" si="2"/>
        <v>4.2345679012345681</v>
      </c>
      <c r="N7" s="81">
        <f t="shared" si="3"/>
        <v>4.05</v>
      </c>
      <c r="O7" s="89">
        <f t="shared" si="4"/>
        <v>44.677419354838712</v>
      </c>
      <c r="P7" s="90">
        <f t="shared" si="5"/>
        <v>0</v>
      </c>
    </row>
    <row r="8" spans="1:20" ht="24.95" customHeight="1" x14ac:dyDescent="0.25">
      <c r="A8" s="83" t="s">
        <v>30</v>
      </c>
      <c r="B8" s="84">
        <f>'Male Emergency'!H4</f>
        <v>2</v>
      </c>
      <c r="C8" s="85">
        <v>10</v>
      </c>
      <c r="D8" s="86">
        <f>'Male Emergency'!B38</f>
        <v>63</v>
      </c>
      <c r="E8" s="86">
        <f>'Male Emergency'!C38</f>
        <v>31</v>
      </c>
      <c r="F8" s="86">
        <f>'Male Emergency'!D38</f>
        <v>6</v>
      </c>
      <c r="G8" s="86">
        <f>'Male Emergency'!E38</f>
        <v>7</v>
      </c>
      <c r="H8" s="86">
        <f>'Male Emergency'!H38</f>
        <v>123</v>
      </c>
      <c r="I8" s="86">
        <f>'Male Emergency'!F38</f>
        <v>0</v>
      </c>
      <c r="J8" s="87">
        <f>'Male Emergency'!G38</f>
        <v>27</v>
      </c>
      <c r="K8" s="78">
        <f t="shared" si="0"/>
        <v>3.967741935483871</v>
      </c>
      <c r="L8" s="79">
        <f t="shared" si="1"/>
        <v>3.3243243243243241</v>
      </c>
      <c r="M8" s="88">
        <f t="shared" si="2"/>
        <v>5.0540540540540544</v>
      </c>
      <c r="N8" s="81">
        <f t="shared" si="3"/>
        <v>3.7</v>
      </c>
      <c r="O8" s="89">
        <f t="shared" si="4"/>
        <v>39.677419354838712</v>
      </c>
      <c r="P8" s="90">
        <f t="shared" si="5"/>
        <v>16.216216216216218</v>
      </c>
    </row>
    <row r="9" spans="1:20" ht="24.95" customHeight="1" x14ac:dyDescent="0.25">
      <c r="A9" s="83" t="s">
        <v>31</v>
      </c>
      <c r="B9" s="84">
        <f>'BLK G'!H4</f>
        <v>8</v>
      </c>
      <c r="C9" s="85">
        <v>14</v>
      </c>
      <c r="D9" s="86">
        <f>'BLK G'!B38</f>
        <v>95</v>
      </c>
      <c r="E9" s="86">
        <f>'BLK G'!C38</f>
        <v>90</v>
      </c>
      <c r="F9" s="86">
        <f>'BLK G'!D38</f>
        <v>0</v>
      </c>
      <c r="G9" s="86">
        <f>'BLK G'!E38</f>
        <v>0</v>
      </c>
      <c r="H9" s="86">
        <f>'BLK G'!H38</f>
        <v>199</v>
      </c>
      <c r="I9" s="86">
        <f>'BLK G'!F38</f>
        <v>23</v>
      </c>
      <c r="J9" s="87">
        <f>'BLK G'!G38</f>
        <v>28</v>
      </c>
      <c r="K9" s="78">
        <f t="shared" si="0"/>
        <v>6.419354838709677</v>
      </c>
      <c r="L9" s="79">
        <f t="shared" si="1"/>
        <v>2.2111111111111112</v>
      </c>
      <c r="M9" s="88">
        <f t="shared" si="2"/>
        <v>2.6111111111111112</v>
      </c>
      <c r="N9" s="81">
        <f t="shared" si="3"/>
        <v>6.4285714285714288</v>
      </c>
      <c r="O9" s="89">
        <f t="shared" si="4"/>
        <v>45.852534562211979</v>
      </c>
      <c r="P9" s="90">
        <f t="shared" si="5"/>
        <v>0</v>
      </c>
    </row>
    <row r="10" spans="1:20" ht="24.95" customHeight="1" x14ac:dyDescent="0.25">
      <c r="A10" s="83" t="s">
        <v>32</v>
      </c>
      <c r="B10" s="84">
        <f>'BLK H'!H4</f>
        <v>12</v>
      </c>
      <c r="C10" s="85">
        <v>22</v>
      </c>
      <c r="D10" s="86">
        <f>'BLK H'!B38</f>
        <v>69</v>
      </c>
      <c r="E10" s="86">
        <f>'BLK H'!C38</f>
        <v>77</v>
      </c>
      <c r="F10" s="86">
        <f>'BLK H'!D38</f>
        <v>0</v>
      </c>
      <c r="G10" s="86">
        <f>'BLK H'!E38</f>
        <v>0</v>
      </c>
      <c r="H10" s="86">
        <f>'BLK H'!H38</f>
        <v>361</v>
      </c>
      <c r="I10" s="86">
        <f>'BLK H'!F38</f>
        <v>31</v>
      </c>
      <c r="J10" s="87">
        <f>'BLK H'!G38</f>
        <v>20</v>
      </c>
      <c r="K10" s="78">
        <f t="shared" si="0"/>
        <v>11.64516129032258</v>
      </c>
      <c r="L10" s="79">
        <f t="shared" si="1"/>
        <v>4.6883116883116882</v>
      </c>
      <c r="M10" s="88">
        <f t="shared" si="2"/>
        <v>4.1688311688311686</v>
      </c>
      <c r="N10" s="81">
        <f t="shared" si="3"/>
        <v>3.5</v>
      </c>
      <c r="O10" s="89">
        <f t="shared" si="4"/>
        <v>52.932551319648091</v>
      </c>
      <c r="P10" s="90">
        <f t="shared" si="5"/>
        <v>0</v>
      </c>
    </row>
    <row r="11" spans="1:20" ht="24.95" customHeight="1" x14ac:dyDescent="0.25">
      <c r="A11" s="83" t="s">
        <v>33</v>
      </c>
      <c r="B11" s="84">
        <f>'Female Emergency'!H4</f>
        <v>4</v>
      </c>
      <c r="C11" s="85">
        <v>10</v>
      </c>
      <c r="D11" s="86">
        <f>'Female Emergency'!B38</f>
        <v>45</v>
      </c>
      <c r="E11" s="86">
        <f>'Female Emergency'!C38</f>
        <v>9</v>
      </c>
      <c r="F11" s="86">
        <f>'Female Emergency'!D38</f>
        <v>4</v>
      </c>
      <c r="G11" s="86">
        <f>'Female Emergency'!E38</f>
        <v>1</v>
      </c>
      <c r="H11" s="86">
        <f>'Female Emergency'!H38</f>
        <v>96</v>
      </c>
      <c r="I11" s="86">
        <f>'Female Emergency'!F38</f>
        <v>0</v>
      </c>
      <c r="J11" s="87">
        <f>'Female Emergency'!G38</f>
        <v>33</v>
      </c>
      <c r="K11" s="78">
        <f t="shared" si="0"/>
        <v>3.096774193548387</v>
      </c>
      <c r="L11" s="79">
        <f t="shared" si="1"/>
        <v>7.384615384615385</v>
      </c>
      <c r="M11" s="88">
        <f t="shared" si="2"/>
        <v>16.46153846153846</v>
      </c>
      <c r="N11" s="81">
        <f t="shared" si="3"/>
        <v>1.3</v>
      </c>
      <c r="O11" s="89">
        <f t="shared" si="4"/>
        <v>30.967741935483872</v>
      </c>
      <c r="P11" s="90">
        <f t="shared" si="5"/>
        <v>30.76923076923077</v>
      </c>
    </row>
    <row r="12" spans="1:20" ht="24.95" customHeight="1" thickBot="1" x14ac:dyDescent="0.3">
      <c r="A12" s="91" t="s">
        <v>34</v>
      </c>
      <c r="B12" s="92">
        <f>Neonatal!H4</f>
        <v>11</v>
      </c>
      <c r="C12" s="93">
        <v>15</v>
      </c>
      <c r="D12" s="94">
        <f>Neonatal!B38</f>
        <v>44</v>
      </c>
      <c r="E12" s="94">
        <f>Neonatal!C38</f>
        <v>42</v>
      </c>
      <c r="F12" s="94">
        <f>Neonatal!D38</f>
        <v>1</v>
      </c>
      <c r="G12" s="94">
        <f>Neonatal!E38</f>
        <v>0</v>
      </c>
      <c r="H12" s="94">
        <f>Neonatal!H38</f>
        <v>316</v>
      </c>
      <c r="I12" s="94">
        <f>Neonatal!F38</f>
        <v>0</v>
      </c>
      <c r="J12" s="95">
        <f>Neonatal!G38</f>
        <v>1</v>
      </c>
      <c r="K12" s="96">
        <f t="shared" si="0"/>
        <v>10.193548387096774</v>
      </c>
      <c r="L12" s="97">
        <f t="shared" si="1"/>
        <v>7.3488372093023253</v>
      </c>
      <c r="M12" s="98">
        <f t="shared" si="2"/>
        <v>3.4651162790697674</v>
      </c>
      <c r="N12" s="99">
        <f t="shared" si="3"/>
        <v>2.8666666666666667</v>
      </c>
      <c r="O12" s="100">
        <f t="shared" si="4"/>
        <v>67.956989247311824</v>
      </c>
      <c r="P12" s="90">
        <f t="shared" si="5"/>
        <v>2.3255813953488373</v>
      </c>
    </row>
    <row r="13" spans="1:20" s="111" customFormat="1" ht="16.5" thickBot="1" x14ac:dyDescent="0.3">
      <c r="A13" s="101" t="s">
        <v>35</v>
      </c>
      <c r="B13" s="102">
        <f t="shared" ref="B13:J13" si="6">SUM(B4:B12)</f>
        <v>88</v>
      </c>
      <c r="C13" s="103">
        <f t="shared" si="6"/>
        <v>178</v>
      </c>
      <c r="D13" s="104">
        <f t="shared" si="6"/>
        <v>398</v>
      </c>
      <c r="E13" s="104">
        <f t="shared" si="6"/>
        <v>330</v>
      </c>
      <c r="F13" s="104">
        <f t="shared" si="6"/>
        <v>11</v>
      </c>
      <c r="G13" s="104">
        <f t="shared" si="6"/>
        <v>8</v>
      </c>
      <c r="H13" s="104">
        <f t="shared" si="6"/>
        <v>2581</v>
      </c>
      <c r="I13" s="105">
        <f t="shared" si="6"/>
        <v>55</v>
      </c>
      <c r="J13" s="106">
        <f t="shared" si="6"/>
        <v>116</v>
      </c>
      <c r="K13" s="214">
        <f>H13/31</f>
        <v>83.258064516129039</v>
      </c>
      <c r="L13" s="107">
        <f t="shared" si="1"/>
        <v>7.5689149560117306</v>
      </c>
      <c r="M13" s="108">
        <f t="shared" si="2"/>
        <v>8.612903225806452</v>
      </c>
      <c r="N13" s="109">
        <f t="shared" si="3"/>
        <v>1.9157303370786516</v>
      </c>
      <c r="O13" s="107">
        <f t="shared" si="4"/>
        <v>46.774193548387096</v>
      </c>
      <c r="P13" s="110">
        <f>F13*100/(E13+F13)</f>
        <v>3.225806451612903</v>
      </c>
    </row>
    <row r="14" spans="1:20" x14ac:dyDescent="0.25">
      <c r="A14" s="235" t="s">
        <v>196</v>
      </c>
      <c r="B14" s="253">
        <f>B8+B11</f>
        <v>6</v>
      </c>
      <c r="C14" s="253">
        <f t="shared" ref="C14:J14" si="7">C8+C11</f>
        <v>20</v>
      </c>
      <c r="D14" s="253">
        <f t="shared" si="7"/>
        <v>108</v>
      </c>
      <c r="E14" s="253">
        <f t="shared" si="7"/>
        <v>40</v>
      </c>
      <c r="F14" s="253">
        <f t="shared" si="7"/>
        <v>10</v>
      </c>
      <c r="G14" s="253">
        <f t="shared" si="7"/>
        <v>8</v>
      </c>
      <c r="H14" s="253">
        <f t="shared" si="7"/>
        <v>219</v>
      </c>
      <c r="I14" s="253">
        <f t="shared" si="7"/>
        <v>0</v>
      </c>
      <c r="J14" s="253">
        <f t="shared" si="7"/>
        <v>60</v>
      </c>
      <c r="K14" s="236">
        <f>H14/31</f>
        <v>7.064516129032258</v>
      </c>
      <c r="L14" s="237">
        <f>H14/(E14+F14)</f>
        <v>4.38</v>
      </c>
      <c r="M14" s="238">
        <f t="shared" si="2"/>
        <v>8.02</v>
      </c>
      <c r="N14" s="239">
        <f t="shared" si="3"/>
        <v>2.5</v>
      </c>
      <c r="O14" s="237">
        <f t="shared" si="4"/>
        <v>35.322580645161288</v>
      </c>
      <c r="P14" s="240">
        <f>F14*100/(E14+F14)</f>
        <v>20</v>
      </c>
      <c r="Q14" s="72">
        <f>G14/(F14+G14)*100</f>
        <v>44.444444444444443</v>
      </c>
    </row>
    <row r="16" spans="1:20" ht="25.5" x14ac:dyDescent="0.35">
      <c r="A16" s="602" t="s">
        <v>1</v>
      </c>
      <c r="B16" s="602"/>
      <c r="C16" s="602"/>
      <c r="D16" s="602"/>
      <c r="E16" s="602"/>
      <c r="F16" s="602"/>
      <c r="G16" s="602"/>
      <c r="H16" s="602"/>
      <c r="I16" s="602"/>
      <c r="J16" s="602"/>
      <c r="K16" s="602"/>
      <c r="L16" s="602"/>
      <c r="M16" s="602"/>
      <c r="N16" s="602"/>
      <c r="O16" s="602"/>
      <c r="P16" s="602"/>
    </row>
    <row r="17" spans="1:19" ht="26.25" thickBot="1" x14ac:dyDescent="0.4">
      <c r="A17" s="601" t="s">
        <v>628</v>
      </c>
      <c r="B17" s="601"/>
      <c r="C17" s="601"/>
      <c r="D17" s="601"/>
      <c r="E17" s="601"/>
      <c r="F17" s="601"/>
      <c r="G17" s="601"/>
      <c r="H17" s="601"/>
      <c r="I17" s="601"/>
      <c r="J17" s="601"/>
      <c r="K17" s="601"/>
      <c r="L17" s="601"/>
      <c r="M17" s="601"/>
      <c r="N17" s="601"/>
      <c r="O17" s="601"/>
      <c r="P17" s="601"/>
    </row>
    <row r="18" spans="1:19" s="184" customFormat="1" ht="39" customHeight="1" thickBot="1" x14ac:dyDescent="0.25">
      <c r="A18" s="176" t="s">
        <v>20</v>
      </c>
      <c r="B18" s="180" t="s">
        <v>22</v>
      </c>
      <c r="C18" s="178" t="s">
        <v>21</v>
      </c>
      <c r="D18" s="178" t="s">
        <v>9</v>
      </c>
      <c r="E18" s="178" t="s">
        <v>10</v>
      </c>
      <c r="F18" s="178" t="s">
        <v>11</v>
      </c>
      <c r="G18" s="178" t="s">
        <v>80</v>
      </c>
      <c r="H18" s="178" t="s">
        <v>25</v>
      </c>
      <c r="I18" s="178" t="s">
        <v>23</v>
      </c>
      <c r="J18" s="179" t="s">
        <v>24</v>
      </c>
      <c r="K18" s="178" t="s">
        <v>43</v>
      </c>
      <c r="L18" s="178" t="s">
        <v>44</v>
      </c>
      <c r="M18" s="181" t="s">
        <v>45</v>
      </c>
      <c r="N18" s="178" t="s">
        <v>46</v>
      </c>
      <c r="O18" s="178" t="s">
        <v>47</v>
      </c>
      <c r="P18" s="179" t="s">
        <v>48</v>
      </c>
    </row>
    <row r="19" spans="1:19" ht="24.95" customHeight="1" x14ac:dyDescent="0.25">
      <c r="A19" s="73" t="s">
        <v>26</v>
      </c>
      <c r="B19" s="112">
        <f>Male!H37</f>
        <v>18</v>
      </c>
      <c r="C19" s="75">
        <v>32</v>
      </c>
      <c r="D19" s="76">
        <f>Male!B76</f>
        <v>0</v>
      </c>
      <c r="E19" s="76">
        <f>Male!C76</f>
        <v>0</v>
      </c>
      <c r="F19" s="76">
        <f>Male!D76</f>
        <v>0</v>
      </c>
      <c r="G19" s="76">
        <f>Male!E76</f>
        <v>0</v>
      </c>
      <c r="H19" s="76">
        <f>Male!H76</f>
        <v>522</v>
      </c>
      <c r="I19" s="76">
        <f>Male!F76</f>
        <v>0</v>
      </c>
      <c r="J19" s="77">
        <f>Male!G76</f>
        <v>0</v>
      </c>
      <c r="K19" s="78">
        <f>H19/28</f>
        <v>18.642857142857142</v>
      </c>
      <c r="L19" s="79" t="e">
        <f>H19/(E19+F19)</f>
        <v>#DIV/0!</v>
      </c>
      <c r="M19" s="80" t="e">
        <f>((C19*28)-H19)/(E19+F19)</f>
        <v>#DIV/0!</v>
      </c>
      <c r="N19" s="81">
        <f>(E19+F19)/C19</f>
        <v>0</v>
      </c>
      <c r="O19" s="79">
        <f>H19*100/(C19*28)</f>
        <v>58.258928571428569</v>
      </c>
      <c r="P19" s="82" t="e">
        <f t="shared" ref="P19:P28" si="8">F19*100/(E19+F19)</f>
        <v>#DIV/0!</v>
      </c>
      <c r="S19" s="72" t="s">
        <v>49</v>
      </c>
    </row>
    <row r="20" spans="1:19" ht="24.95" customHeight="1" x14ac:dyDescent="0.25">
      <c r="A20" s="83" t="s">
        <v>27</v>
      </c>
      <c r="B20" s="113">
        <f>Paediatric!H37</f>
        <v>6</v>
      </c>
      <c r="C20" s="85">
        <v>27</v>
      </c>
      <c r="D20" s="86">
        <f>Paediatric!B76</f>
        <v>0</v>
      </c>
      <c r="E20" s="86">
        <f>Paediatric!C76</f>
        <v>0</v>
      </c>
      <c r="F20" s="86">
        <f>Paediatric!D76</f>
        <v>0</v>
      </c>
      <c r="G20" s="86">
        <f>Paediatric!E76</f>
        <v>0</v>
      </c>
      <c r="H20" s="86">
        <f>Paediatric!H76</f>
        <v>174</v>
      </c>
      <c r="I20" s="86">
        <f>Paediatric!F76</f>
        <v>0</v>
      </c>
      <c r="J20" s="87">
        <f>Paediatric!G76</f>
        <v>0</v>
      </c>
      <c r="K20" s="78">
        <f t="shared" ref="K20:K27" si="9">H20/28</f>
        <v>6.2142857142857144</v>
      </c>
      <c r="L20" s="79" t="e">
        <f t="shared" ref="L20:L27" si="10">H20/(E20+F20)</f>
        <v>#DIV/0!</v>
      </c>
      <c r="M20" s="80" t="e">
        <f t="shared" ref="M20:M27" si="11">((C20*28)-H20)/(E20+F20)</f>
        <v>#DIV/0!</v>
      </c>
      <c r="N20" s="81">
        <f t="shared" ref="N20:N27" si="12">(E20+F20)/C20</f>
        <v>0</v>
      </c>
      <c r="O20" s="79">
        <f t="shared" ref="O20:O27" si="13">H20*100/(C20*28)</f>
        <v>23.015873015873016</v>
      </c>
      <c r="P20" s="82" t="e">
        <f t="shared" si="8"/>
        <v>#DIV/0!</v>
      </c>
    </row>
    <row r="21" spans="1:19" ht="24.95" customHeight="1" x14ac:dyDescent="0.25">
      <c r="A21" s="83" t="s">
        <v>28</v>
      </c>
      <c r="B21" s="113">
        <f>Female!H37</f>
        <v>15</v>
      </c>
      <c r="C21" s="85">
        <v>28</v>
      </c>
      <c r="D21" s="86">
        <f>Female!B76</f>
        <v>67</v>
      </c>
      <c r="E21" s="86">
        <f>Female!C76</f>
        <v>0</v>
      </c>
      <c r="F21" s="86">
        <f>Female!D76</f>
        <v>0</v>
      </c>
      <c r="G21" s="86">
        <f>Female!E76</f>
        <v>0</v>
      </c>
      <c r="H21" s="86">
        <f>Female!H76</f>
        <v>435</v>
      </c>
      <c r="I21" s="86">
        <f>Female!F76</f>
        <v>0</v>
      </c>
      <c r="J21" s="87">
        <f>Female!G76</f>
        <v>0</v>
      </c>
      <c r="K21" s="78">
        <f t="shared" si="9"/>
        <v>15.535714285714286</v>
      </c>
      <c r="L21" s="79" t="e">
        <f t="shared" si="10"/>
        <v>#DIV/0!</v>
      </c>
      <c r="M21" s="80" t="e">
        <f t="shared" si="11"/>
        <v>#DIV/0!</v>
      </c>
      <c r="N21" s="81">
        <f t="shared" si="12"/>
        <v>0</v>
      </c>
      <c r="O21" s="79">
        <f t="shared" si="13"/>
        <v>55.484693877551024</v>
      </c>
      <c r="P21" s="82" t="e">
        <f t="shared" si="8"/>
        <v>#DIV/0!</v>
      </c>
    </row>
    <row r="22" spans="1:19" ht="24.95" customHeight="1" x14ac:dyDescent="0.25">
      <c r="A22" s="83" t="s">
        <v>29</v>
      </c>
      <c r="B22" s="113">
        <f>'BLK F'!H37</f>
        <v>7</v>
      </c>
      <c r="C22" s="85">
        <v>20</v>
      </c>
      <c r="D22" s="86">
        <f>'BLK F'!B76</f>
        <v>65</v>
      </c>
      <c r="E22" s="86">
        <f>'BLK F'!C76</f>
        <v>63</v>
      </c>
      <c r="F22" s="86">
        <f>'BLK F'!D76</f>
        <v>0</v>
      </c>
      <c r="G22" s="86">
        <f>'BLK F'!E76</f>
        <v>0</v>
      </c>
      <c r="H22" s="86">
        <f>'BLK F'!H76</f>
        <v>165</v>
      </c>
      <c r="I22" s="86">
        <f>'BLK F'!F76</f>
        <v>0</v>
      </c>
      <c r="J22" s="87">
        <f>'BLK F'!G76</f>
        <v>2</v>
      </c>
      <c r="K22" s="78">
        <f t="shared" si="9"/>
        <v>5.8928571428571432</v>
      </c>
      <c r="L22" s="79">
        <f t="shared" si="10"/>
        <v>2.6190476190476191</v>
      </c>
      <c r="M22" s="80">
        <f t="shared" si="11"/>
        <v>6.2698412698412698</v>
      </c>
      <c r="N22" s="81">
        <f t="shared" si="12"/>
        <v>3.15</v>
      </c>
      <c r="O22" s="79">
        <f t="shared" si="13"/>
        <v>29.464285714285715</v>
      </c>
      <c r="P22" s="82">
        <f t="shared" si="8"/>
        <v>0</v>
      </c>
    </row>
    <row r="23" spans="1:19" ht="24.95" customHeight="1" x14ac:dyDescent="0.25">
      <c r="A23" s="83" t="s">
        <v>30</v>
      </c>
      <c r="B23" s="113">
        <f>'Male Emergency'!H37</f>
        <v>1</v>
      </c>
      <c r="C23" s="85">
        <v>10</v>
      </c>
      <c r="D23" s="86">
        <f>'Male Emergency'!B76</f>
        <v>74</v>
      </c>
      <c r="E23" s="86">
        <f>'Male Emergency'!C76</f>
        <v>23</v>
      </c>
      <c r="F23" s="86">
        <f>'Male Emergency'!D76</f>
        <v>5</v>
      </c>
      <c r="G23" s="86">
        <f>'Male Emergency'!E76</f>
        <v>5</v>
      </c>
      <c r="H23" s="86">
        <f>'Male Emergency'!H76</f>
        <v>128</v>
      </c>
      <c r="I23" s="86">
        <f>'Male Emergency'!F76</f>
        <v>0</v>
      </c>
      <c r="J23" s="87">
        <f>'Male Emergency'!G76</f>
        <v>42</v>
      </c>
      <c r="K23" s="78">
        <f t="shared" si="9"/>
        <v>4.5714285714285712</v>
      </c>
      <c r="L23" s="79">
        <f t="shared" si="10"/>
        <v>4.5714285714285712</v>
      </c>
      <c r="M23" s="80">
        <f t="shared" si="11"/>
        <v>5.4285714285714288</v>
      </c>
      <c r="N23" s="81">
        <f t="shared" si="12"/>
        <v>2.8</v>
      </c>
      <c r="O23" s="79">
        <f t="shared" si="13"/>
        <v>45.714285714285715</v>
      </c>
      <c r="P23" s="82">
        <f t="shared" si="8"/>
        <v>17.857142857142858</v>
      </c>
    </row>
    <row r="24" spans="1:19" ht="24.95" customHeight="1" x14ac:dyDescent="0.25">
      <c r="A24" s="83" t="s">
        <v>31</v>
      </c>
      <c r="B24" s="113">
        <f>'BLK G'!H37</f>
        <v>8</v>
      </c>
      <c r="C24" s="85">
        <v>14</v>
      </c>
      <c r="D24" s="86">
        <f>'BLK G'!B76</f>
        <v>84</v>
      </c>
      <c r="E24" s="86">
        <f>'BLK G'!C76</f>
        <v>71</v>
      </c>
      <c r="F24" s="86">
        <f>'BLK G'!D76</f>
        <v>0</v>
      </c>
      <c r="G24" s="86">
        <f>'BLK G'!E76</f>
        <v>0</v>
      </c>
      <c r="H24" s="86">
        <f>'BLK G'!H76</f>
        <v>213</v>
      </c>
      <c r="I24" s="86">
        <f>'BLK G'!F76</f>
        <v>22</v>
      </c>
      <c r="J24" s="87">
        <f>'BLK G'!G76</f>
        <v>33</v>
      </c>
      <c r="K24" s="78">
        <f t="shared" si="9"/>
        <v>7.6071428571428568</v>
      </c>
      <c r="L24" s="79">
        <f t="shared" si="10"/>
        <v>3</v>
      </c>
      <c r="M24" s="80">
        <f t="shared" si="11"/>
        <v>2.5211267605633805</v>
      </c>
      <c r="N24" s="81">
        <f t="shared" si="12"/>
        <v>5.0714285714285712</v>
      </c>
      <c r="O24" s="79">
        <f t="shared" si="13"/>
        <v>54.336734693877553</v>
      </c>
      <c r="P24" s="82">
        <f t="shared" si="8"/>
        <v>0</v>
      </c>
    </row>
    <row r="25" spans="1:19" ht="24.95" customHeight="1" x14ac:dyDescent="0.25">
      <c r="A25" s="83" t="s">
        <v>32</v>
      </c>
      <c r="B25" s="113">
        <f>'BLK H'!H37</f>
        <v>15</v>
      </c>
      <c r="C25" s="85">
        <v>22</v>
      </c>
      <c r="D25" s="86">
        <f>'BLK H'!B76</f>
        <v>62</v>
      </c>
      <c r="E25" s="86">
        <f>'BLK H'!C76</f>
        <v>74</v>
      </c>
      <c r="F25" s="86">
        <f>'BLK H'!D76</f>
        <v>0</v>
      </c>
      <c r="G25" s="86">
        <f>'BLK H'!E76</f>
        <v>0</v>
      </c>
      <c r="H25" s="86">
        <f>'BLK H'!H76</f>
        <v>371</v>
      </c>
      <c r="I25" s="86">
        <f>'BLK H'!F76</f>
        <v>33</v>
      </c>
      <c r="J25" s="87">
        <f>'BLK H'!G76</f>
        <v>20</v>
      </c>
      <c r="K25" s="78">
        <f t="shared" si="9"/>
        <v>13.25</v>
      </c>
      <c r="L25" s="79">
        <f t="shared" si="10"/>
        <v>5.0135135135135132</v>
      </c>
      <c r="M25" s="80">
        <f t="shared" si="11"/>
        <v>3.310810810810811</v>
      </c>
      <c r="N25" s="81">
        <f t="shared" si="12"/>
        <v>3.3636363636363638</v>
      </c>
      <c r="O25" s="79">
        <f t="shared" si="13"/>
        <v>60.227272727272727</v>
      </c>
      <c r="P25" s="82">
        <f t="shared" si="8"/>
        <v>0</v>
      </c>
    </row>
    <row r="26" spans="1:19" ht="24.95" customHeight="1" x14ac:dyDescent="0.25">
      <c r="A26" s="83" t="s">
        <v>33</v>
      </c>
      <c r="B26" s="113">
        <f>'Female Emergency'!H37</f>
        <v>3</v>
      </c>
      <c r="C26" s="85">
        <v>10</v>
      </c>
      <c r="D26" s="86">
        <f>'Female Emergency'!B76</f>
        <v>41</v>
      </c>
      <c r="E26" s="86">
        <f>'Female Emergency'!C76</f>
        <v>9</v>
      </c>
      <c r="F26" s="86">
        <f>'Female Emergency'!D76</f>
        <v>4</v>
      </c>
      <c r="G26" s="86">
        <f>'Female Emergency'!E76</f>
        <v>1</v>
      </c>
      <c r="H26" s="86">
        <f>'Female Emergency'!H76</f>
        <v>91</v>
      </c>
      <c r="I26" s="86">
        <f>'Female Emergency'!F76</f>
        <v>0</v>
      </c>
      <c r="J26" s="87">
        <f>'Female Emergency'!G76</f>
        <v>29</v>
      </c>
      <c r="K26" s="78">
        <f t="shared" si="9"/>
        <v>3.25</v>
      </c>
      <c r="L26" s="79">
        <f t="shared" si="10"/>
        <v>7</v>
      </c>
      <c r="M26" s="80">
        <f t="shared" si="11"/>
        <v>14.538461538461538</v>
      </c>
      <c r="N26" s="81">
        <f t="shared" si="12"/>
        <v>1.3</v>
      </c>
      <c r="O26" s="79">
        <f t="shared" si="13"/>
        <v>32.5</v>
      </c>
      <c r="P26" s="82">
        <f t="shared" si="8"/>
        <v>30.76923076923077</v>
      </c>
    </row>
    <row r="27" spans="1:19" ht="24.95" customHeight="1" thickBot="1" x14ac:dyDescent="0.3">
      <c r="A27" s="91" t="s">
        <v>34</v>
      </c>
      <c r="B27" s="114">
        <f>Neonatal!H37</f>
        <v>11</v>
      </c>
      <c r="C27" s="93">
        <v>15</v>
      </c>
      <c r="D27" s="94">
        <f>Neonatal!B76</f>
        <v>61</v>
      </c>
      <c r="E27" s="94">
        <f>Neonatal!C76</f>
        <v>48</v>
      </c>
      <c r="F27" s="94">
        <f>Neonatal!D76</f>
        <v>3</v>
      </c>
      <c r="G27" s="94">
        <f>Neonatal!E76</f>
        <v>0</v>
      </c>
      <c r="H27" s="94">
        <f>Neonatal!H76</f>
        <v>520</v>
      </c>
      <c r="I27" s="94">
        <f>Neonatal!F76</f>
        <v>0</v>
      </c>
      <c r="J27" s="95">
        <f>Neonatal!G76</f>
        <v>0</v>
      </c>
      <c r="K27" s="78">
        <f t="shared" si="9"/>
        <v>18.571428571428573</v>
      </c>
      <c r="L27" s="79">
        <f t="shared" si="10"/>
        <v>10.196078431372548</v>
      </c>
      <c r="M27" s="80">
        <f t="shared" si="11"/>
        <v>-1.9607843137254901</v>
      </c>
      <c r="N27" s="81">
        <f t="shared" si="12"/>
        <v>3.4</v>
      </c>
      <c r="O27" s="79">
        <f t="shared" si="13"/>
        <v>123.80952380952381</v>
      </c>
      <c r="P27" s="82">
        <f t="shared" si="8"/>
        <v>5.882352941176471</v>
      </c>
    </row>
    <row r="28" spans="1:19" ht="16.5" thickBot="1" x14ac:dyDescent="0.3">
      <c r="A28" s="117" t="s">
        <v>35</v>
      </c>
      <c r="B28" s="118">
        <f t="shared" ref="B28:J28" si="14">SUM(B19:B27)</f>
        <v>84</v>
      </c>
      <c r="C28" s="119">
        <f t="shared" si="14"/>
        <v>178</v>
      </c>
      <c r="D28" s="120">
        <f t="shared" si="14"/>
        <v>454</v>
      </c>
      <c r="E28" s="120">
        <f t="shared" si="14"/>
        <v>288</v>
      </c>
      <c r="F28" s="120">
        <f t="shared" si="14"/>
        <v>12</v>
      </c>
      <c r="G28" s="120">
        <f t="shared" si="14"/>
        <v>6</v>
      </c>
      <c r="H28" s="120">
        <f t="shared" si="14"/>
        <v>2619</v>
      </c>
      <c r="I28" s="121">
        <f t="shared" si="14"/>
        <v>55</v>
      </c>
      <c r="J28" s="122">
        <f t="shared" si="14"/>
        <v>126</v>
      </c>
      <c r="K28" s="214">
        <f>H28/28</f>
        <v>93.535714285714292</v>
      </c>
      <c r="L28" s="107">
        <f>H28/(E28+F28)</f>
        <v>8.73</v>
      </c>
      <c r="M28" s="140">
        <f>((C28*28)-H28)/(E28+F28)</f>
        <v>7.8833333333333337</v>
      </c>
      <c r="N28" s="124">
        <f>(E28+F28)/C28</f>
        <v>1.6853932584269662</v>
      </c>
      <c r="O28" s="142">
        <f>H28*100/(C28*28)</f>
        <v>52.548154093097914</v>
      </c>
      <c r="P28" s="213">
        <f t="shared" si="8"/>
        <v>4</v>
      </c>
    </row>
    <row r="29" spans="1:19" x14ac:dyDescent="0.25">
      <c r="A29" s="235" t="s">
        <v>196</v>
      </c>
      <c r="B29" s="253">
        <f>B23+B26</f>
        <v>4</v>
      </c>
      <c r="C29" s="253">
        <f t="shared" ref="C29:J29" si="15">C23+C26</f>
        <v>20</v>
      </c>
      <c r="D29" s="253">
        <f t="shared" si="15"/>
        <v>115</v>
      </c>
      <c r="E29" s="253">
        <f t="shared" si="15"/>
        <v>32</v>
      </c>
      <c r="F29" s="253">
        <f t="shared" si="15"/>
        <v>9</v>
      </c>
      <c r="G29" s="253">
        <f t="shared" si="15"/>
        <v>6</v>
      </c>
      <c r="H29" s="253">
        <f t="shared" si="15"/>
        <v>219</v>
      </c>
      <c r="I29" s="253">
        <f t="shared" si="15"/>
        <v>0</v>
      </c>
      <c r="J29" s="253">
        <f t="shared" si="15"/>
        <v>71</v>
      </c>
      <c r="K29" s="236">
        <f>H29/28</f>
        <v>7.8214285714285712</v>
      </c>
      <c r="L29" s="237">
        <f>H29/(E29+F29)</f>
        <v>5.3414634146341466</v>
      </c>
      <c r="M29" s="238">
        <f>((C29*28)-H29)/(E29+F29)</f>
        <v>8.3170731707317067</v>
      </c>
      <c r="N29" s="239">
        <f>(E29+F29)/C29</f>
        <v>2.0499999999999998</v>
      </c>
      <c r="O29" s="237">
        <f>H29*100/(C29*28)</f>
        <v>39.107142857142854</v>
      </c>
      <c r="P29" s="240">
        <f>F29*100/(E29+F29)</f>
        <v>21.951219512195124</v>
      </c>
      <c r="Q29" s="72">
        <f>G29/(F29+G29)*100</f>
        <v>40</v>
      </c>
    </row>
    <row r="31" spans="1:19" ht="25.5" x14ac:dyDescent="0.35">
      <c r="A31" s="602" t="s">
        <v>1</v>
      </c>
      <c r="B31" s="602"/>
      <c r="C31" s="602"/>
      <c r="D31" s="602"/>
      <c r="E31" s="602"/>
      <c r="F31" s="602"/>
      <c r="G31" s="602"/>
      <c r="H31" s="602"/>
      <c r="I31" s="602"/>
      <c r="J31" s="602"/>
      <c r="K31" s="602"/>
      <c r="L31" s="602"/>
      <c r="M31" s="602"/>
      <c r="N31" s="602"/>
      <c r="O31" s="602"/>
      <c r="P31" s="602"/>
    </row>
    <row r="32" spans="1:19" ht="26.25" thickBot="1" x14ac:dyDescent="0.4">
      <c r="A32" s="601" t="s">
        <v>629</v>
      </c>
      <c r="B32" s="601"/>
      <c r="C32" s="601"/>
      <c r="D32" s="601"/>
      <c r="E32" s="601"/>
      <c r="F32" s="601"/>
      <c r="G32" s="601"/>
      <c r="H32" s="601"/>
      <c r="I32" s="601"/>
      <c r="J32" s="601"/>
      <c r="K32" s="601"/>
      <c r="L32" s="601"/>
      <c r="M32" s="601"/>
      <c r="N32" s="601"/>
      <c r="O32" s="601"/>
      <c r="P32" s="601"/>
    </row>
    <row r="33" spans="1:17" s="184" customFormat="1" ht="39" customHeight="1" thickBot="1" x14ac:dyDescent="0.25">
      <c r="A33" s="176" t="s">
        <v>20</v>
      </c>
      <c r="B33" s="180" t="s">
        <v>22</v>
      </c>
      <c r="C33" s="178" t="s">
        <v>21</v>
      </c>
      <c r="D33" s="178" t="s">
        <v>9</v>
      </c>
      <c r="E33" s="178" t="s">
        <v>10</v>
      </c>
      <c r="F33" s="178" t="s">
        <v>11</v>
      </c>
      <c r="G33" s="178" t="s">
        <v>80</v>
      </c>
      <c r="H33" s="178" t="s">
        <v>25</v>
      </c>
      <c r="I33" s="178" t="s">
        <v>23</v>
      </c>
      <c r="J33" s="179" t="s">
        <v>24</v>
      </c>
      <c r="K33" s="178" t="s">
        <v>43</v>
      </c>
      <c r="L33" s="178" t="s">
        <v>44</v>
      </c>
      <c r="M33" s="181" t="s">
        <v>45</v>
      </c>
      <c r="N33" s="178" t="s">
        <v>46</v>
      </c>
      <c r="O33" s="178" t="s">
        <v>47</v>
      </c>
      <c r="P33" s="179" t="s">
        <v>48</v>
      </c>
    </row>
    <row r="34" spans="1:17" s="127" customFormat="1" ht="24.95" customHeight="1" x14ac:dyDescent="0.25">
      <c r="A34" s="73" t="s">
        <v>26</v>
      </c>
      <c r="B34" s="112">
        <f>Male!H82</f>
        <v>18</v>
      </c>
      <c r="C34" s="75">
        <v>32</v>
      </c>
      <c r="D34" s="76">
        <f>Male!B116</f>
        <v>0</v>
      </c>
      <c r="E34" s="76">
        <f>Male!C116</f>
        <v>0</v>
      </c>
      <c r="F34" s="76">
        <f>Male!D116</f>
        <v>0</v>
      </c>
      <c r="G34" s="76">
        <f>Male!E116</f>
        <v>0</v>
      </c>
      <c r="H34" s="76">
        <f>Male!H116</f>
        <v>558</v>
      </c>
      <c r="I34" s="76">
        <f>Male!F116</f>
        <v>0</v>
      </c>
      <c r="J34" s="77">
        <f>Male!G116</f>
        <v>0</v>
      </c>
      <c r="K34" s="78">
        <f>H34/31</f>
        <v>18</v>
      </c>
      <c r="L34" s="80" t="e">
        <f>H34/(E34+F34)</f>
        <v>#DIV/0!</v>
      </c>
      <c r="M34" s="80" t="e">
        <f>((C34*31)-H34)/(E34+F34)</f>
        <v>#DIV/0!</v>
      </c>
      <c r="N34" s="125">
        <f>(E34+F34)/C34</f>
        <v>0</v>
      </c>
      <c r="O34" s="80">
        <f>H34*100/(C34*31)</f>
        <v>56.25</v>
      </c>
      <c r="P34" s="126" t="e">
        <f>F34*100/(E34+F34)</f>
        <v>#DIV/0!</v>
      </c>
    </row>
    <row r="35" spans="1:17" s="127" customFormat="1" ht="24.95" customHeight="1" x14ac:dyDescent="0.25">
      <c r="A35" s="83" t="s">
        <v>27</v>
      </c>
      <c r="B35" s="113">
        <f>Paediatric!H82</f>
        <v>6</v>
      </c>
      <c r="C35" s="85">
        <v>27</v>
      </c>
      <c r="D35" s="86">
        <f>Paediatric!B116</f>
        <v>0</v>
      </c>
      <c r="E35" s="86">
        <f>Paediatric!C116</f>
        <v>0</v>
      </c>
      <c r="F35" s="86">
        <f>Paediatric!D116</f>
        <v>0</v>
      </c>
      <c r="G35" s="86">
        <f>Paediatric!E116</f>
        <v>0</v>
      </c>
      <c r="H35" s="86">
        <f>Paediatric!H116</f>
        <v>186</v>
      </c>
      <c r="I35" s="86">
        <f>Paediatric!F116</f>
        <v>0</v>
      </c>
      <c r="J35" s="87">
        <f>Paediatric!G116</f>
        <v>0</v>
      </c>
      <c r="K35" s="78">
        <f t="shared" ref="K35:K44" si="16">H35/31</f>
        <v>6</v>
      </c>
      <c r="L35" s="80" t="e">
        <f t="shared" ref="L35:L44" si="17">H35/(E35+F35)</f>
        <v>#DIV/0!</v>
      </c>
      <c r="M35" s="80" t="e">
        <f t="shared" ref="M35:M44" si="18">((C35*31)-H35)/(E35+F35)</f>
        <v>#DIV/0!</v>
      </c>
      <c r="N35" s="125">
        <f t="shared" ref="N35:N44" si="19">(E35+F35)/C35</f>
        <v>0</v>
      </c>
      <c r="O35" s="80">
        <f t="shared" ref="O35:O44" si="20">H35*100/(C35*31)</f>
        <v>22.222222222222221</v>
      </c>
      <c r="P35" s="126" t="e">
        <f t="shared" ref="P35:P43" si="21">F35*100/(E35+F35)</f>
        <v>#DIV/0!</v>
      </c>
    </row>
    <row r="36" spans="1:17" s="127" customFormat="1" ht="24.95" customHeight="1" x14ac:dyDescent="0.25">
      <c r="A36" s="83" t="s">
        <v>28</v>
      </c>
      <c r="B36" s="113">
        <f>Female!H82</f>
        <v>15</v>
      </c>
      <c r="C36" s="85">
        <v>28</v>
      </c>
      <c r="D36" s="86">
        <f>Female!B116</f>
        <v>0</v>
      </c>
      <c r="E36" s="86">
        <f>Female!C116</f>
        <v>0</v>
      </c>
      <c r="F36" s="86">
        <f>Female!D116</f>
        <v>0</v>
      </c>
      <c r="G36" s="86">
        <f>Female!E116</f>
        <v>0</v>
      </c>
      <c r="H36" s="86">
        <f>Female!H116</f>
        <v>465</v>
      </c>
      <c r="I36" s="86">
        <f>Female!F116</f>
        <v>0</v>
      </c>
      <c r="J36" s="87">
        <f>Female!G116</f>
        <v>0</v>
      </c>
      <c r="K36" s="78">
        <f t="shared" si="16"/>
        <v>15</v>
      </c>
      <c r="L36" s="80" t="e">
        <f t="shared" si="17"/>
        <v>#DIV/0!</v>
      </c>
      <c r="M36" s="80" t="e">
        <f t="shared" si="18"/>
        <v>#DIV/0!</v>
      </c>
      <c r="N36" s="125">
        <f t="shared" si="19"/>
        <v>0</v>
      </c>
      <c r="O36" s="80">
        <f t="shared" si="20"/>
        <v>53.571428571428569</v>
      </c>
      <c r="P36" s="126" t="e">
        <f t="shared" si="21"/>
        <v>#DIV/0!</v>
      </c>
    </row>
    <row r="37" spans="1:17" s="127" customFormat="1" ht="24.95" customHeight="1" x14ac:dyDescent="0.25">
      <c r="A37" s="83" t="s">
        <v>29</v>
      </c>
      <c r="B37" s="113">
        <f>'BLK F'!H82</f>
        <v>7</v>
      </c>
      <c r="C37" s="85">
        <v>20</v>
      </c>
      <c r="D37" s="86">
        <f>'BLK F'!B116</f>
        <v>78</v>
      </c>
      <c r="E37" s="86">
        <f>'BLK F'!C116</f>
        <v>76</v>
      </c>
      <c r="F37" s="86">
        <f>'BLK F'!D116</f>
        <v>0</v>
      </c>
      <c r="G37" s="86">
        <f>'BLK F'!E116</f>
        <v>0</v>
      </c>
      <c r="H37" s="86">
        <f>'BLK F'!H116</f>
        <v>303</v>
      </c>
      <c r="I37" s="86">
        <f>'BLK F'!F116</f>
        <v>5</v>
      </c>
      <c r="J37" s="87">
        <f>'BLK F'!G116</f>
        <v>1</v>
      </c>
      <c r="K37" s="78">
        <f t="shared" si="16"/>
        <v>9.7741935483870961</v>
      </c>
      <c r="L37" s="80">
        <f t="shared" si="17"/>
        <v>3.986842105263158</v>
      </c>
      <c r="M37" s="80">
        <f t="shared" si="18"/>
        <v>4.1710526315789478</v>
      </c>
      <c r="N37" s="125">
        <f t="shared" si="19"/>
        <v>3.8</v>
      </c>
      <c r="O37" s="80">
        <f t="shared" si="20"/>
        <v>48.87096774193548</v>
      </c>
      <c r="P37" s="126">
        <f t="shared" si="21"/>
        <v>0</v>
      </c>
    </row>
    <row r="38" spans="1:17" s="127" customFormat="1" ht="24.95" customHeight="1" x14ac:dyDescent="0.25">
      <c r="A38" s="83" t="s">
        <v>30</v>
      </c>
      <c r="B38" s="113">
        <f>'Male Emergency'!H82</f>
        <v>5</v>
      </c>
      <c r="C38" s="85">
        <v>10</v>
      </c>
      <c r="D38" s="86">
        <f>'Male Emergency'!B116</f>
        <v>53</v>
      </c>
      <c r="E38" s="86">
        <f>'Male Emergency'!C116</f>
        <v>17</v>
      </c>
      <c r="F38" s="86">
        <f>'Male Emergency'!D116</f>
        <v>2</v>
      </c>
      <c r="G38" s="86">
        <f>'Male Emergency'!E116</f>
        <v>3</v>
      </c>
      <c r="H38" s="86">
        <f>'Male Emergency'!H116</f>
        <v>126</v>
      </c>
      <c r="I38" s="86">
        <f>'Male Emergency'!F116</f>
        <v>0</v>
      </c>
      <c r="J38" s="87">
        <f>'Male Emergency'!G116</f>
        <v>36</v>
      </c>
      <c r="K38" s="78">
        <f t="shared" si="16"/>
        <v>4.064516129032258</v>
      </c>
      <c r="L38" s="80">
        <f t="shared" si="17"/>
        <v>6.6315789473684212</v>
      </c>
      <c r="M38" s="80">
        <f t="shared" si="18"/>
        <v>9.6842105263157894</v>
      </c>
      <c r="N38" s="125">
        <f t="shared" si="19"/>
        <v>1.9</v>
      </c>
      <c r="O38" s="80">
        <f t="shared" si="20"/>
        <v>40.645161290322584</v>
      </c>
      <c r="P38" s="126">
        <f t="shared" si="21"/>
        <v>10.526315789473685</v>
      </c>
    </row>
    <row r="39" spans="1:17" s="127" customFormat="1" ht="24.95" customHeight="1" x14ac:dyDescent="0.25">
      <c r="A39" s="83" t="s">
        <v>31</v>
      </c>
      <c r="B39" s="113">
        <f>'BLK G'!H82</f>
        <v>10</v>
      </c>
      <c r="C39" s="85">
        <v>14</v>
      </c>
      <c r="D39" s="86">
        <f>'BLK G'!B116</f>
        <v>124</v>
      </c>
      <c r="E39" s="86">
        <f>'BLK G'!C116</f>
        <v>117</v>
      </c>
      <c r="F39" s="86">
        <f>'BLK G'!D116</f>
        <v>0</v>
      </c>
      <c r="G39" s="86">
        <f>'BLK G'!E116</f>
        <v>0</v>
      </c>
      <c r="H39" s="86">
        <f>'BLK G'!H116</f>
        <v>323</v>
      </c>
      <c r="I39" s="86">
        <f>'BLK G'!F116</f>
        <v>31</v>
      </c>
      <c r="J39" s="87">
        <f>'BLK G'!G116</f>
        <v>36</v>
      </c>
      <c r="K39" s="78">
        <f t="shared" si="16"/>
        <v>10.419354838709678</v>
      </c>
      <c r="L39" s="80">
        <f t="shared" si="17"/>
        <v>2.7606837606837606</v>
      </c>
      <c r="M39" s="80">
        <f t="shared" si="18"/>
        <v>0.94871794871794868</v>
      </c>
      <c r="N39" s="125">
        <f t="shared" si="19"/>
        <v>8.3571428571428577</v>
      </c>
      <c r="O39" s="80">
        <f t="shared" si="20"/>
        <v>74.423963133640555</v>
      </c>
      <c r="P39" s="126">
        <f t="shared" si="21"/>
        <v>0</v>
      </c>
    </row>
    <row r="40" spans="1:17" s="127" customFormat="1" ht="24.95" customHeight="1" x14ac:dyDescent="0.25">
      <c r="A40" s="83" t="s">
        <v>32</v>
      </c>
      <c r="B40" s="113">
        <f>'BLK H'!H82</f>
        <v>16</v>
      </c>
      <c r="C40" s="85">
        <v>22</v>
      </c>
      <c r="D40" s="86">
        <f>'BLK H'!B116</f>
        <v>66</v>
      </c>
      <c r="E40" s="86">
        <f>'BLK H'!C116</f>
        <v>80</v>
      </c>
      <c r="F40" s="86">
        <f>'BLK H'!D116</f>
        <v>0</v>
      </c>
      <c r="G40" s="86">
        <f>'BLK H'!E116</f>
        <v>0</v>
      </c>
      <c r="H40" s="86">
        <f>'BLK H'!H116</f>
        <v>314</v>
      </c>
      <c r="I40" s="86">
        <f>'BLK H'!F116</f>
        <v>37</v>
      </c>
      <c r="J40" s="87">
        <f>'BLK H'!G116</f>
        <v>31</v>
      </c>
      <c r="K40" s="78">
        <f t="shared" si="16"/>
        <v>10.129032258064516</v>
      </c>
      <c r="L40" s="80">
        <f t="shared" si="17"/>
        <v>3.9249999999999998</v>
      </c>
      <c r="M40" s="80">
        <f t="shared" si="18"/>
        <v>4.5999999999999996</v>
      </c>
      <c r="N40" s="125">
        <f t="shared" si="19"/>
        <v>3.6363636363636362</v>
      </c>
      <c r="O40" s="80">
        <f t="shared" si="20"/>
        <v>46.041055718475072</v>
      </c>
      <c r="P40" s="126">
        <f t="shared" si="21"/>
        <v>0</v>
      </c>
    </row>
    <row r="41" spans="1:17" s="127" customFormat="1" ht="24.95" customHeight="1" x14ac:dyDescent="0.25">
      <c r="A41" s="83" t="s">
        <v>33</v>
      </c>
      <c r="B41" s="113">
        <f>'Female Emergency'!H82</f>
        <v>2</v>
      </c>
      <c r="C41" s="85">
        <v>10</v>
      </c>
      <c r="D41" s="86">
        <f>'Female Emergency'!B116</f>
        <v>62</v>
      </c>
      <c r="E41" s="86">
        <f>'Female Emergency'!C116</f>
        <v>21</v>
      </c>
      <c r="F41" s="86">
        <f>'Female Emergency'!D116</f>
        <v>4</v>
      </c>
      <c r="G41" s="86">
        <f>'Female Emergency'!E116</f>
        <v>2</v>
      </c>
      <c r="H41" s="86">
        <f>'Female Emergency'!H116</f>
        <v>52</v>
      </c>
      <c r="I41" s="86">
        <f>'Female Emergency'!F116</f>
        <v>0</v>
      </c>
      <c r="J41" s="87">
        <f>'Female Emergency'!G116</f>
        <v>37</v>
      </c>
      <c r="K41" s="78">
        <f t="shared" si="16"/>
        <v>1.6774193548387097</v>
      </c>
      <c r="L41" s="80">
        <f t="shared" si="17"/>
        <v>2.08</v>
      </c>
      <c r="M41" s="80">
        <f t="shared" si="18"/>
        <v>10.32</v>
      </c>
      <c r="N41" s="125">
        <f t="shared" si="19"/>
        <v>2.5</v>
      </c>
      <c r="O41" s="80">
        <f t="shared" si="20"/>
        <v>16.774193548387096</v>
      </c>
      <c r="P41" s="126">
        <f t="shared" si="21"/>
        <v>16</v>
      </c>
    </row>
    <row r="42" spans="1:17" s="127" customFormat="1" ht="24.95" customHeight="1" thickBot="1" x14ac:dyDescent="0.3">
      <c r="A42" s="91" t="s">
        <v>34</v>
      </c>
      <c r="B42" s="114">
        <f>Neonatal!H82</f>
        <v>21</v>
      </c>
      <c r="C42" s="93">
        <v>15</v>
      </c>
      <c r="D42" s="94">
        <f>Neonatal!B116</f>
        <v>42</v>
      </c>
      <c r="E42" s="94">
        <f>Neonatal!C116</f>
        <v>45</v>
      </c>
      <c r="F42" s="94">
        <f>Neonatal!D116</f>
        <v>3</v>
      </c>
      <c r="G42" s="94">
        <f>Neonatal!E116</f>
        <v>0</v>
      </c>
      <c r="H42" s="94">
        <f>Neonatal!H116</f>
        <v>443</v>
      </c>
      <c r="I42" s="94">
        <f>Neonatal!F116</f>
        <v>0</v>
      </c>
      <c r="J42" s="95">
        <f>Neonatal!G116</f>
        <v>0</v>
      </c>
      <c r="K42" s="96">
        <f t="shared" si="16"/>
        <v>14.290322580645162</v>
      </c>
      <c r="L42" s="115">
        <f t="shared" si="17"/>
        <v>9.2291666666666661</v>
      </c>
      <c r="M42" s="115">
        <f t="shared" si="18"/>
        <v>0.45833333333333331</v>
      </c>
      <c r="N42" s="128">
        <f t="shared" si="19"/>
        <v>3.2</v>
      </c>
      <c r="O42" s="115">
        <f t="shared" si="20"/>
        <v>95.268817204301072</v>
      </c>
      <c r="P42" s="129">
        <f t="shared" si="21"/>
        <v>6.25</v>
      </c>
    </row>
    <row r="43" spans="1:17" ht="16.5" thickBot="1" x14ac:dyDescent="0.3">
      <c r="A43" s="130" t="s">
        <v>35</v>
      </c>
      <c r="B43" s="104">
        <f t="shared" ref="B43:J43" si="22">SUM(B34:B42)</f>
        <v>100</v>
      </c>
      <c r="C43" s="103">
        <f t="shared" si="22"/>
        <v>178</v>
      </c>
      <c r="D43" s="104">
        <f t="shared" si="22"/>
        <v>425</v>
      </c>
      <c r="E43" s="104">
        <f t="shared" si="22"/>
        <v>356</v>
      </c>
      <c r="F43" s="104">
        <f t="shared" si="22"/>
        <v>9</v>
      </c>
      <c r="G43" s="104">
        <f t="shared" si="22"/>
        <v>5</v>
      </c>
      <c r="H43" s="104">
        <f t="shared" si="22"/>
        <v>2770</v>
      </c>
      <c r="I43" s="104">
        <f t="shared" si="22"/>
        <v>73</v>
      </c>
      <c r="J43" s="104">
        <f t="shared" si="22"/>
        <v>141</v>
      </c>
      <c r="K43" s="107">
        <f t="shared" si="16"/>
        <v>89.354838709677423</v>
      </c>
      <c r="L43" s="108">
        <f t="shared" si="17"/>
        <v>7.5890410958904111</v>
      </c>
      <c r="M43" s="131">
        <f t="shared" si="18"/>
        <v>7.5287671232876709</v>
      </c>
      <c r="N43" s="132">
        <f t="shared" si="19"/>
        <v>2.0505617977528088</v>
      </c>
      <c r="O43" s="108">
        <f t="shared" si="20"/>
        <v>50.199347589706413</v>
      </c>
      <c r="P43" s="133">
        <f t="shared" si="21"/>
        <v>2.4657534246575343</v>
      </c>
    </row>
    <row r="44" spans="1:17" x14ac:dyDescent="0.25">
      <c r="A44" s="235" t="s">
        <v>196</v>
      </c>
      <c r="B44" s="253">
        <f>B38+B41</f>
        <v>7</v>
      </c>
      <c r="C44" s="253">
        <f t="shared" ref="C44:J44" si="23">C38+C41</f>
        <v>20</v>
      </c>
      <c r="D44" s="253">
        <f t="shared" si="23"/>
        <v>115</v>
      </c>
      <c r="E44" s="253">
        <f t="shared" si="23"/>
        <v>38</v>
      </c>
      <c r="F44" s="253">
        <f t="shared" si="23"/>
        <v>6</v>
      </c>
      <c r="G44" s="253">
        <f t="shared" si="23"/>
        <v>5</v>
      </c>
      <c r="H44" s="253">
        <f t="shared" si="23"/>
        <v>178</v>
      </c>
      <c r="I44" s="253">
        <f t="shared" si="23"/>
        <v>0</v>
      </c>
      <c r="J44" s="253">
        <f t="shared" si="23"/>
        <v>73</v>
      </c>
      <c r="K44" s="236">
        <f t="shared" si="16"/>
        <v>5.741935483870968</v>
      </c>
      <c r="L44" s="237">
        <f t="shared" si="17"/>
        <v>4.0454545454545459</v>
      </c>
      <c r="M44" s="238">
        <f t="shared" si="18"/>
        <v>10.045454545454545</v>
      </c>
      <c r="N44" s="239">
        <f t="shared" si="19"/>
        <v>2.2000000000000002</v>
      </c>
      <c r="O44" s="237">
        <f t="shared" si="20"/>
        <v>28.70967741935484</v>
      </c>
      <c r="P44" s="240">
        <f>F44*100/(E44+F44)</f>
        <v>13.636363636363637</v>
      </c>
      <c r="Q44" s="72">
        <f>G44/(F44+G44)*100</f>
        <v>45.454545454545453</v>
      </c>
    </row>
    <row r="46" spans="1:17" ht="25.5" x14ac:dyDescent="0.35">
      <c r="A46" s="602" t="s">
        <v>1</v>
      </c>
      <c r="B46" s="602"/>
      <c r="C46" s="602"/>
      <c r="D46" s="602"/>
      <c r="E46" s="602"/>
      <c r="F46" s="602"/>
      <c r="G46" s="602"/>
      <c r="H46" s="602"/>
      <c r="I46" s="602"/>
      <c r="J46" s="602"/>
      <c r="K46" s="602"/>
      <c r="L46" s="602"/>
      <c r="M46" s="602"/>
      <c r="N46" s="602"/>
      <c r="O46" s="602"/>
      <c r="P46" s="602"/>
    </row>
    <row r="47" spans="1:17" ht="26.25" thickBot="1" x14ac:dyDescent="0.4">
      <c r="A47" s="601" t="s">
        <v>931</v>
      </c>
      <c r="B47" s="601"/>
      <c r="C47" s="601"/>
      <c r="D47" s="601"/>
      <c r="E47" s="601"/>
      <c r="F47" s="601"/>
      <c r="G47" s="601"/>
      <c r="H47" s="601"/>
      <c r="I47" s="601"/>
      <c r="J47" s="601"/>
      <c r="K47" s="601"/>
      <c r="L47" s="601"/>
      <c r="M47" s="601"/>
      <c r="N47" s="601"/>
      <c r="O47" s="601"/>
      <c r="P47" s="601"/>
    </row>
    <row r="48" spans="1:17" s="184" customFormat="1" ht="35.25" customHeight="1" thickBot="1" x14ac:dyDescent="0.25">
      <c r="A48" s="176" t="s">
        <v>20</v>
      </c>
      <c r="B48" s="180" t="s">
        <v>195</v>
      </c>
      <c r="C48" s="178" t="s">
        <v>21</v>
      </c>
      <c r="D48" s="178" t="s">
        <v>9</v>
      </c>
      <c r="E48" s="178" t="s">
        <v>10</v>
      </c>
      <c r="F48" s="178" t="s">
        <v>11</v>
      </c>
      <c r="G48" s="178" t="s">
        <v>80</v>
      </c>
      <c r="H48" s="178" t="s">
        <v>25</v>
      </c>
      <c r="I48" s="178" t="s">
        <v>23</v>
      </c>
      <c r="J48" s="179" t="s">
        <v>24</v>
      </c>
      <c r="K48" s="178" t="s">
        <v>43</v>
      </c>
      <c r="L48" s="178" t="s">
        <v>44</v>
      </c>
      <c r="M48" s="181" t="s">
        <v>45</v>
      </c>
      <c r="N48" s="178" t="s">
        <v>46</v>
      </c>
      <c r="O48" s="178" t="s">
        <v>47</v>
      </c>
      <c r="P48" s="179" t="s">
        <v>48</v>
      </c>
    </row>
    <row r="49" spans="1:18" s="127" customFormat="1" ht="24.95" customHeight="1" x14ac:dyDescent="0.25">
      <c r="A49" s="73" t="s">
        <v>26</v>
      </c>
      <c r="B49" s="112">
        <f>B4</f>
        <v>18</v>
      </c>
      <c r="C49" s="75">
        <v>32</v>
      </c>
      <c r="D49" s="76">
        <f t="shared" ref="D49:J49" si="24">D4+D19+D34</f>
        <v>0</v>
      </c>
      <c r="E49" s="76">
        <f t="shared" si="24"/>
        <v>0</v>
      </c>
      <c r="F49" s="76">
        <f t="shared" si="24"/>
        <v>0</v>
      </c>
      <c r="G49" s="76">
        <f t="shared" ref="G49:G57" si="25">G4+G19+G34</f>
        <v>0</v>
      </c>
      <c r="H49" s="76">
        <f t="shared" si="24"/>
        <v>1638</v>
      </c>
      <c r="I49" s="76">
        <f t="shared" si="24"/>
        <v>0</v>
      </c>
      <c r="J49" s="77">
        <f t="shared" si="24"/>
        <v>0</v>
      </c>
      <c r="K49" s="78">
        <f>H49/90</f>
        <v>18.2</v>
      </c>
      <c r="L49" s="79" t="e">
        <f>H49/(E49+F49)</f>
        <v>#DIV/0!</v>
      </c>
      <c r="M49" s="80" t="e">
        <f>((C49*90)-H49)/(E49+F49)</f>
        <v>#DIV/0!</v>
      </c>
      <c r="N49" s="81">
        <f>(E49+F49)/C49</f>
        <v>0</v>
      </c>
      <c r="O49" s="79">
        <f>H49*100/(C49*90)</f>
        <v>56.875</v>
      </c>
      <c r="P49" s="82" t="e">
        <f>F49*100/(E49+F49)</f>
        <v>#DIV/0!</v>
      </c>
    </row>
    <row r="50" spans="1:18" s="127" customFormat="1" ht="24.95" customHeight="1" x14ac:dyDescent="0.25">
      <c r="A50" s="83" t="s">
        <v>27</v>
      </c>
      <c r="B50" s="112">
        <f t="shared" ref="B50:B57" si="26">B5</f>
        <v>6</v>
      </c>
      <c r="C50" s="85">
        <v>27</v>
      </c>
      <c r="D50" s="76">
        <f t="shared" ref="D50:J57" si="27">D5+D20+D35</f>
        <v>0</v>
      </c>
      <c r="E50" s="76">
        <f t="shared" si="27"/>
        <v>0</v>
      </c>
      <c r="F50" s="76">
        <f t="shared" si="27"/>
        <v>0</v>
      </c>
      <c r="G50" s="76">
        <f t="shared" si="25"/>
        <v>0</v>
      </c>
      <c r="H50" s="76">
        <f t="shared" si="27"/>
        <v>546</v>
      </c>
      <c r="I50" s="76">
        <f t="shared" si="27"/>
        <v>0</v>
      </c>
      <c r="J50" s="77">
        <f t="shared" si="27"/>
        <v>0</v>
      </c>
      <c r="K50" s="78">
        <f t="shared" ref="K50:K57" si="28">H50/90</f>
        <v>6.0666666666666664</v>
      </c>
      <c r="L50" s="79" t="e">
        <f t="shared" ref="L50:L57" si="29">H50/(E50+F50)</f>
        <v>#DIV/0!</v>
      </c>
      <c r="M50" s="80" t="e">
        <f t="shared" ref="M50:M57" si="30">((C50*90)-H50)/(E50+F50)</f>
        <v>#DIV/0!</v>
      </c>
      <c r="N50" s="81">
        <f t="shared" ref="N50:N57" si="31">(E50+F50)/C50</f>
        <v>0</v>
      </c>
      <c r="O50" s="79">
        <f t="shared" ref="O50:O57" si="32">H50*100/(C50*90)</f>
        <v>22.469135802469136</v>
      </c>
      <c r="P50" s="82" t="e">
        <f t="shared" ref="P50:P58" si="33">F50*100/(E50+F50)</f>
        <v>#DIV/0!</v>
      </c>
    </row>
    <row r="51" spans="1:18" s="127" customFormat="1" ht="24.95" customHeight="1" x14ac:dyDescent="0.25">
      <c r="A51" s="83" t="s">
        <v>28</v>
      </c>
      <c r="B51" s="112">
        <f t="shared" si="26"/>
        <v>15</v>
      </c>
      <c r="C51" s="85">
        <v>28</v>
      </c>
      <c r="D51" s="76">
        <f t="shared" si="27"/>
        <v>67</v>
      </c>
      <c r="E51" s="76">
        <f t="shared" si="27"/>
        <v>0</v>
      </c>
      <c r="F51" s="76">
        <f t="shared" si="27"/>
        <v>0</v>
      </c>
      <c r="G51" s="76">
        <f t="shared" si="25"/>
        <v>0</v>
      </c>
      <c r="H51" s="76">
        <f t="shared" si="27"/>
        <v>1365</v>
      </c>
      <c r="I51" s="76">
        <f t="shared" si="27"/>
        <v>0</v>
      </c>
      <c r="J51" s="77">
        <f t="shared" si="27"/>
        <v>0</v>
      </c>
      <c r="K51" s="78">
        <f t="shared" si="28"/>
        <v>15.166666666666666</v>
      </c>
      <c r="L51" s="79" t="e">
        <f t="shared" si="29"/>
        <v>#DIV/0!</v>
      </c>
      <c r="M51" s="80" t="e">
        <f t="shared" si="30"/>
        <v>#DIV/0!</v>
      </c>
      <c r="N51" s="81">
        <f t="shared" si="31"/>
        <v>0</v>
      </c>
      <c r="O51" s="79">
        <f t="shared" si="32"/>
        <v>54.166666666666664</v>
      </c>
      <c r="P51" s="82" t="e">
        <f t="shared" si="33"/>
        <v>#DIV/0!</v>
      </c>
    </row>
    <row r="52" spans="1:18" s="127" customFormat="1" ht="24.95" customHeight="1" x14ac:dyDescent="0.25">
      <c r="A52" s="83" t="s">
        <v>29</v>
      </c>
      <c r="B52" s="112">
        <f t="shared" si="26"/>
        <v>12</v>
      </c>
      <c r="C52" s="85">
        <v>20</v>
      </c>
      <c r="D52" s="76">
        <f t="shared" si="27"/>
        <v>225</v>
      </c>
      <c r="E52" s="76">
        <f t="shared" si="27"/>
        <v>220</v>
      </c>
      <c r="F52" s="76">
        <f t="shared" si="27"/>
        <v>0</v>
      </c>
      <c r="G52" s="76">
        <f t="shared" si="25"/>
        <v>0</v>
      </c>
      <c r="H52" s="76">
        <f t="shared" si="27"/>
        <v>745</v>
      </c>
      <c r="I52" s="76">
        <f t="shared" si="27"/>
        <v>6</v>
      </c>
      <c r="J52" s="77">
        <f t="shared" si="27"/>
        <v>10</v>
      </c>
      <c r="K52" s="78">
        <f t="shared" si="28"/>
        <v>8.2777777777777786</v>
      </c>
      <c r="L52" s="79">
        <f t="shared" si="29"/>
        <v>3.3863636363636362</v>
      </c>
      <c r="M52" s="80">
        <f t="shared" si="30"/>
        <v>4.7954545454545459</v>
      </c>
      <c r="N52" s="81">
        <f t="shared" si="31"/>
        <v>11</v>
      </c>
      <c r="O52" s="79">
        <f t="shared" si="32"/>
        <v>41.388888888888886</v>
      </c>
      <c r="P52" s="82">
        <f t="shared" si="33"/>
        <v>0</v>
      </c>
    </row>
    <row r="53" spans="1:18" s="127" customFormat="1" ht="24.95" customHeight="1" x14ac:dyDescent="0.25">
      <c r="A53" s="83" t="s">
        <v>30</v>
      </c>
      <c r="B53" s="112">
        <f t="shared" si="26"/>
        <v>2</v>
      </c>
      <c r="C53" s="85">
        <v>10</v>
      </c>
      <c r="D53" s="76">
        <f t="shared" si="27"/>
        <v>190</v>
      </c>
      <c r="E53" s="76">
        <f t="shared" si="27"/>
        <v>71</v>
      </c>
      <c r="F53" s="76">
        <f t="shared" si="27"/>
        <v>13</v>
      </c>
      <c r="G53" s="76">
        <f t="shared" si="25"/>
        <v>15</v>
      </c>
      <c r="H53" s="76">
        <f t="shared" si="27"/>
        <v>377</v>
      </c>
      <c r="I53" s="76">
        <f t="shared" si="27"/>
        <v>0</v>
      </c>
      <c r="J53" s="77">
        <f t="shared" si="27"/>
        <v>105</v>
      </c>
      <c r="K53" s="78">
        <f t="shared" si="28"/>
        <v>4.1888888888888891</v>
      </c>
      <c r="L53" s="79">
        <f>H53/(E53+F53)</f>
        <v>4.4880952380952381</v>
      </c>
      <c r="M53" s="80">
        <f t="shared" si="30"/>
        <v>6.2261904761904763</v>
      </c>
      <c r="N53" s="81">
        <f t="shared" si="31"/>
        <v>8.4</v>
      </c>
      <c r="O53" s="79">
        <f t="shared" si="32"/>
        <v>41.888888888888886</v>
      </c>
      <c r="P53" s="82">
        <f t="shared" si="33"/>
        <v>15.476190476190476</v>
      </c>
    </row>
    <row r="54" spans="1:18" s="127" customFormat="1" ht="24.95" customHeight="1" x14ac:dyDescent="0.25">
      <c r="A54" s="83" t="s">
        <v>31</v>
      </c>
      <c r="B54" s="112">
        <f t="shared" si="26"/>
        <v>8</v>
      </c>
      <c r="C54" s="85">
        <v>14</v>
      </c>
      <c r="D54" s="76">
        <f t="shared" si="27"/>
        <v>303</v>
      </c>
      <c r="E54" s="76">
        <f t="shared" si="27"/>
        <v>278</v>
      </c>
      <c r="F54" s="76">
        <f t="shared" si="27"/>
        <v>0</v>
      </c>
      <c r="G54" s="76">
        <f t="shared" si="25"/>
        <v>0</v>
      </c>
      <c r="H54" s="76">
        <f t="shared" si="27"/>
        <v>735</v>
      </c>
      <c r="I54" s="76">
        <f t="shared" si="27"/>
        <v>76</v>
      </c>
      <c r="J54" s="77">
        <f t="shared" si="27"/>
        <v>97</v>
      </c>
      <c r="K54" s="78">
        <f t="shared" si="28"/>
        <v>8.1666666666666661</v>
      </c>
      <c r="L54" s="79">
        <f t="shared" si="29"/>
        <v>2.6438848920863309</v>
      </c>
      <c r="M54" s="80">
        <f t="shared" si="30"/>
        <v>1.8884892086330936</v>
      </c>
      <c r="N54" s="81">
        <f t="shared" si="31"/>
        <v>19.857142857142858</v>
      </c>
      <c r="O54" s="79">
        <f t="shared" si="32"/>
        <v>58.333333333333336</v>
      </c>
      <c r="P54" s="82">
        <f t="shared" si="33"/>
        <v>0</v>
      </c>
    </row>
    <row r="55" spans="1:18" s="127" customFormat="1" ht="24.95" customHeight="1" x14ac:dyDescent="0.25">
      <c r="A55" s="83" t="s">
        <v>32</v>
      </c>
      <c r="B55" s="112">
        <f t="shared" si="26"/>
        <v>12</v>
      </c>
      <c r="C55" s="85">
        <v>22</v>
      </c>
      <c r="D55" s="76">
        <f t="shared" si="27"/>
        <v>197</v>
      </c>
      <c r="E55" s="76">
        <f t="shared" si="27"/>
        <v>231</v>
      </c>
      <c r="F55" s="76">
        <f t="shared" si="27"/>
        <v>0</v>
      </c>
      <c r="G55" s="76">
        <f t="shared" si="25"/>
        <v>0</v>
      </c>
      <c r="H55" s="76">
        <f t="shared" si="27"/>
        <v>1046</v>
      </c>
      <c r="I55" s="76">
        <f t="shared" si="27"/>
        <v>101</v>
      </c>
      <c r="J55" s="77">
        <f t="shared" si="27"/>
        <v>71</v>
      </c>
      <c r="K55" s="78">
        <f t="shared" si="28"/>
        <v>11.622222222222222</v>
      </c>
      <c r="L55" s="79">
        <f t="shared" si="29"/>
        <v>4.5281385281385278</v>
      </c>
      <c r="M55" s="80">
        <f t="shared" si="30"/>
        <v>4.0432900432900434</v>
      </c>
      <c r="N55" s="81">
        <f t="shared" si="31"/>
        <v>10.5</v>
      </c>
      <c r="O55" s="79">
        <f t="shared" si="32"/>
        <v>52.828282828282831</v>
      </c>
      <c r="P55" s="82">
        <f t="shared" si="33"/>
        <v>0</v>
      </c>
    </row>
    <row r="56" spans="1:18" s="127" customFormat="1" ht="24.95" customHeight="1" x14ac:dyDescent="0.25">
      <c r="A56" s="83" t="s">
        <v>33</v>
      </c>
      <c r="B56" s="112">
        <f t="shared" si="26"/>
        <v>4</v>
      </c>
      <c r="C56" s="85">
        <v>10</v>
      </c>
      <c r="D56" s="76">
        <f t="shared" si="27"/>
        <v>148</v>
      </c>
      <c r="E56" s="76">
        <f t="shared" si="27"/>
        <v>39</v>
      </c>
      <c r="F56" s="76">
        <f t="shared" si="27"/>
        <v>12</v>
      </c>
      <c r="G56" s="76">
        <f t="shared" si="25"/>
        <v>4</v>
      </c>
      <c r="H56" s="76">
        <f t="shared" si="27"/>
        <v>239</v>
      </c>
      <c r="I56" s="76">
        <f t="shared" si="27"/>
        <v>0</v>
      </c>
      <c r="J56" s="77">
        <f t="shared" si="27"/>
        <v>99</v>
      </c>
      <c r="K56" s="78">
        <f t="shared" si="28"/>
        <v>2.6555555555555554</v>
      </c>
      <c r="L56" s="79">
        <f t="shared" si="29"/>
        <v>4.6862745098039218</v>
      </c>
      <c r="M56" s="80">
        <f t="shared" si="30"/>
        <v>12.96078431372549</v>
      </c>
      <c r="N56" s="81">
        <f t="shared" si="31"/>
        <v>5.0999999999999996</v>
      </c>
      <c r="O56" s="79">
        <f t="shared" si="32"/>
        <v>26.555555555555557</v>
      </c>
      <c r="P56" s="82">
        <f t="shared" si="33"/>
        <v>23.529411764705884</v>
      </c>
    </row>
    <row r="57" spans="1:18" s="127" customFormat="1" ht="24.95" customHeight="1" thickBot="1" x14ac:dyDescent="0.3">
      <c r="A57" s="91" t="s">
        <v>34</v>
      </c>
      <c r="B57" s="112">
        <f t="shared" si="26"/>
        <v>11</v>
      </c>
      <c r="C57" s="93">
        <v>15</v>
      </c>
      <c r="D57" s="134">
        <f t="shared" si="27"/>
        <v>147</v>
      </c>
      <c r="E57" s="134">
        <f t="shared" si="27"/>
        <v>135</v>
      </c>
      <c r="F57" s="134">
        <f t="shared" si="27"/>
        <v>7</v>
      </c>
      <c r="G57" s="134">
        <f t="shared" si="25"/>
        <v>0</v>
      </c>
      <c r="H57" s="134">
        <f t="shared" si="27"/>
        <v>1279</v>
      </c>
      <c r="I57" s="134">
        <f t="shared" si="27"/>
        <v>0</v>
      </c>
      <c r="J57" s="135">
        <f t="shared" si="27"/>
        <v>1</v>
      </c>
      <c r="K57" s="78">
        <f t="shared" si="28"/>
        <v>14.21111111111111</v>
      </c>
      <c r="L57" s="79">
        <f t="shared" si="29"/>
        <v>9.0070422535211261</v>
      </c>
      <c r="M57" s="80">
        <f t="shared" si="30"/>
        <v>0.5</v>
      </c>
      <c r="N57" s="81">
        <f t="shared" si="31"/>
        <v>9.4666666666666668</v>
      </c>
      <c r="O57" s="79">
        <f t="shared" si="32"/>
        <v>94.740740740740748</v>
      </c>
      <c r="P57" s="116">
        <f t="shared" si="33"/>
        <v>4.929577464788732</v>
      </c>
    </row>
    <row r="58" spans="1:18" ht="16.5" thickBot="1" x14ac:dyDescent="0.3">
      <c r="A58" s="101" t="s">
        <v>35</v>
      </c>
      <c r="B58" s="136">
        <f>SUM(B49:B57)</f>
        <v>88</v>
      </c>
      <c r="C58" s="103">
        <f t="shared" ref="C58:J58" si="34">SUM(C49:C57)</f>
        <v>178</v>
      </c>
      <c r="D58" s="104">
        <f t="shared" si="34"/>
        <v>1277</v>
      </c>
      <c r="E58" s="104">
        <f t="shared" si="34"/>
        <v>974</v>
      </c>
      <c r="F58" s="104">
        <f t="shared" si="34"/>
        <v>32</v>
      </c>
      <c r="G58" s="104">
        <f t="shared" si="34"/>
        <v>19</v>
      </c>
      <c r="H58" s="104">
        <f t="shared" si="34"/>
        <v>7970</v>
      </c>
      <c r="I58" s="104">
        <f t="shared" si="34"/>
        <v>183</v>
      </c>
      <c r="J58" s="137">
        <f t="shared" si="34"/>
        <v>383</v>
      </c>
      <c r="K58" s="123">
        <f>H58/90</f>
        <v>88.555555555555557</v>
      </c>
      <c r="L58" s="107">
        <f>H58/(E58+F58)</f>
        <v>7.9224652087475151</v>
      </c>
      <c r="M58" s="108">
        <f>((C58*90)-H58)/(E58+F58)</f>
        <v>8.001988071570576</v>
      </c>
      <c r="N58" s="124">
        <f>(E58+F58)/C58</f>
        <v>5.6516853932584272</v>
      </c>
      <c r="O58" s="107">
        <f>H58*100/(C58*90)</f>
        <v>49.750312109862669</v>
      </c>
      <c r="P58" s="110">
        <f t="shared" si="33"/>
        <v>3.1809145129224654</v>
      </c>
    </row>
    <row r="59" spans="1:18" x14ac:dyDescent="0.25">
      <c r="A59" s="235" t="s">
        <v>196</v>
      </c>
      <c r="B59" s="253">
        <f>B53+B56</f>
        <v>6</v>
      </c>
      <c r="C59" s="253">
        <f t="shared" ref="C59:J59" si="35">C53+C56</f>
        <v>20</v>
      </c>
      <c r="D59" s="253">
        <f t="shared" si="35"/>
        <v>338</v>
      </c>
      <c r="E59" s="253">
        <f t="shared" si="35"/>
        <v>110</v>
      </c>
      <c r="F59" s="253">
        <f t="shared" si="35"/>
        <v>25</v>
      </c>
      <c r="G59" s="253">
        <f t="shared" si="35"/>
        <v>19</v>
      </c>
      <c r="H59" s="253">
        <f t="shared" si="35"/>
        <v>616</v>
      </c>
      <c r="I59" s="253">
        <f t="shared" si="35"/>
        <v>0</v>
      </c>
      <c r="J59" s="253">
        <f t="shared" si="35"/>
        <v>204</v>
      </c>
      <c r="K59" s="236">
        <f>H59/90</f>
        <v>6.8444444444444441</v>
      </c>
      <c r="L59" s="237">
        <f>H59/(E59+F59)</f>
        <v>4.5629629629629633</v>
      </c>
      <c r="M59" s="238">
        <f>((C59*90)-H59)/(E59+F59)</f>
        <v>8.7703703703703706</v>
      </c>
      <c r="N59" s="239">
        <f>(E59+F59)/C59</f>
        <v>6.75</v>
      </c>
      <c r="O59" s="237">
        <f>H59*100/(C59*90)</f>
        <v>34.222222222222221</v>
      </c>
      <c r="P59" s="240">
        <f>F59*100/(E59+F59)</f>
        <v>18.518518518518519</v>
      </c>
      <c r="Q59" s="72">
        <f>G59/(F59+G59)*100</f>
        <v>43.18181818181818</v>
      </c>
    </row>
    <row r="61" spans="1:18" ht="25.5" x14ac:dyDescent="0.35">
      <c r="A61" s="602" t="s">
        <v>1</v>
      </c>
      <c r="B61" s="602"/>
      <c r="C61" s="602"/>
      <c r="D61" s="602"/>
      <c r="E61" s="602"/>
      <c r="F61" s="602"/>
      <c r="G61" s="602"/>
      <c r="H61" s="602"/>
      <c r="I61" s="602"/>
      <c r="J61" s="602"/>
      <c r="K61" s="602"/>
      <c r="L61" s="602"/>
      <c r="M61" s="602"/>
      <c r="N61" s="602"/>
      <c r="O61" s="602"/>
      <c r="P61" s="602"/>
      <c r="R61" s="72" t="s">
        <v>49</v>
      </c>
    </row>
    <row r="62" spans="1:18" ht="26.25" thickBot="1" x14ac:dyDescent="0.4">
      <c r="A62" s="601" t="s">
        <v>630</v>
      </c>
      <c r="B62" s="601"/>
      <c r="C62" s="601"/>
      <c r="D62" s="601"/>
      <c r="E62" s="601"/>
      <c r="F62" s="601"/>
      <c r="G62" s="601"/>
      <c r="H62" s="601"/>
      <c r="I62" s="601"/>
      <c r="J62" s="601"/>
      <c r="K62" s="601"/>
      <c r="L62" s="601"/>
      <c r="M62" s="601"/>
      <c r="N62" s="601"/>
      <c r="O62" s="601"/>
      <c r="P62" s="601"/>
    </row>
    <row r="63" spans="1:18" s="184" customFormat="1" ht="35.25" customHeight="1" thickBot="1" x14ac:dyDescent="0.25">
      <c r="A63" s="176" t="s">
        <v>20</v>
      </c>
      <c r="B63" s="180" t="s">
        <v>22</v>
      </c>
      <c r="C63" s="178" t="s">
        <v>21</v>
      </c>
      <c r="D63" s="178" t="s">
        <v>9</v>
      </c>
      <c r="E63" s="178" t="s">
        <v>10</v>
      </c>
      <c r="F63" s="178" t="s">
        <v>11</v>
      </c>
      <c r="G63" s="178" t="s">
        <v>80</v>
      </c>
      <c r="H63" s="178" t="s">
        <v>25</v>
      </c>
      <c r="I63" s="178" t="s">
        <v>23</v>
      </c>
      <c r="J63" s="179" t="s">
        <v>24</v>
      </c>
      <c r="K63" s="178" t="s">
        <v>43</v>
      </c>
      <c r="L63" s="178" t="s">
        <v>44</v>
      </c>
      <c r="M63" s="181" t="s">
        <v>45</v>
      </c>
      <c r="N63" s="178" t="s">
        <v>46</v>
      </c>
      <c r="O63" s="178" t="s">
        <v>47</v>
      </c>
      <c r="P63" s="179" t="s">
        <v>48</v>
      </c>
    </row>
    <row r="64" spans="1:18" s="127" customFormat="1" ht="24.95" customHeight="1" x14ac:dyDescent="0.25">
      <c r="A64" s="73" t="s">
        <v>26</v>
      </c>
      <c r="B64" s="112">
        <f>Male!H122</f>
        <v>18</v>
      </c>
      <c r="C64" s="75">
        <v>32</v>
      </c>
      <c r="D64" s="76">
        <f>Male!B155</f>
        <v>0</v>
      </c>
      <c r="E64" s="76">
        <f>Male!C155</f>
        <v>0</v>
      </c>
      <c r="F64" s="76">
        <f>Male!D155</f>
        <v>0</v>
      </c>
      <c r="G64" s="76">
        <f>Male!E155</f>
        <v>0</v>
      </c>
      <c r="H64" s="76">
        <f>Male!H155</f>
        <v>540</v>
      </c>
      <c r="I64" s="76">
        <f>Male!F155</f>
        <v>0</v>
      </c>
      <c r="J64" s="77">
        <f>Male!G155</f>
        <v>0</v>
      </c>
      <c r="K64" s="78">
        <f>H64/30</f>
        <v>18</v>
      </c>
      <c r="L64" s="79" t="e">
        <f>H64/(E64+F64)</f>
        <v>#DIV/0!</v>
      </c>
      <c r="M64" s="80" t="e">
        <f>((C64*30)-H64)/(E64+F64)</f>
        <v>#DIV/0!</v>
      </c>
      <c r="N64" s="81">
        <f>(E64+F64)/C64</f>
        <v>0</v>
      </c>
      <c r="O64" s="79">
        <f>H64*100/(C64*30)</f>
        <v>56.25</v>
      </c>
      <c r="P64" s="82" t="e">
        <f>F64*100/(E64+F64)</f>
        <v>#DIV/0!</v>
      </c>
    </row>
    <row r="65" spans="1:17" s="127" customFormat="1" ht="24.95" customHeight="1" x14ac:dyDescent="0.25">
      <c r="A65" s="83" t="s">
        <v>27</v>
      </c>
      <c r="B65" s="113">
        <f>Paediatric!H122</f>
        <v>6</v>
      </c>
      <c r="C65" s="85">
        <v>27</v>
      </c>
      <c r="D65" s="86">
        <f>Paediatric!B155</f>
        <v>0</v>
      </c>
      <c r="E65" s="86">
        <f>Paediatric!C155</f>
        <v>0</v>
      </c>
      <c r="F65" s="86">
        <f>Paediatric!D155</f>
        <v>0</v>
      </c>
      <c r="G65" s="86">
        <f>Paediatric!E155</f>
        <v>0</v>
      </c>
      <c r="H65" s="86">
        <f>Paediatric!H155</f>
        <v>180</v>
      </c>
      <c r="I65" s="86">
        <f>Paediatric!F155</f>
        <v>0</v>
      </c>
      <c r="J65" s="87">
        <f>Paediatric!G155</f>
        <v>0</v>
      </c>
      <c r="K65" s="78">
        <f t="shared" ref="K65:K71" si="36">H65/30</f>
        <v>6</v>
      </c>
      <c r="L65" s="79" t="e">
        <f t="shared" ref="L65:L73" si="37">H65/(E65+F65)</f>
        <v>#DIV/0!</v>
      </c>
      <c r="M65" s="80" t="e">
        <f t="shared" ref="M65:M72" si="38">((C65*30)-H65)/(E65+F65)</f>
        <v>#DIV/0!</v>
      </c>
      <c r="N65" s="81">
        <f t="shared" ref="N65:N74" si="39">(E65+F65)/C65</f>
        <v>0</v>
      </c>
      <c r="O65" s="79">
        <f t="shared" ref="O65:O72" si="40">H65*100/(C65*30)</f>
        <v>22.222222222222221</v>
      </c>
      <c r="P65" s="82" t="e">
        <f t="shared" ref="P65:P73" si="41">F65*100/(E65+F65)</f>
        <v>#DIV/0!</v>
      </c>
    </row>
    <row r="66" spans="1:17" s="127" customFormat="1" ht="24.95" customHeight="1" x14ac:dyDescent="0.25">
      <c r="A66" s="83" t="s">
        <v>28</v>
      </c>
      <c r="B66" s="113">
        <f>Female!H122</f>
        <v>15</v>
      </c>
      <c r="C66" s="85">
        <v>28</v>
      </c>
      <c r="D66" s="86">
        <f>Female!B155</f>
        <v>0</v>
      </c>
      <c r="E66" s="86">
        <f>Female!C155</f>
        <v>0</v>
      </c>
      <c r="F66" s="86">
        <f>Female!D155</f>
        <v>0</v>
      </c>
      <c r="G66" s="86">
        <f>Female!E155</f>
        <v>0</v>
      </c>
      <c r="H66" s="86">
        <f>Female!H155</f>
        <v>450</v>
      </c>
      <c r="I66" s="86">
        <f>Female!F155</f>
        <v>0</v>
      </c>
      <c r="J66" s="87">
        <f>Female!G155</f>
        <v>0</v>
      </c>
      <c r="K66" s="78">
        <f t="shared" si="36"/>
        <v>15</v>
      </c>
      <c r="L66" s="79" t="e">
        <f t="shared" si="37"/>
        <v>#DIV/0!</v>
      </c>
      <c r="M66" s="80" t="e">
        <f t="shared" si="38"/>
        <v>#DIV/0!</v>
      </c>
      <c r="N66" s="81">
        <f t="shared" si="39"/>
        <v>0</v>
      </c>
      <c r="O66" s="79">
        <f t="shared" si="40"/>
        <v>53.571428571428569</v>
      </c>
      <c r="P66" s="82" t="e">
        <f t="shared" si="41"/>
        <v>#DIV/0!</v>
      </c>
    </row>
    <row r="67" spans="1:17" s="127" customFormat="1" ht="24.95" customHeight="1" x14ac:dyDescent="0.25">
      <c r="A67" s="83" t="s">
        <v>29</v>
      </c>
      <c r="B67" s="113">
        <f>'BLK F'!H122</f>
        <v>13</v>
      </c>
      <c r="C67" s="85">
        <v>20</v>
      </c>
      <c r="D67" s="86">
        <f>'BLK F'!B155</f>
        <v>81</v>
      </c>
      <c r="E67" s="86">
        <f>'BLK F'!C155</f>
        <v>80</v>
      </c>
      <c r="F67" s="86">
        <f>'BLK F'!D155</f>
        <v>0</v>
      </c>
      <c r="G67" s="86">
        <f>'BLK F'!E155</f>
        <v>0</v>
      </c>
      <c r="H67" s="86">
        <f>'BLK F'!H155</f>
        <v>293</v>
      </c>
      <c r="I67" s="86">
        <f>'BLK F'!F155</f>
        <v>3</v>
      </c>
      <c r="J67" s="87">
        <f>'BLK F'!G155</f>
        <v>3</v>
      </c>
      <c r="K67" s="78">
        <f t="shared" si="36"/>
        <v>9.7666666666666675</v>
      </c>
      <c r="L67" s="79">
        <f t="shared" si="37"/>
        <v>3.6625000000000001</v>
      </c>
      <c r="M67" s="80">
        <f t="shared" si="38"/>
        <v>3.8374999999999999</v>
      </c>
      <c r="N67" s="81">
        <f t="shared" si="39"/>
        <v>4</v>
      </c>
      <c r="O67" s="79">
        <f t="shared" si="40"/>
        <v>48.833333333333336</v>
      </c>
      <c r="P67" s="82">
        <f t="shared" si="41"/>
        <v>0</v>
      </c>
    </row>
    <row r="68" spans="1:17" s="127" customFormat="1" ht="24.95" customHeight="1" x14ac:dyDescent="0.25">
      <c r="A68" s="83" t="s">
        <v>30</v>
      </c>
      <c r="B68" s="113">
        <f>'Male Emergency'!H122</f>
        <v>3</v>
      </c>
      <c r="C68" s="85">
        <v>10</v>
      </c>
      <c r="D68" s="86">
        <f>'Male Emergency'!B155</f>
        <v>69</v>
      </c>
      <c r="E68" s="86">
        <f>'Male Emergency'!C155</f>
        <v>22</v>
      </c>
      <c r="F68" s="86">
        <f>'Male Emergency'!D155</f>
        <v>2</v>
      </c>
      <c r="G68" s="86">
        <f>'Male Emergency'!E155</f>
        <v>7</v>
      </c>
      <c r="H68" s="86">
        <f>'Male Emergency'!H155</f>
        <v>85</v>
      </c>
      <c r="I68" s="86">
        <f>'Male Emergency'!F155</f>
        <v>0</v>
      </c>
      <c r="J68" s="87">
        <f>'Male Emergency'!G155</f>
        <v>45</v>
      </c>
      <c r="K68" s="78">
        <f t="shared" si="36"/>
        <v>2.8333333333333335</v>
      </c>
      <c r="L68" s="79">
        <f t="shared" si="37"/>
        <v>3.5416666666666665</v>
      </c>
      <c r="M68" s="80">
        <f t="shared" si="38"/>
        <v>8.9583333333333339</v>
      </c>
      <c r="N68" s="81">
        <f t="shared" si="39"/>
        <v>2.4</v>
      </c>
      <c r="O68" s="79">
        <f t="shared" si="40"/>
        <v>28.333333333333332</v>
      </c>
      <c r="P68" s="82">
        <f t="shared" si="41"/>
        <v>8.3333333333333339</v>
      </c>
    </row>
    <row r="69" spans="1:17" s="127" customFormat="1" ht="24.95" customHeight="1" x14ac:dyDescent="0.25">
      <c r="A69" s="83" t="s">
        <v>31</v>
      </c>
      <c r="B69" s="113">
        <f>'BLK G'!H122</f>
        <v>12</v>
      </c>
      <c r="C69" s="85">
        <v>14</v>
      </c>
      <c r="D69" s="86">
        <f>'BLK G'!B155</f>
        <v>155</v>
      </c>
      <c r="E69" s="86">
        <f>'BLK G'!C155</f>
        <v>122</v>
      </c>
      <c r="F69" s="86">
        <f>'BLK G'!D155</f>
        <v>0</v>
      </c>
      <c r="G69" s="86">
        <f>'BLK G'!E155</f>
        <v>0</v>
      </c>
      <c r="H69" s="86">
        <f>'BLK G'!H155</f>
        <v>332</v>
      </c>
      <c r="I69" s="86">
        <f>'BLK G'!F155</f>
        <v>23</v>
      </c>
      <c r="J69" s="87">
        <f>'BLK G'!G155</f>
        <v>57</v>
      </c>
      <c r="K69" s="78">
        <f t="shared" si="36"/>
        <v>11.066666666666666</v>
      </c>
      <c r="L69" s="79">
        <f t="shared" si="37"/>
        <v>2.721311475409836</v>
      </c>
      <c r="M69" s="80">
        <f t="shared" si="38"/>
        <v>0.72131147540983609</v>
      </c>
      <c r="N69" s="81">
        <f t="shared" si="39"/>
        <v>8.7142857142857135</v>
      </c>
      <c r="O69" s="79">
        <f t="shared" si="40"/>
        <v>79.047619047619051</v>
      </c>
      <c r="P69" s="82">
        <f t="shared" si="41"/>
        <v>0</v>
      </c>
    </row>
    <row r="70" spans="1:17" s="127" customFormat="1" ht="24.95" customHeight="1" x14ac:dyDescent="0.25">
      <c r="A70" s="83" t="s">
        <v>32</v>
      </c>
      <c r="B70" s="113">
        <f>'BLK H'!H122</f>
        <v>8</v>
      </c>
      <c r="C70" s="85">
        <v>22</v>
      </c>
      <c r="D70" s="86">
        <f>'BLK H'!B155</f>
        <v>65</v>
      </c>
      <c r="E70" s="86">
        <f>'BLK H'!C155</f>
        <v>93</v>
      </c>
      <c r="F70" s="86">
        <f>'BLK H'!D155</f>
        <v>0</v>
      </c>
      <c r="G70" s="86">
        <f>'BLK H'!E155</f>
        <v>0</v>
      </c>
      <c r="H70" s="86">
        <f>'BLK H'!H155</f>
        <v>403</v>
      </c>
      <c r="I70" s="86">
        <f>'BLK H'!F155</f>
        <v>58</v>
      </c>
      <c r="J70" s="87">
        <f>'BLK H'!G155</f>
        <v>22</v>
      </c>
      <c r="K70" s="78">
        <f t="shared" si="36"/>
        <v>13.433333333333334</v>
      </c>
      <c r="L70" s="79">
        <f t="shared" si="37"/>
        <v>4.333333333333333</v>
      </c>
      <c r="M70" s="80">
        <f t="shared" si="38"/>
        <v>2.763440860215054</v>
      </c>
      <c r="N70" s="81">
        <f t="shared" si="39"/>
        <v>4.2272727272727275</v>
      </c>
      <c r="O70" s="79">
        <f t="shared" si="40"/>
        <v>61.060606060606062</v>
      </c>
      <c r="P70" s="82">
        <f t="shared" si="41"/>
        <v>0</v>
      </c>
    </row>
    <row r="71" spans="1:17" s="127" customFormat="1" ht="24.95" customHeight="1" x14ac:dyDescent="0.25">
      <c r="A71" s="83" t="s">
        <v>33</v>
      </c>
      <c r="B71" s="113">
        <f>'Female Emergency'!H122</f>
        <v>2</v>
      </c>
      <c r="C71" s="85">
        <v>10</v>
      </c>
      <c r="D71" s="86">
        <f>'Female Emergency'!B155</f>
        <v>75</v>
      </c>
      <c r="E71" s="86">
        <f>'Female Emergency'!C155</f>
        <v>26</v>
      </c>
      <c r="F71" s="86">
        <f>'Female Emergency'!D155</f>
        <v>2</v>
      </c>
      <c r="G71" s="86">
        <f>'Female Emergency'!E155</f>
        <v>2</v>
      </c>
      <c r="H71" s="86">
        <f>'Female Emergency'!H155</f>
        <v>97</v>
      </c>
      <c r="I71" s="86">
        <f>'Female Emergency'!F155</f>
        <v>0</v>
      </c>
      <c r="J71" s="87">
        <f>'Female Emergency'!G155</f>
        <v>46</v>
      </c>
      <c r="K71" s="78">
        <f t="shared" si="36"/>
        <v>3.2333333333333334</v>
      </c>
      <c r="L71" s="79">
        <f t="shared" si="37"/>
        <v>3.4642857142857144</v>
      </c>
      <c r="M71" s="80">
        <f t="shared" si="38"/>
        <v>7.25</v>
      </c>
      <c r="N71" s="81">
        <f t="shared" si="39"/>
        <v>2.8</v>
      </c>
      <c r="O71" s="79">
        <f t="shared" si="40"/>
        <v>32.333333333333336</v>
      </c>
      <c r="P71" s="82">
        <f t="shared" si="41"/>
        <v>7.1428571428571432</v>
      </c>
    </row>
    <row r="72" spans="1:17" s="127" customFormat="1" ht="24.95" customHeight="1" thickBot="1" x14ac:dyDescent="0.3">
      <c r="A72" s="91" t="s">
        <v>34</v>
      </c>
      <c r="B72" s="114">
        <f>Neonatal!H122</f>
        <v>15</v>
      </c>
      <c r="C72" s="93">
        <v>15</v>
      </c>
      <c r="D72" s="94">
        <f>Neonatal!B155</f>
        <v>59</v>
      </c>
      <c r="E72" s="94">
        <f>Neonatal!C155</f>
        <v>54</v>
      </c>
      <c r="F72" s="94">
        <f>Neonatal!D155</f>
        <v>2</v>
      </c>
      <c r="G72" s="94">
        <f>Neonatal!E155</f>
        <v>0</v>
      </c>
      <c r="H72" s="94">
        <f>Neonatal!H155</f>
        <v>428</v>
      </c>
      <c r="I72" s="94">
        <f>Neonatal!F155</f>
        <v>0</v>
      </c>
      <c r="J72" s="95">
        <f>Neonatal!G155</f>
        <v>0</v>
      </c>
      <c r="K72" s="78">
        <f>H72/30</f>
        <v>14.266666666666667</v>
      </c>
      <c r="L72" s="97">
        <f t="shared" si="37"/>
        <v>7.6428571428571432</v>
      </c>
      <c r="M72" s="80">
        <f t="shared" si="38"/>
        <v>0.39285714285714285</v>
      </c>
      <c r="N72" s="99">
        <f t="shared" si="39"/>
        <v>3.7333333333333334</v>
      </c>
      <c r="O72" s="79">
        <f t="shared" si="40"/>
        <v>95.111111111111114</v>
      </c>
      <c r="P72" s="116">
        <f t="shared" si="41"/>
        <v>3.5714285714285716</v>
      </c>
    </row>
    <row r="73" spans="1:17" ht="16.5" thickBot="1" x14ac:dyDescent="0.3">
      <c r="A73" s="101" t="s">
        <v>35</v>
      </c>
      <c r="B73" s="136">
        <f t="shared" ref="B73:J73" si="42">SUM(B64:B72)</f>
        <v>92</v>
      </c>
      <c r="C73" s="103">
        <f t="shared" si="42"/>
        <v>178</v>
      </c>
      <c r="D73" s="104">
        <f t="shared" si="42"/>
        <v>504</v>
      </c>
      <c r="E73" s="104">
        <f t="shared" si="42"/>
        <v>397</v>
      </c>
      <c r="F73" s="104">
        <f t="shared" si="42"/>
        <v>6</v>
      </c>
      <c r="G73" s="104">
        <f t="shared" si="42"/>
        <v>9</v>
      </c>
      <c r="H73" s="104">
        <f t="shared" si="42"/>
        <v>2808</v>
      </c>
      <c r="I73" s="104">
        <f t="shared" si="42"/>
        <v>84</v>
      </c>
      <c r="J73" s="137">
        <f t="shared" si="42"/>
        <v>173</v>
      </c>
      <c r="K73" s="123">
        <f>H73/30</f>
        <v>93.6</v>
      </c>
      <c r="L73" s="107">
        <f t="shared" si="37"/>
        <v>6.967741935483871</v>
      </c>
      <c r="M73" s="108">
        <f>((C73*30)-H73)/(E73+F73)</f>
        <v>6.2828784119106702</v>
      </c>
      <c r="N73" s="124">
        <f t="shared" si="39"/>
        <v>2.2640449438202248</v>
      </c>
      <c r="O73" s="107">
        <f>H73*100/(C73*30)</f>
        <v>52.584269662921351</v>
      </c>
      <c r="P73" s="110">
        <f t="shared" si="41"/>
        <v>1.4888337468982631</v>
      </c>
    </row>
    <row r="74" spans="1:17" x14ac:dyDescent="0.25">
      <c r="A74" s="235" t="s">
        <v>196</v>
      </c>
      <c r="B74" s="253">
        <f>B68+B71</f>
        <v>5</v>
      </c>
      <c r="C74" s="253">
        <f t="shared" ref="C74:J74" si="43">C68+C71</f>
        <v>20</v>
      </c>
      <c r="D74" s="253">
        <f t="shared" si="43"/>
        <v>144</v>
      </c>
      <c r="E74" s="253">
        <f t="shared" si="43"/>
        <v>48</v>
      </c>
      <c r="F74" s="253">
        <f t="shared" si="43"/>
        <v>4</v>
      </c>
      <c r="G74" s="253">
        <f>G68+G71</f>
        <v>9</v>
      </c>
      <c r="H74" s="253">
        <f t="shared" si="43"/>
        <v>182</v>
      </c>
      <c r="I74" s="253">
        <f t="shared" si="43"/>
        <v>0</v>
      </c>
      <c r="J74" s="253">
        <f t="shared" si="43"/>
        <v>91</v>
      </c>
      <c r="K74" s="236">
        <f>H74/31</f>
        <v>5.870967741935484</v>
      </c>
      <c r="L74" s="237">
        <f>H74/(E74+F74)</f>
        <v>3.5</v>
      </c>
      <c r="M74" s="238">
        <f>((C74*31)-H74)/(E74+F74)</f>
        <v>8.4230769230769234</v>
      </c>
      <c r="N74" s="239">
        <f t="shared" si="39"/>
        <v>2.6</v>
      </c>
      <c r="O74" s="237">
        <f>H74*100/(C74*31)</f>
        <v>29.35483870967742</v>
      </c>
      <c r="P74" s="240">
        <f>F74*100/(E74+F74)</f>
        <v>7.6923076923076925</v>
      </c>
      <c r="Q74" s="72">
        <f>G74/(F74+G74)*100</f>
        <v>69.230769230769226</v>
      </c>
    </row>
    <row r="76" spans="1:17" ht="25.5" x14ac:dyDescent="0.35">
      <c r="A76" s="602" t="s">
        <v>1</v>
      </c>
      <c r="B76" s="602"/>
      <c r="C76" s="602"/>
      <c r="D76" s="602"/>
      <c r="E76" s="602"/>
      <c r="F76" s="602"/>
      <c r="G76" s="602"/>
      <c r="H76" s="602"/>
      <c r="I76" s="602"/>
      <c r="J76" s="602"/>
      <c r="K76" s="602"/>
      <c r="L76" s="602"/>
      <c r="M76" s="602"/>
      <c r="N76" s="602"/>
      <c r="O76" s="602"/>
      <c r="P76" s="602"/>
    </row>
    <row r="77" spans="1:17" ht="26.25" thickBot="1" x14ac:dyDescent="0.4">
      <c r="A77" s="601" t="s">
        <v>631</v>
      </c>
      <c r="B77" s="601"/>
      <c r="C77" s="601"/>
      <c r="D77" s="601"/>
      <c r="E77" s="601"/>
      <c r="F77" s="601"/>
      <c r="G77" s="601"/>
      <c r="H77" s="601"/>
      <c r="I77" s="601"/>
      <c r="J77" s="601"/>
      <c r="K77" s="601"/>
      <c r="L77" s="601"/>
      <c r="M77" s="601"/>
      <c r="N77" s="601"/>
      <c r="O77" s="601"/>
      <c r="P77" s="601"/>
    </row>
    <row r="78" spans="1:17" s="184" customFormat="1" ht="35.25" customHeight="1" thickBot="1" x14ac:dyDescent="0.25">
      <c r="A78" s="176" t="s">
        <v>20</v>
      </c>
      <c r="B78" s="180" t="s">
        <v>22</v>
      </c>
      <c r="C78" s="178" t="s">
        <v>21</v>
      </c>
      <c r="D78" s="178" t="s">
        <v>9</v>
      </c>
      <c r="E78" s="178" t="s">
        <v>10</v>
      </c>
      <c r="F78" s="178" t="s">
        <v>11</v>
      </c>
      <c r="G78" s="178" t="s">
        <v>80</v>
      </c>
      <c r="H78" s="178" t="s">
        <v>25</v>
      </c>
      <c r="I78" s="178" t="s">
        <v>23</v>
      </c>
      <c r="J78" s="179" t="s">
        <v>24</v>
      </c>
      <c r="K78" s="178" t="s">
        <v>43</v>
      </c>
      <c r="L78" s="178" t="s">
        <v>44</v>
      </c>
      <c r="M78" s="181" t="s">
        <v>45</v>
      </c>
      <c r="N78" s="178" t="s">
        <v>46</v>
      </c>
      <c r="O78" s="178" t="s">
        <v>47</v>
      </c>
      <c r="P78" s="179" t="s">
        <v>48</v>
      </c>
    </row>
    <row r="79" spans="1:17" s="127" customFormat="1" ht="24.75" customHeight="1" x14ac:dyDescent="0.25">
      <c r="A79" s="73" t="s">
        <v>26</v>
      </c>
      <c r="B79" s="112">
        <f>Male!H161</f>
        <v>18</v>
      </c>
      <c r="C79" s="75">
        <v>32</v>
      </c>
      <c r="D79" s="76">
        <f>Male!B195</f>
        <v>0</v>
      </c>
      <c r="E79" s="76">
        <f>Male!C195</f>
        <v>0</v>
      </c>
      <c r="F79" s="76">
        <f>Male!D195</f>
        <v>0</v>
      </c>
      <c r="G79" s="76">
        <f>Male!E195</f>
        <v>0</v>
      </c>
      <c r="H79" s="76">
        <f>Male!H195</f>
        <v>558</v>
      </c>
      <c r="I79" s="76">
        <f>Male!F195</f>
        <v>0</v>
      </c>
      <c r="J79" s="77">
        <f>Male!G195</f>
        <v>0</v>
      </c>
      <c r="K79" s="78">
        <f>H79/31</f>
        <v>18</v>
      </c>
      <c r="L79" s="79" t="e">
        <f>H79/(E79+F79)</f>
        <v>#DIV/0!</v>
      </c>
      <c r="M79" s="80" t="e">
        <f>((C79*31)-H79)/(E79+F79)</f>
        <v>#DIV/0!</v>
      </c>
      <c r="N79" s="81">
        <f>(E79+F79)/C79</f>
        <v>0</v>
      </c>
      <c r="O79" s="79">
        <f>H79*100/(C79*31)</f>
        <v>56.25</v>
      </c>
      <c r="P79" s="82" t="e">
        <f>F79*100/(E79+F79)</f>
        <v>#DIV/0!</v>
      </c>
    </row>
    <row r="80" spans="1:17" s="127" customFormat="1" ht="24.95" customHeight="1" x14ac:dyDescent="0.25">
      <c r="A80" s="83" t="s">
        <v>27</v>
      </c>
      <c r="B80" s="113">
        <f>Paediatric!H161</f>
        <v>6</v>
      </c>
      <c r="C80" s="85">
        <v>27</v>
      </c>
      <c r="D80" s="86">
        <f>Paediatric!B195</f>
        <v>0</v>
      </c>
      <c r="E80" s="86">
        <f>Paediatric!C195</f>
        <v>0</v>
      </c>
      <c r="F80" s="86">
        <f>Paediatric!D195</f>
        <v>0</v>
      </c>
      <c r="G80" s="86">
        <f>Paediatric!E195</f>
        <v>0</v>
      </c>
      <c r="H80" s="86">
        <f>Paediatric!H195</f>
        <v>186</v>
      </c>
      <c r="I80" s="86">
        <f>Paediatric!F195</f>
        <v>0</v>
      </c>
      <c r="J80" s="87">
        <f>Paediatric!G195</f>
        <v>0</v>
      </c>
      <c r="K80" s="78">
        <f t="shared" ref="K80:K87" si="44">H80/31</f>
        <v>6</v>
      </c>
      <c r="L80" s="79" t="e">
        <f t="shared" ref="L80:L88" si="45">H80/(E80+F80)</f>
        <v>#DIV/0!</v>
      </c>
      <c r="M80" s="80" t="e">
        <f t="shared" ref="M80:M86" si="46">((C80*31)-H80)/(E80+F80)</f>
        <v>#DIV/0!</v>
      </c>
      <c r="N80" s="81">
        <f t="shared" ref="N80:N89" si="47">(E80+F80)/C80</f>
        <v>0</v>
      </c>
      <c r="O80" s="79">
        <f t="shared" ref="O80:O87" si="48">H80*100/(C80*31)</f>
        <v>22.222222222222221</v>
      </c>
      <c r="P80" s="82" t="e">
        <f t="shared" ref="P80:P88" si="49">F80*100/(E80+F80)</f>
        <v>#DIV/0!</v>
      </c>
    </row>
    <row r="81" spans="1:18" s="127" customFormat="1" ht="24.95" customHeight="1" x14ac:dyDescent="0.25">
      <c r="A81" s="83" t="s">
        <v>28</v>
      </c>
      <c r="B81" s="113">
        <f>Female!H161</f>
        <v>15</v>
      </c>
      <c r="C81" s="85">
        <v>28</v>
      </c>
      <c r="D81" s="86">
        <f>Female!B195</f>
        <v>0</v>
      </c>
      <c r="E81" s="86">
        <f>Female!C195</f>
        <v>0</v>
      </c>
      <c r="F81" s="86">
        <f>Female!D195</f>
        <v>0</v>
      </c>
      <c r="G81" s="86">
        <f>Female!E195</f>
        <v>0</v>
      </c>
      <c r="H81" s="86">
        <f>Female!H195</f>
        <v>465</v>
      </c>
      <c r="I81" s="86">
        <f>Female!F195</f>
        <v>0</v>
      </c>
      <c r="J81" s="87">
        <f>Female!G195</f>
        <v>0</v>
      </c>
      <c r="K81" s="78">
        <f t="shared" si="44"/>
        <v>15</v>
      </c>
      <c r="L81" s="79" t="e">
        <f t="shared" si="45"/>
        <v>#DIV/0!</v>
      </c>
      <c r="M81" s="80" t="e">
        <f t="shared" si="46"/>
        <v>#DIV/0!</v>
      </c>
      <c r="N81" s="81">
        <f t="shared" si="47"/>
        <v>0</v>
      </c>
      <c r="O81" s="79">
        <f t="shared" si="48"/>
        <v>53.571428571428569</v>
      </c>
      <c r="P81" s="82" t="e">
        <f t="shared" si="49"/>
        <v>#DIV/0!</v>
      </c>
    </row>
    <row r="82" spans="1:18" s="127" customFormat="1" ht="24.95" customHeight="1" x14ac:dyDescent="0.25">
      <c r="A82" s="83" t="s">
        <v>29</v>
      </c>
      <c r="B82" s="113">
        <f>'BLK F'!H161</f>
        <v>14</v>
      </c>
      <c r="C82" s="85">
        <v>20</v>
      </c>
      <c r="D82" s="86">
        <f>'BLK F'!B195</f>
        <v>106</v>
      </c>
      <c r="E82" s="86">
        <f>'BLK F'!C195</f>
        <v>110</v>
      </c>
      <c r="F82" s="86">
        <f>'BLK F'!D195</f>
        <v>0</v>
      </c>
      <c r="G82" s="86">
        <f>'BLK F'!E195</f>
        <v>0</v>
      </c>
      <c r="H82" s="86">
        <f>'BLK F'!H195</f>
        <v>396</v>
      </c>
      <c r="I82" s="86">
        <f>'BLK F'!F195</f>
        <v>2</v>
      </c>
      <c r="J82" s="87">
        <f>'BLK F'!G195</f>
        <v>2</v>
      </c>
      <c r="K82" s="78">
        <f t="shared" si="44"/>
        <v>12.774193548387096</v>
      </c>
      <c r="L82" s="79">
        <f t="shared" si="45"/>
        <v>3.6</v>
      </c>
      <c r="M82" s="80">
        <f t="shared" si="46"/>
        <v>2.0363636363636362</v>
      </c>
      <c r="N82" s="81">
        <f t="shared" si="47"/>
        <v>5.5</v>
      </c>
      <c r="O82" s="79">
        <f t="shared" si="48"/>
        <v>63.87096774193548</v>
      </c>
      <c r="P82" s="82">
        <f t="shared" si="49"/>
        <v>0</v>
      </c>
    </row>
    <row r="83" spans="1:18" s="127" customFormat="1" ht="24.95" customHeight="1" x14ac:dyDescent="0.25">
      <c r="A83" s="83" t="s">
        <v>30</v>
      </c>
      <c r="B83" s="113">
        <f>'Male Emergency'!H161</f>
        <v>3</v>
      </c>
      <c r="C83" s="85">
        <v>10</v>
      </c>
      <c r="D83" s="86">
        <f>'Male Emergency'!B195</f>
        <v>62</v>
      </c>
      <c r="E83" s="86">
        <f>'Male Emergency'!C195</f>
        <v>16</v>
      </c>
      <c r="F83" s="86">
        <f>'Male Emergency'!D195</f>
        <v>3</v>
      </c>
      <c r="G83" s="86">
        <f>'Male Emergency'!E195</f>
        <v>5</v>
      </c>
      <c r="H83" s="86">
        <f>'Male Emergency'!H195</f>
        <v>95</v>
      </c>
      <c r="I83" s="86">
        <f>'Male Emergency'!F195</f>
        <v>0</v>
      </c>
      <c r="J83" s="87">
        <f>'Male Emergency'!G195</f>
        <v>44</v>
      </c>
      <c r="K83" s="78">
        <f t="shared" si="44"/>
        <v>3.064516129032258</v>
      </c>
      <c r="L83" s="79">
        <f t="shared" si="45"/>
        <v>5</v>
      </c>
      <c r="M83" s="80">
        <f t="shared" si="46"/>
        <v>11.315789473684211</v>
      </c>
      <c r="N83" s="81">
        <f t="shared" si="47"/>
        <v>1.9</v>
      </c>
      <c r="O83" s="79">
        <f t="shared" si="48"/>
        <v>30.64516129032258</v>
      </c>
      <c r="P83" s="82">
        <f t="shared" si="49"/>
        <v>15.789473684210526</v>
      </c>
    </row>
    <row r="84" spans="1:18" s="127" customFormat="1" ht="24.95" customHeight="1" x14ac:dyDescent="0.25">
      <c r="A84" s="83" t="s">
        <v>31</v>
      </c>
      <c r="B84" s="113">
        <f>'BLK G'!H161</f>
        <v>11</v>
      </c>
      <c r="C84" s="85">
        <v>14</v>
      </c>
      <c r="D84" s="86">
        <f>'BLK G'!B195</f>
        <v>150</v>
      </c>
      <c r="E84" s="86">
        <f>'BLK G'!C195</f>
        <v>131</v>
      </c>
      <c r="F84" s="86">
        <f>'BLK G'!D195</f>
        <v>0</v>
      </c>
      <c r="G84" s="86">
        <f>'BLK G'!E195</f>
        <v>0</v>
      </c>
      <c r="H84" s="86">
        <f>'BLK G'!H195</f>
        <v>361</v>
      </c>
      <c r="I84" s="86">
        <f>'BLK G'!F195</f>
        <v>23</v>
      </c>
      <c r="J84" s="87">
        <f>'BLK G'!G195</f>
        <v>52</v>
      </c>
      <c r="K84" s="78">
        <f t="shared" si="44"/>
        <v>11.64516129032258</v>
      </c>
      <c r="L84" s="79">
        <f t="shared" si="45"/>
        <v>2.7557251908396947</v>
      </c>
      <c r="M84" s="80">
        <f>((C84*31)-H84)/(E84+F84)</f>
        <v>0.5572519083969466</v>
      </c>
      <c r="N84" s="81">
        <f>(E84+F84)/C84</f>
        <v>9.3571428571428577</v>
      </c>
      <c r="O84" s="79">
        <f t="shared" si="48"/>
        <v>83.179723502304142</v>
      </c>
      <c r="P84" s="82">
        <f t="shared" si="49"/>
        <v>0</v>
      </c>
    </row>
    <row r="85" spans="1:18" s="127" customFormat="1" ht="24.95" customHeight="1" x14ac:dyDescent="0.25">
      <c r="A85" s="83" t="s">
        <v>32</v>
      </c>
      <c r="B85" s="113">
        <f>'BLK H'!H161</f>
        <v>16</v>
      </c>
      <c r="C85" s="85">
        <v>22</v>
      </c>
      <c r="D85" s="86">
        <f>'BLK H'!B195</f>
        <v>63</v>
      </c>
      <c r="E85" s="86">
        <f>'BLK H'!C195</f>
        <v>101</v>
      </c>
      <c r="F85" s="86">
        <f>'BLK H'!D195</f>
        <v>0</v>
      </c>
      <c r="G85" s="86">
        <f>'BLK H'!E195</f>
        <v>0</v>
      </c>
      <c r="H85" s="86">
        <f>'BLK H'!H195</f>
        <v>404</v>
      </c>
      <c r="I85" s="86">
        <f>'BLK H'!F195</f>
        <v>53</v>
      </c>
      <c r="J85" s="87">
        <f>'BLK H'!G195</f>
        <v>21</v>
      </c>
      <c r="K85" s="78">
        <f t="shared" si="44"/>
        <v>13.03225806451613</v>
      </c>
      <c r="L85" s="79">
        <f t="shared" si="45"/>
        <v>4</v>
      </c>
      <c r="M85" s="80">
        <f t="shared" si="46"/>
        <v>2.7524752475247523</v>
      </c>
      <c r="N85" s="81">
        <f t="shared" si="47"/>
        <v>4.5909090909090908</v>
      </c>
      <c r="O85" s="79">
        <f t="shared" si="48"/>
        <v>59.237536656891493</v>
      </c>
      <c r="P85" s="82">
        <f t="shared" si="49"/>
        <v>0</v>
      </c>
    </row>
    <row r="86" spans="1:18" s="127" customFormat="1" ht="24.95" customHeight="1" x14ac:dyDescent="0.25">
      <c r="A86" s="83" t="s">
        <v>33</v>
      </c>
      <c r="B86" s="113">
        <f>'Female Emergency'!H161</f>
        <v>3</v>
      </c>
      <c r="C86" s="85">
        <v>10</v>
      </c>
      <c r="D86" s="86">
        <f>'Female Emergency'!B195</f>
        <v>71</v>
      </c>
      <c r="E86" s="86">
        <f>'Female Emergency'!C195</f>
        <v>28</v>
      </c>
      <c r="F86" s="86">
        <f>'Female Emergency'!D195</f>
        <v>6</v>
      </c>
      <c r="G86" s="86">
        <f>'Female Emergency'!E195</f>
        <v>4</v>
      </c>
      <c r="H86" s="86">
        <f>'Female Emergency'!H195</f>
        <v>94</v>
      </c>
      <c r="I86" s="86">
        <f>'Female Emergency'!F195</f>
        <v>0</v>
      </c>
      <c r="J86" s="87">
        <f>'Female Emergency'!G195</f>
        <v>36</v>
      </c>
      <c r="K86" s="78">
        <f t="shared" si="44"/>
        <v>3.032258064516129</v>
      </c>
      <c r="L86" s="79">
        <f t="shared" si="45"/>
        <v>2.7647058823529411</v>
      </c>
      <c r="M86" s="80">
        <f t="shared" si="46"/>
        <v>6.3529411764705879</v>
      </c>
      <c r="N86" s="81">
        <f t="shared" si="47"/>
        <v>3.4</v>
      </c>
      <c r="O86" s="79">
        <f t="shared" si="48"/>
        <v>30.322580645161292</v>
      </c>
      <c r="P86" s="82">
        <f t="shared" si="49"/>
        <v>17.647058823529413</v>
      </c>
    </row>
    <row r="87" spans="1:18" s="127" customFormat="1" ht="24.95" customHeight="1" thickBot="1" x14ac:dyDescent="0.3">
      <c r="A87" s="91" t="s">
        <v>34</v>
      </c>
      <c r="B87" s="114">
        <f>Neonatal!H161</f>
        <v>18</v>
      </c>
      <c r="C87" s="93">
        <v>15</v>
      </c>
      <c r="D87" s="94">
        <f>Neonatal!B195</f>
        <v>76</v>
      </c>
      <c r="E87" s="94">
        <f>Neonatal!C195</f>
        <v>78</v>
      </c>
      <c r="F87" s="94">
        <f>Neonatal!D195</f>
        <v>1</v>
      </c>
      <c r="G87" s="94">
        <f>Neonatal!E195</f>
        <v>0</v>
      </c>
      <c r="H87" s="94">
        <f>Neonatal!H195</f>
        <v>489</v>
      </c>
      <c r="I87" s="94">
        <f>Neonatal!F195</f>
        <v>0</v>
      </c>
      <c r="J87" s="95">
        <f>Neonatal!G195</f>
        <v>0</v>
      </c>
      <c r="K87" s="78">
        <f t="shared" si="44"/>
        <v>15.774193548387096</v>
      </c>
      <c r="L87" s="97">
        <f t="shared" si="45"/>
        <v>6.1898734177215191</v>
      </c>
      <c r="M87" s="80">
        <f>((C87*31)-H87)/(E87+F87)</f>
        <v>-0.30379746835443039</v>
      </c>
      <c r="N87" s="99">
        <f>(E87+F87)/C87</f>
        <v>5.2666666666666666</v>
      </c>
      <c r="O87" s="79">
        <f t="shared" si="48"/>
        <v>105.16129032258064</v>
      </c>
      <c r="P87" s="116">
        <f t="shared" si="49"/>
        <v>1.2658227848101267</v>
      </c>
    </row>
    <row r="88" spans="1:18" ht="16.5" thickBot="1" x14ac:dyDescent="0.3">
      <c r="A88" s="101" t="s">
        <v>35</v>
      </c>
      <c r="B88" s="136">
        <f t="shared" ref="B88:J88" si="50">SUM(B79:B87)</f>
        <v>104</v>
      </c>
      <c r="C88" s="103">
        <f t="shared" si="50"/>
        <v>178</v>
      </c>
      <c r="D88" s="104">
        <f t="shared" si="50"/>
        <v>528</v>
      </c>
      <c r="E88" s="104">
        <f t="shared" si="50"/>
        <v>464</v>
      </c>
      <c r="F88" s="104">
        <f t="shared" si="50"/>
        <v>10</v>
      </c>
      <c r="G88" s="104">
        <f t="shared" si="50"/>
        <v>9</v>
      </c>
      <c r="H88" s="104">
        <f t="shared" si="50"/>
        <v>3048</v>
      </c>
      <c r="I88" s="104">
        <f t="shared" si="50"/>
        <v>78</v>
      </c>
      <c r="J88" s="137">
        <f t="shared" si="50"/>
        <v>155</v>
      </c>
      <c r="K88" s="138">
        <f>H88/31</f>
        <v>98.322580645161295</v>
      </c>
      <c r="L88" s="139">
        <f t="shared" si="45"/>
        <v>6.4303797468354427</v>
      </c>
      <c r="M88" s="140">
        <f>((C88*31)-H88)/(E88+F88)</f>
        <v>5.2109704641350207</v>
      </c>
      <c r="N88" s="141">
        <f t="shared" si="47"/>
        <v>2.6629213483146068</v>
      </c>
      <c r="O88" s="139">
        <f>H88*100/(C88*31)</f>
        <v>55.237404856832185</v>
      </c>
      <c r="P88" s="142">
        <f t="shared" si="49"/>
        <v>2.109704641350211</v>
      </c>
      <c r="Q88" s="127"/>
    </row>
    <row r="89" spans="1:18" x14ac:dyDescent="0.25">
      <c r="A89" s="235" t="s">
        <v>196</v>
      </c>
      <c r="B89" s="253">
        <f>B83+B86</f>
        <v>6</v>
      </c>
      <c r="C89" s="253">
        <f t="shared" ref="C89:J89" si="51">C83+C86</f>
        <v>20</v>
      </c>
      <c r="D89" s="253">
        <f t="shared" si="51"/>
        <v>133</v>
      </c>
      <c r="E89" s="253">
        <f t="shared" si="51"/>
        <v>44</v>
      </c>
      <c r="F89" s="253">
        <f t="shared" si="51"/>
        <v>9</v>
      </c>
      <c r="G89" s="253">
        <f t="shared" si="51"/>
        <v>9</v>
      </c>
      <c r="H89" s="253">
        <f t="shared" si="51"/>
        <v>189</v>
      </c>
      <c r="I89" s="253">
        <f t="shared" si="51"/>
        <v>0</v>
      </c>
      <c r="J89" s="253">
        <f t="shared" si="51"/>
        <v>80</v>
      </c>
      <c r="K89" s="236">
        <f>H89/31</f>
        <v>6.096774193548387</v>
      </c>
      <c r="L89" s="237">
        <f>H89/(E89+F89)</f>
        <v>3.5660377358490565</v>
      </c>
      <c r="M89" s="238">
        <f>((C89*31)-H89)/(E89+F89)</f>
        <v>8.1320754716981138</v>
      </c>
      <c r="N89" s="239">
        <f t="shared" si="47"/>
        <v>2.65</v>
      </c>
      <c r="O89" s="237">
        <f>H89*100/(C89*31)</f>
        <v>30.483870967741936</v>
      </c>
      <c r="P89" s="240">
        <f>F89*100/(E89+F89)</f>
        <v>16.981132075471699</v>
      </c>
      <c r="Q89" s="72">
        <f>G89/(F89+G89)*100</f>
        <v>50</v>
      </c>
    </row>
    <row r="90" spans="1:18" x14ac:dyDescent="0.25">
      <c r="Q90" s="127"/>
    </row>
    <row r="91" spans="1:18" ht="25.5" x14ac:dyDescent="0.35">
      <c r="A91" s="602" t="s">
        <v>1</v>
      </c>
      <c r="B91" s="602"/>
      <c r="C91" s="602"/>
      <c r="D91" s="602"/>
      <c r="E91" s="602"/>
      <c r="F91" s="602"/>
      <c r="G91" s="602"/>
      <c r="H91" s="602"/>
      <c r="I91" s="602"/>
      <c r="J91" s="602"/>
      <c r="K91" s="602"/>
      <c r="L91" s="602"/>
      <c r="M91" s="602"/>
      <c r="N91" s="602"/>
      <c r="O91" s="602"/>
      <c r="P91" s="602"/>
    </row>
    <row r="92" spans="1:18" ht="26.25" thickBot="1" x14ac:dyDescent="0.4">
      <c r="A92" s="601" t="s">
        <v>632</v>
      </c>
      <c r="B92" s="601"/>
      <c r="C92" s="601"/>
      <c r="D92" s="601"/>
      <c r="E92" s="601"/>
      <c r="F92" s="601"/>
      <c r="G92" s="601"/>
      <c r="H92" s="601"/>
      <c r="I92" s="601"/>
      <c r="J92" s="601"/>
      <c r="K92" s="601"/>
      <c r="L92" s="601"/>
      <c r="M92" s="601"/>
      <c r="N92" s="601"/>
      <c r="O92" s="601"/>
      <c r="P92" s="601"/>
    </row>
    <row r="93" spans="1:18" s="184" customFormat="1" ht="34.5" thickBot="1" x14ac:dyDescent="0.25">
      <c r="A93" s="176" t="s">
        <v>20</v>
      </c>
      <c r="B93" s="180" t="s">
        <v>22</v>
      </c>
      <c r="C93" s="178" t="s">
        <v>21</v>
      </c>
      <c r="D93" s="178" t="s">
        <v>9</v>
      </c>
      <c r="E93" s="178" t="s">
        <v>10</v>
      </c>
      <c r="F93" s="178" t="s">
        <v>11</v>
      </c>
      <c r="G93" s="178" t="s">
        <v>80</v>
      </c>
      <c r="H93" s="178" t="s">
        <v>25</v>
      </c>
      <c r="I93" s="178" t="s">
        <v>23</v>
      </c>
      <c r="J93" s="179" t="s">
        <v>24</v>
      </c>
      <c r="K93" s="178" t="s">
        <v>43</v>
      </c>
      <c r="L93" s="178" t="s">
        <v>44</v>
      </c>
      <c r="M93" s="181" t="s">
        <v>45</v>
      </c>
      <c r="N93" s="178" t="s">
        <v>46</v>
      </c>
      <c r="O93" s="178" t="s">
        <v>47</v>
      </c>
      <c r="P93" s="179" t="s">
        <v>48</v>
      </c>
      <c r="R93" s="182" t="s">
        <v>49</v>
      </c>
    </row>
    <row r="94" spans="1:18" s="127" customFormat="1" ht="24.75" customHeight="1" x14ac:dyDescent="0.25">
      <c r="A94" s="73" t="s">
        <v>26</v>
      </c>
      <c r="B94" s="112">
        <f>Male!H201</f>
        <v>18</v>
      </c>
      <c r="C94" s="75">
        <v>32</v>
      </c>
      <c r="D94" s="76">
        <f>Male!B234</f>
        <v>0</v>
      </c>
      <c r="E94" s="76">
        <f>Male!C234</f>
        <v>0</v>
      </c>
      <c r="F94" s="76">
        <f>Male!D234</f>
        <v>0</v>
      </c>
      <c r="G94" s="76">
        <f>Male!E234</f>
        <v>0</v>
      </c>
      <c r="H94" s="76">
        <f>Male!H234</f>
        <v>540</v>
      </c>
      <c r="I94" s="76">
        <f>Male!F234</f>
        <v>0</v>
      </c>
      <c r="J94" s="77">
        <f>Male!G234</f>
        <v>0</v>
      </c>
      <c r="K94" s="78">
        <f>H94/30</f>
        <v>18</v>
      </c>
      <c r="L94" s="79" t="e">
        <f>H94/(E94+F94)</f>
        <v>#DIV/0!</v>
      </c>
      <c r="M94" s="80" t="e">
        <f>((C94*30)-H94)/(E94+F94)</f>
        <v>#DIV/0!</v>
      </c>
      <c r="N94" s="81">
        <f>(E94+F94)/C94</f>
        <v>0</v>
      </c>
      <c r="O94" s="79">
        <f>H94*100/(C94*30)</f>
        <v>56.25</v>
      </c>
      <c r="P94" s="240" t="e">
        <f t="shared" ref="P94:P104" si="52">F94*100/(D94)</f>
        <v>#DIV/0!</v>
      </c>
    </row>
    <row r="95" spans="1:18" s="127" customFormat="1" ht="24.95" customHeight="1" x14ac:dyDescent="0.25">
      <c r="A95" s="83" t="s">
        <v>27</v>
      </c>
      <c r="B95" s="113">
        <f>Paediatric!H201</f>
        <v>6</v>
      </c>
      <c r="C95" s="85">
        <v>27</v>
      </c>
      <c r="D95" s="86">
        <f>Paediatric!B234</f>
        <v>0</v>
      </c>
      <c r="E95" s="86">
        <f>Paediatric!C234</f>
        <v>0</v>
      </c>
      <c r="F95" s="86">
        <f>Paediatric!D234</f>
        <v>0</v>
      </c>
      <c r="G95" s="86">
        <f>Paediatric!E234</f>
        <v>0</v>
      </c>
      <c r="H95" s="86">
        <f>Paediatric!H234</f>
        <v>180</v>
      </c>
      <c r="I95" s="86">
        <f>Paediatric!F234</f>
        <v>0</v>
      </c>
      <c r="J95" s="87">
        <f>Paediatric!G234</f>
        <v>0</v>
      </c>
      <c r="K95" s="78">
        <f t="shared" ref="K95:K102" si="53">H95/30</f>
        <v>6</v>
      </c>
      <c r="L95" s="79" t="e">
        <f t="shared" ref="L95:L103" si="54">H95/(E95+F95)</f>
        <v>#DIV/0!</v>
      </c>
      <c r="M95" s="80" t="e">
        <f t="shared" ref="M95:M101" si="55">((C95*30)-H95)/(E95+F95)</f>
        <v>#DIV/0!</v>
      </c>
      <c r="N95" s="81">
        <f t="shared" ref="N95:N104" si="56">(E95+F95)/C95</f>
        <v>0</v>
      </c>
      <c r="O95" s="79">
        <f t="shared" ref="O95:O102" si="57">H95*100/(C95*30)</f>
        <v>22.222222222222221</v>
      </c>
      <c r="P95" s="240" t="e">
        <f t="shared" si="52"/>
        <v>#DIV/0!</v>
      </c>
    </row>
    <row r="96" spans="1:18" s="127" customFormat="1" ht="24.95" customHeight="1" x14ac:dyDescent="0.25">
      <c r="A96" s="83" t="s">
        <v>28</v>
      </c>
      <c r="B96" s="113">
        <f>Female!H201</f>
        <v>15</v>
      </c>
      <c r="C96" s="85">
        <v>28</v>
      </c>
      <c r="D96" s="86">
        <f>Female!B234</f>
        <v>0</v>
      </c>
      <c r="E96" s="86">
        <f>Female!C234</f>
        <v>0</v>
      </c>
      <c r="F96" s="86">
        <f>Female!D234</f>
        <v>0</v>
      </c>
      <c r="G96" s="86">
        <f>Female!E234</f>
        <v>0</v>
      </c>
      <c r="H96" s="86">
        <f>Female!H234</f>
        <v>450</v>
      </c>
      <c r="I96" s="86">
        <f>Female!F234</f>
        <v>0</v>
      </c>
      <c r="J96" s="87">
        <f>Female!G234</f>
        <v>0</v>
      </c>
      <c r="K96" s="78">
        <f t="shared" si="53"/>
        <v>15</v>
      </c>
      <c r="L96" s="79" t="e">
        <f t="shared" si="54"/>
        <v>#DIV/0!</v>
      </c>
      <c r="M96" s="80" t="e">
        <f t="shared" si="55"/>
        <v>#DIV/0!</v>
      </c>
      <c r="N96" s="81">
        <f t="shared" si="56"/>
        <v>0</v>
      </c>
      <c r="O96" s="79">
        <f t="shared" si="57"/>
        <v>53.571428571428569</v>
      </c>
      <c r="P96" s="240" t="e">
        <f t="shared" si="52"/>
        <v>#DIV/0!</v>
      </c>
    </row>
    <row r="97" spans="1:18" s="127" customFormat="1" ht="24.95" customHeight="1" x14ac:dyDescent="0.25">
      <c r="A97" s="83" t="s">
        <v>29</v>
      </c>
      <c r="B97" s="113">
        <f>'BLK F'!H201</f>
        <v>10</v>
      </c>
      <c r="C97" s="85">
        <v>20</v>
      </c>
      <c r="D97" s="86">
        <f>'BLK F'!B234</f>
        <v>67</v>
      </c>
      <c r="E97" s="86">
        <f>'BLK F'!C234</f>
        <v>64</v>
      </c>
      <c r="F97" s="86">
        <f>'BLK F'!D234</f>
        <v>1</v>
      </c>
      <c r="G97" s="86">
        <f>'BLK F'!E234</f>
        <v>0</v>
      </c>
      <c r="H97" s="86">
        <f>'BLK F'!H234</f>
        <v>191</v>
      </c>
      <c r="I97" s="86">
        <f>'BLK F'!F234</f>
        <v>1</v>
      </c>
      <c r="J97" s="87">
        <f>'BLK F'!G234</f>
        <v>3</v>
      </c>
      <c r="K97" s="78">
        <f t="shared" si="53"/>
        <v>6.3666666666666663</v>
      </c>
      <c r="L97" s="79">
        <f t="shared" si="54"/>
        <v>2.9384615384615387</v>
      </c>
      <c r="M97" s="80">
        <f t="shared" si="55"/>
        <v>6.2923076923076922</v>
      </c>
      <c r="N97" s="81">
        <f t="shared" si="56"/>
        <v>3.25</v>
      </c>
      <c r="O97" s="79">
        <f t="shared" si="57"/>
        <v>31.833333333333332</v>
      </c>
      <c r="P97" s="240">
        <f t="shared" si="52"/>
        <v>1.4925373134328359</v>
      </c>
    </row>
    <row r="98" spans="1:18" s="127" customFormat="1" ht="24.95" customHeight="1" x14ac:dyDescent="0.25">
      <c r="A98" s="83" t="s">
        <v>30</v>
      </c>
      <c r="B98" s="113">
        <f>'Male Emergency'!H201</f>
        <v>2</v>
      </c>
      <c r="C98" s="85">
        <v>10</v>
      </c>
      <c r="D98" s="86">
        <f>'Male Emergency'!B234</f>
        <v>40</v>
      </c>
      <c r="E98" s="86">
        <f>'Male Emergency'!C234</f>
        <v>19</v>
      </c>
      <c r="F98" s="86">
        <f>'Male Emergency'!D234</f>
        <v>3</v>
      </c>
      <c r="G98" s="86">
        <f>'Male Emergency'!E234</f>
        <v>5</v>
      </c>
      <c r="H98" s="86">
        <f>'Male Emergency'!H234</f>
        <v>50</v>
      </c>
      <c r="I98" s="86">
        <f>'Male Emergency'!F234</f>
        <v>0</v>
      </c>
      <c r="J98" s="87">
        <f>'Male Emergency'!G234</f>
        <v>18</v>
      </c>
      <c r="K98" s="78">
        <f t="shared" si="53"/>
        <v>1.6666666666666667</v>
      </c>
      <c r="L98" s="79">
        <f t="shared" si="54"/>
        <v>2.2727272727272729</v>
      </c>
      <c r="M98" s="80">
        <f t="shared" si="55"/>
        <v>11.363636363636363</v>
      </c>
      <c r="N98" s="81">
        <f t="shared" si="56"/>
        <v>2.2000000000000002</v>
      </c>
      <c r="O98" s="79">
        <f t="shared" si="57"/>
        <v>16.666666666666668</v>
      </c>
      <c r="P98" s="240">
        <f t="shared" si="52"/>
        <v>7.5</v>
      </c>
    </row>
    <row r="99" spans="1:18" s="127" customFormat="1" ht="24.95" customHeight="1" x14ac:dyDescent="0.25">
      <c r="A99" s="83" t="s">
        <v>31</v>
      </c>
      <c r="B99" s="113">
        <f>'BLK G'!H201</f>
        <v>1</v>
      </c>
      <c r="C99" s="85">
        <v>14</v>
      </c>
      <c r="D99" s="86">
        <f>'BLK G'!B234</f>
        <v>82</v>
      </c>
      <c r="E99" s="86">
        <f>'BLK G'!C234</f>
        <v>69</v>
      </c>
      <c r="F99" s="86">
        <f>'BLK G'!D234</f>
        <v>0</v>
      </c>
      <c r="G99" s="86">
        <f>'BLK G'!E234</f>
        <v>0</v>
      </c>
      <c r="H99" s="86">
        <f>'BLK G'!H234</f>
        <v>196</v>
      </c>
      <c r="I99" s="86">
        <f>'BLK G'!F234</f>
        <v>19</v>
      </c>
      <c r="J99" s="87">
        <f>'BLK G'!G234</f>
        <v>30</v>
      </c>
      <c r="K99" s="78">
        <f t="shared" si="53"/>
        <v>6.5333333333333332</v>
      </c>
      <c r="L99" s="79">
        <f t="shared" si="54"/>
        <v>2.8405797101449277</v>
      </c>
      <c r="M99" s="80">
        <f t="shared" si="55"/>
        <v>3.2463768115942031</v>
      </c>
      <c r="N99" s="81">
        <f t="shared" si="56"/>
        <v>4.9285714285714288</v>
      </c>
      <c r="O99" s="79">
        <f t="shared" si="57"/>
        <v>46.666666666666664</v>
      </c>
      <c r="P99" s="240">
        <f t="shared" si="52"/>
        <v>0</v>
      </c>
    </row>
    <row r="100" spans="1:18" s="127" customFormat="1" ht="24.95" customHeight="1" x14ac:dyDescent="0.25">
      <c r="A100" s="83" t="s">
        <v>32</v>
      </c>
      <c r="B100" s="113">
        <f>'BLK H'!H201</f>
        <v>10</v>
      </c>
      <c r="C100" s="85">
        <v>22</v>
      </c>
      <c r="D100" s="86">
        <f>'BLK H'!B234</f>
        <v>54</v>
      </c>
      <c r="E100" s="86">
        <f>'BLK H'!C234</f>
        <v>66</v>
      </c>
      <c r="F100" s="86">
        <f>'BLK H'!D234</f>
        <v>0</v>
      </c>
      <c r="G100" s="86">
        <f>'BLK H'!E234</f>
        <v>0</v>
      </c>
      <c r="H100" s="86">
        <f>'BLK H'!H234</f>
        <v>267</v>
      </c>
      <c r="I100" s="86">
        <f>'BLK H'!F234</f>
        <v>32</v>
      </c>
      <c r="J100" s="87">
        <f>'BLK H'!G234</f>
        <v>20</v>
      </c>
      <c r="K100" s="78">
        <f t="shared" si="53"/>
        <v>8.9</v>
      </c>
      <c r="L100" s="79">
        <f t="shared" si="54"/>
        <v>4.0454545454545459</v>
      </c>
      <c r="M100" s="80">
        <f t="shared" si="55"/>
        <v>5.9545454545454541</v>
      </c>
      <c r="N100" s="81">
        <f t="shared" si="56"/>
        <v>3</v>
      </c>
      <c r="O100" s="79">
        <f t="shared" si="57"/>
        <v>40.454545454545453</v>
      </c>
      <c r="P100" s="240">
        <f t="shared" si="52"/>
        <v>0</v>
      </c>
      <c r="R100" s="127" t="s">
        <v>49</v>
      </c>
    </row>
    <row r="101" spans="1:18" s="127" customFormat="1" ht="24.95" customHeight="1" x14ac:dyDescent="0.25">
      <c r="A101" s="83" t="s">
        <v>33</v>
      </c>
      <c r="B101" s="113">
        <f>'Female Emergency'!H201</f>
        <v>4</v>
      </c>
      <c r="C101" s="85">
        <v>10</v>
      </c>
      <c r="D101" s="86">
        <f>'Female Emergency'!B234</f>
        <v>35</v>
      </c>
      <c r="E101" s="86">
        <f>'Female Emergency'!C234</f>
        <v>13</v>
      </c>
      <c r="F101" s="86">
        <f>'Female Emergency'!D234</f>
        <v>3</v>
      </c>
      <c r="G101" s="86">
        <f>'Female Emergency'!E234</f>
        <v>1</v>
      </c>
      <c r="H101" s="86">
        <f>'Female Emergency'!H234</f>
        <v>52</v>
      </c>
      <c r="I101" s="86">
        <f>'Female Emergency'!F234</f>
        <v>0</v>
      </c>
      <c r="J101" s="87">
        <f>'Female Emergency'!G234</f>
        <v>22</v>
      </c>
      <c r="K101" s="78">
        <f t="shared" si="53"/>
        <v>1.7333333333333334</v>
      </c>
      <c r="L101" s="79">
        <f t="shared" si="54"/>
        <v>3.25</v>
      </c>
      <c r="M101" s="80">
        <f t="shared" si="55"/>
        <v>15.5</v>
      </c>
      <c r="N101" s="81">
        <f t="shared" si="56"/>
        <v>1.6</v>
      </c>
      <c r="O101" s="79">
        <f t="shared" si="57"/>
        <v>17.333333333333332</v>
      </c>
      <c r="P101" s="240">
        <f t="shared" si="52"/>
        <v>8.5714285714285712</v>
      </c>
    </row>
    <row r="102" spans="1:18" s="127" customFormat="1" ht="24.95" customHeight="1" thickBot="1" x14ac:dyDescent="0.3">
      <c r="A102" s="91" t="s">
        <v>34</v>
      </c>
      <c r="B102" s="114">
        <f>Neonatal!H201</f>
        <v>15</v>
      </c>
      <c r="C102" s="93">
        <v>15</v>
      </c>
      <c r="D102" s="94">
        <f>Neonatal!B234</f>
        <v>46</v>
      </c>
      <c r="E102" s="94">
        <f>Neonatal!C234</f>
        <v>52</v>
      </c>
      <c r="F102" s="94">
        <f>Neonatal!D234</f>
        <v>1</v>
      </c>
      <c r="G102" s="94">
        <f>Neonatal!E234</f>
        <v>0</v>
      </c>
      <c r="H102" s="94">
        <f>Neonatal!H234</f>
        <v>243</v>
      </c>
      <c r="I102" s="94">
        <f>Neonatal!F234</f>
        <v>0</v>
      </c>
      <c r="J102" s="95">
        <f>Neonatal!G234</f>
        <v>0</v>
      </c>
      <c r="K102" s="78">
        <f t="shared" si="53"/>
        <v>8.1</v>
      </c>
      <c r="L102" s="97">
        <f>H102/(E102+F102)</f>
        <v>4.5849056603773581</v>
      </c>
      <c r="M102" s="80">
        <f>((C102*30)-H102)/(E102+F102)</f>
        <v>3.9056603773584904</v>
      </c>
      <c r="N102" s="99">
        <f t="shared" si="56"/>
        <v>3.5333333333333332</v>
      </c>
      <c r="O102" s="79">
        <f t="shared" si="57"/>
        <v>54</v>
      </c>
      <c r="P102" s="240">
        <f t="shared" si="52"/>
        <v>2.1739130434782608</v>
      </c>
    </row>
    <row r="103" spans="1:18" ht="16.5" thickBot="1" x14ac:dyDescent="0.3">
      <c r="A103" s="101" t="s">
        <v>35</v>
      </c>
      <c r="B103" s="136">
        <f t="shared" ref="B103:J103" si="58">SUM(B94:B102)</f>
        <v>81</v>
      </c>
      <c r="C103" s="103">
        <f t="shared" si="58"/>
        <v>178</v>
      </c>
      <c r="D103" s="104">
        <f t="shared" si="58"/>
        <v>324</v>
      </c>
      <c r="E103" s="104">
        <f t="shared" si="58"/>
        <v>283</v>
      </c>
      <c r="F103" s="104">
        <f t="shared" si="58"/>
        <v>8</v>
      </c>
      <c r="G103" s="104">
        <f t="shared" si="58"/>
        <v>6</v>
      </c>
      <c r="H103" s="104">
        <f t="shared" si="58"/>
        <v>2169</v>
      </c>
      <c r="I103" s="104">
        <f t="shared" si="58"/>
        <v>52</v>
      </c>
      <c r="J103" s="137">
        <f t="shared" si="58"/>
        <v>93</v>
      </c>
      <c r="K103" s="138">
        <f>H103/30</f>
        <v>72.3</v>
      </c>
      <c r="L103" s="139">
        <f t="shared" si="54"/>
        <v>7.4536082474226806</v>
      </c>
      <c r="M103" s="140">
        <f>((C103*30)-H103)/(E103+F103)</f>
        <v>10.896907216494846</v>
      </c>
      <c r="N103" s="141">
        <f t="shared" si="56"/>
        <v>1.6348314606741574</v>
      </c>
      <c r="O103" s="139">
        <f>H103*100/(C103*30)</f>
        <v>40.617977528089888</v>
      </c>
      <c r="P103" s="240">
        <f t="shared" si="52"/>
        <v>2.4691358024691357</v>
      </c>
    </row>
    <row r="104" spans="1:18" x14ac:dyDescent="0.25">
      <c r="A104" s="235" t="s">
        <v>196</v>
      </c>
      <c r="B104" s="253">
        <f>B98+B101</f>
        <v>6</v>
      </c>
      <c r="C104" s="253">
        <f t="shared" ref="C104:J104" si="59">C98+C101</f>
        <v>20</v>
      </c>
      <c r="D104" s="253">
        <f t="shared" si="59"/>
        <v>75</v>
      </c>
      <c r="E104" s="253">
        <f t="shared" si="59"/>
        <v>32</v>
      </c>
      <c r="F104" s="253">
        <f t="shared" si="59"/>
        <v>6</v>
      </c>
      <c r="G104" s="253">
        <f t="shared" si="59"/>
        <v>6</v>
      </c>
      <c r="H104" s="253">
        <f t="shared" si="59"/>
        <v>102</v>
      </c>
      <c r="I104" s="253">
        <f t="shared" si="59"/>
        <v>0</v>
      </c>
      <c r="J104" s="253">
        <f t="shared" si="59"/>
        <v>40</v>
      </c>
      <c r="K104" s="236">
        <f>H104/30</f>
        <v>3.4</v>
      </c>
      <c r="L104" s="237">
        <f>H104/(E104+F104)</f>
        <v>2.6842105263157894</v>
      </c>
      <c r="M104" s="238">
        <f>((C104*30)-H104)/(E104+F104)</f>
        <v>13.105263157894736</v>
      </c>
      <c r="N104" s="239">
        <f t="shared" si="56"/>
        <v>1.9</v>
      </c>
      <c r="O104" s="237">
        <f>H104*100/(C104*30)</f>
        <v>17</v>
      </c>
      <c r="P104" s="240">
        <f t="shared" si="52"/>
        <v>8</v>
      </c>
      <c r="Q104" s="72">
        <f>G104/(F104+G104)*100</f>
        <v>50</v>
      </c>
    </row>
    <row r="105" spans="1:18" ht="15.75" x14ac:dyDescent="0.25">
      <c r="A105" s="144"/>
      <c r="B105" s="145"/>
      <c r="C105" s="146"/>
      <c r="D105" s="145"/>
      <c r="E105" s="145"/>
      <c r="F105" s="145"/>
      <c r="G105" s="145"/>
      <c r="H105" s="145"/>
      <c r="I105" s="145"/>
      <c r="J105" s="145"/>
    </row>
    <row r="106" spans="1:18" ht="25.5" x14ac:dyDescent="0.35">
      <c r="A106" s="602" t="s">
        <v>1</v>
      </c>
      <c r="B106" s="602"/>
      <c r="C106" s="602"/>
      <c r="D106" s="602"/>
      <c r="E106" s="602"/>
      <c r="F106" s="602"/>
      <c r="G106" s="602"/>
      <c r="H106" s="602"/>
      <c r="I106" s="602"/>
      <c r="J106" s="602"/>
      <c r="K106" s="602"/>
      <c r="L106" s="602"/>
      <c r="M106" s="602"/>
      <c r="N106" s="602"/>
      <c r="O106" s="602"/>
      <c r="P106" s="602"/>
    </row>
    <row r="107" spans="1:18" ht="26.25" thickBot="1" x14ac:dyDescent="0.4">
      <c r="A107" s="601" t="s">
        <v>932</v>
      </c>
      <c r="B107" s="601"/>
      <c r="C107" s="601"/>
      <c r="D107" s="601"/>
      <c r="E107" s="601"/>
      <c r="F107" s="601"/>
      <c r="G107" s="601"/>
      <c r="H107" s="601"/>
      <c r="I107" s="601"/>
      <c r="J107" s="601"/>
      <c r="K107" s="601"/>
      <c r="L107" s="601"/>
      <c r="M107" s="601"/>
      <c r="N107" s="601"/>
      <c r="O107" s="601"/>
      <c r="P107" s="601"/>
    </row>
    <row r="108" spans="1:18" s="184" customFormat="1" ht="34.5" thickBot="1" x14ac:dyDescent="0.25">
      <c r="A108" s="176" t="s">
        <v>20</v>
      </c>
      <c r="B108" s="180" t="s">
        <v>194</v>
      </c>
      <c r="C108" s="178" t="s">
        <v>21</v>
      </c>
      <c r="D108" s="178" t="s">
        <v>9</v>
      </c>
      <c r="E108" s="178" t="s">
        <v>10</v>
      </c>
      <c r="F108" s="178" t="s">
        <v>11</v>
      </c>
      <c r="G108" s="178" t="s">
        <v>80</v>
      </c>
      <c r="H108" s="178" t="s">
        <v>25</v>
      </c>
      <c r="I108" s="178" t="s">
        <v>23</v>
      </c>
      <c r="J108" s="179" t="s">
        <v>24</v>
      </c>
      <c r="K108" s="178" t="s">
        <v>43</v>
      </c>
      <c r="L108" s="178" t="s">
        <v>44</v>
      </c>
      <c r="M108" s="181" t="s">
        <v>45</v>
      </c>
      <c r="N108" s="178" t="s">
        <v>46</v>
      </c>
      <c r="O108" s="178" t="s">
        <v>47</v>
      </c>
      <c r="P108" s="179" t="s">
        <v>48</v>
      </c>
    </row>
    <row r="109" spans="1:18" s="127" customFormat="1" ht="24.95" customHeight="1" x14ac:dyDescent="0.25">
      <c r="A109" s="73" t="s">
        <v>26</v>
      </c>
      <c r="B109" s="112">
        <f>B64</f>
        <v>18</v>
      </c>
      <c r="C109" s="75">
        <v>32</v>
      </c>
      <c r="D109" s="76">
        <f t="shared" ref="D109:J109" si="60">D64+D79+D94</f>
        <v>0</v>
      </c>
      <c r="E109" s="76">
        <f t="shared" si="60"/>
        <v>0</v>
      </c>
      <c r="F109" s="76">
        <f t="shared" si="60"/>
        <v>0</v>
      </c>
      <c r="G109" s="76">
        <f t="shared" ref="G109:G117" si="61">G64+G79+G94</f>
        <v>0</v>
      </c>
      <c r="H109" s="76">
        <f t="shared" si="60"/>
        <v>1638</v>
      </c>
      <c r="I109" s="76">
        <f t="shared" si="60"/>
        <v>0</v>
      </c>
      <c r="J109" s="77">
        <f t="shared" si="60"/>
        <v>0</v>
      </c>
      <c r="K109" s="78">
        <f>H109/91</f>
        <v>18</v>
      </c>
      <c r="L109" s="79" t="e">
        <f>H109/(E109+F109)</f>
        <v>#DIV/0!</v>
      </c>
      <c r="M109" s="80" t="e">
        <f>((C109*91)-H109)/(E109+F109)</f>
        <v>#DIV/0!</v>
      </c>
      <c r="N109" s="81">
        <f>(E109+F109)/C109</f>
        <v>0</v>
      </c>
      <c r="O109" s="79">
        <f>H109*100/(C109*91)</f>
        <v>56.25</v>
      </c>
      <c r="P109" s="82" t="e">
        <f>F109*100/(E109+F109)</f>
        <v>#DIV/0!</v>
      </c>
    </row>
    <row r="110" spans="1:18" s="127" customFormat="1" ht="24.95" customHeight="1" x14ac:dyDescent="0.25">
      <c r="A110" s="83" t="s">
        <v>27</v>
      </c>
      <c r="B110" s="112">
        <f t="shared" ref="B110:B117" si="62">B65</f>
        <v>6</v>
      </c>
      <c r="C110" s="85">
        <v>27</v>
      </c>
      <c r="D110" s="76">
        <f t="shared" ref="D110:J110" si="63">D65+D80+D95</f>
        <v>0</v>
      </c>
      <c r="E110" s="76">
        <f t="shared" si="63"/>
        <v>0</v>
      </c>
      <c r="F110" s="76">
        <f t="shared" si="63"/>
        <v>0</v>
      </c>
      <c r="G110" s="76">
        <f t="shared" si="61"/>
        <v>0</v>
      </c>
      <c r="H110" s="76">
        <f t="shared" si="63"/>
        <v>546</v>
      </c>
      <c r="I110" s="76">
        <f t="shared" si="63"/>
        <v>0</v>
      </c>
      <c r="J110" s="77">
        <f t="shared" si="63"/>
        <v>0</v>
      </c>
      <c r="K110" s="78">
        <f t="shared" ref="K110:K118" si="64">H110/91</f>
        <v>6</v>
      </c>
      <c r="L110" s="79" t="e">
        <f t="shared" ref="L110:L118" si="65">H110/(E110+F110)</f>
        <v>#DIV/0!</v>
      </c>
      <c r="M110" s="80" t="e">
        <f t="shared" ref="M110:M118" si="66">((C110*91)-H110)/(E110+F110)</f>
        <v>#DIV/0!</v>
      </c>
      <c r="N110" s="81">
        <f t="shared" ref="N110:N119" si="67">(E110+F110)/C110</f>
        <v>0</v>
      </c>
      <c r="O110" s="79">
        <f t="shared" ref="O110:O118" si="68">H110*100/(C110*91)</f>
        <v>22.222222222222221</v>
      </c>
      <c r="P110" s="82" t="e">
        <f t="shared" ref="P110:P118" si="69">F110*100/(E110+F110)</f>
        <v>#DIV/0!</v>
      </c>
    </row>
    <row r="111" spans="1:18" s="127" customFormat="1" ht="24.95" customHeight="1" x14ac:dyDescent="0.25">
      <c r="A111" s="83" t="s">
        <v>28</v>
      </c>
      <c r="B111" s="112">
        <f t="shared" si="62"/>
        <v>15</v>
      </c>
      <c r="C111" s="85">
        <v>28</v>
      </c>
      <c r="D111" s="76">
        <f t="shared" ref="D111:J111" si="70">D66+D81+D96</f>
        <v>0</v>
      </c>
      <c r="E111" s="76">
        <f t="shared" si="70"/>
        <v>0</v>
      </c>
      <c r="F111" s="76">
        <f t="shared" si="70"/>
        <v>0</v>
      </c>
      <c r="G111" s="76">
        <f t="shared" si="61"/>
        <v>0</v>
      </c>
      <c r="H111" s="76">
        <f t="shared" si="70"/>
        <v>1365</v>
      </c>
      <c r="I111" s="76">
        <f t="shared" si="70"/>
        <v>0</v>
      </c>
      <c r="J111" s="77">
        <f t="shared" si="70"/>
        <v>0</v>
      </c>
      <c r="K111" s="78">
        <f t="shared" si="64"/>
        <v>15</v>
      </c>
      <c r="L111" s="79" t="e">
        <f t="shared" si="65"/>
        <v>#DIV/0!</v>
      </c>
      <c r="M111" s="80" t="e">
        <f t="shared" si="66"/>
        <v>#DIV/0!</v>
      </c>
      <c r="N111" s="81">
        <f t="shared" si="67"/>
        <v>0</v>
      </c>
      <c r="O111" s="79">
        <f t="shared" si="68"/>
        <v>53.571428571428569</v>
      </c>
      <c r="P111" s="82" t="e">
        <f t="shared" si="69"/>
        <v>#DIV/0!</v>
      </c>
    </row>
    <row r="112" spans="1:18" s="127" customFormat="1" ht="24.95" customHeight="1" x14ac:dyDescent="0.25">
      <c r="A112" s="83" t="s">
        <v>29</v>
      </c>
      <c r="B112" s="112">
        <f t="shared" si="62"/>
        <v>13</v>
      </c>
      <c r="C112" s="85">
        <v>20</v>
      </c>
      <c r="D112" s="76">
        <f t="shared" ref="D112:J112" si="71">D67+D82+D97</f>
        <v>254</v>
      </c>
      <c r="E112" s="76">
        <f t="shared" si="71"/>
        <v>254</v>
      </c>
      <c r="F112" s="76">
        <f t="shared" si="71"/>
        <v>1</v>
      </c>
      <c r="G112" s="76">
        <f t="shared" si="61"/>
        <v>0</v>
      </c>
      <c r="H112" s="76">
        <f t="shared" si="71"/>
        <v>880</v>
      </c>
      <c r="I112" s="76">
        <f t="shared" si="71"/>
        <v>6</v>
      </c>
      <c r="J112" s="77">
        <f t="shared" si="71"/>
        <v>8</v>
      </c>
      <c r="K112" s="78">
        <f t="shared" si="64"/>
        <v>9.6703296703296697</v>
      </c>
      <c r="L112" s="79">
        <f t="shared" si="65"/>
        <v>3.4509803921568629</v>
      </c>
      <c r="M112" s="80">
        <f t="shared" si="66"/>
        <v>3.6862745098039214</v>
      </c>
      <c r="N112" s="81">
        <f t="shared" si="67"/>
        <v>12.75</v>
      </c>
      <c r="O112" s="79">
        <f t="shared" si="68"/>
        <v>48.35164835164835</v>
      </c>
      <c r="P112" s="82">
        <f t="shared" si="69"/>
        <v>0.39215686274509803</v>
      </c>
    </row>
    <row r="113" spans="1:18" s="127" customFormat="1" ht="24.95" customHeight="1" x14ac:dyDescent="0.25">
      <c r="A113" s="83" t="s">
        <v>30</v>
      </c>
      <c r="B113" s="112">
        <f t="shared" si="62"/>
        <v>3</v>
      </c>
      <c r="C113" s="85">
        <v>10</v>
      </c>
      <c r="D113" s="76">
        <f t="shared" ref="D113:J113" si="72">D68+D83+D98</f>
        <v>171</v>
      </c>
      <c r="E113" s="76">
        <f t="shared" si="72"/>
        <v>57</v>
      </c>
      <c r="F113" s="76">
        <f t="shared" si="72"/>
        <v>8</v>
      </c>
      <c r="G113" s="76">
        <f t="shared" si="61"/>
        <v>17</v>
      </c>
      <c r="H113" s="76">
        <f t="shared" si="72"/>
        <v>230</v>
      </c>
      <c r="I113" s="76">
        <f t="shared" si="72"/>
        <v>0</v>
      </c>
      <c r="J113" s="77">
        <f t="shared" si="72"/>
        <v>107</v>
      </c>
      <c r="K113" s="78">
        <f t="shared" si="64"/>
        <v>2.5274725274725274</v>
      </c>
      <c r="L113" s="79">
        <f t="shared" si="65"/>
        <v>3.5384615384615383</v>
      </c>
      <c r="M113" s="80">
        <f t="shared" si="66"/>
        <v>10.461538461538462</v>
      </c>
      <c r="N113" s="81">
        <f t="shared" si="67"/>
        <v>6.5</v>
      </c>
      <c r="O113" s="79">
        <f t="shared" si="68"/>
        <v>25.274725274725274</v>
      </c>
      <c r="P113" s="82">
        <f t="shared" si="69"/>
        <v>12.307692307692308</v>
      </c>
    </row>
    <row r="114" spans="1:18" s="127" customFormat="1" ht="24.95" customHeight="1" x14ac:dyDescent="0.25">
      <c r="A114" s="83" t="s">
        <v>31</v>
      </c>
      <c r="B114" s="112">
        <f t="shared" si="62"/>
        <v>12</v>
      </c>
      <c r="C114" s="85">
        <v>14</v>
      </c>
      <c r="D114" s="76">
        <f t="shared" ref="D114:J114" si="73">D69+D84+D99</f>
        <v>387</v>
      </c>
      <c r="E114" s="76">
        <f t="shared" si="73"/>
        <v>322</v>
      </c>
      <c r="F114" s="76">
        <f t="shared" si="73"/>
        <v>0</v>
      </c>
      <c r="G114" s="76">
        <f t="shared" si="61"/>
        <v>0</v>
      </c>
      <c r="H114" s="76">
        <f t="shared" si="73"/>
        <v>889</v>
      </c>
      <c r="I114" s="76">
        <f t="shared" si="73"/>
        <v>65</v>
      </c>
      <c r="J114" s="77">
        <f t="shared" si="73"/>
        <v>139</v>
      </c>
      <c r="K114" s="78">
        <f t="shared" si="64"/>
        <v>9.7692307692307701</v>
      </c>
      <c r="L114" s="79">
        <f t="shared" si="65"/>
        <v>2.7608695652173911</v>
      </c>
      <c r="M114" s="80">
        <f t="shared" si="66"/>
        <v>1.1956521739130435</v>
      </c>
      <c r="N114" s="81">
        <f t="shared" si="67"/>
        <v>23</v>
      </c>
      <c r="O114" s="79">
        <f t="shared" si="68"/>
        <v>69.780219780219781</v>
      </c>
      <c r="P114" s="82">
        <f t="shared" si="69"/>
        <v>0</v>
      </c>
    </row>
    <row r="115" spans="1:18" s="127" customFormat="1" ht="24.95" customHeight="1" x14ac:dyDescent="0.25">
      <c r="A115" s="83" t="s">
        <v>32</v>
      </c>
      <c r="B115" s="112">
        <f t="shared" si="62"/>
        <v>8</v>
      </c>
      <c r="C115" s="85">
        <v>22</v>
      </c>
      <c r="D115" s="76">
        <f t="shared" ref="D115:J115" si="74">D70+D85+D100</f>
        <v>182</v>
      </c>
      <c r="E115" s="76">
        <f t="shared" si="74"/>
        <v>260</v>
      </c>
      <c r="F115" s="76">
        <f t="shared" si="74"/>
        <v>0</v>
      </c>
      <c r="G115" s="76">
        <f t="shared" si="61"/>
        <v>0</v>
      </c>
      <c r="H115" s="76">
        <f t="shared" si="74"/>
        <v>1074</v>
      </c>
      <c r="I115" s="76">
        <f t="shared" si="74"/>
        <v>143</v>
      </c>
      <c r="J115" s="77">
        <f t="shared" si="74"/>
        <v>63</v>
      </c>
      <c r="K115" s="78">
        <f t="shared" si="64"/>
        <v>11.802197802197803</v>
      </c>
      <c r="L115" s="79">
        <f t="shared" si="65"/>
        <v>4.1307692307692312</v>
      </c>
      <c r="M115" s="80">
        <f t="shared" si="66"/>
        <v>3.5692307692307694</v>
      </c>
      <c r="N115" s="81">
        <f t="shared" si="67"/>
        <v>11.818181818181818</v>
      </c>
      <c r="O115" s="79">
        <f t="shared" si="68"/>
        <v>53.646353646353646</v>
      </c>
      <c r="P115" s="82">
        <f t="shared" si="69"/>
        <v>0</v>
      </c>
    </row>
    <row r="116" spans="1:18" s="127" customFormat="1" ht="24.95" customHeight="1" x14ac:dyDescent="0.25">
      <c r="A116" s="83" t="s">
        <v>33</v>
      </c>
      <c r="B116" s="112">
        <f t="shared" si="62"/>
        <v>2</v>
      </c>
      <c r="C116" s="85">
        <v>10</v>
      </c>
      <c r="D116" s="76">
        <f t="shared" ref="D116:J116" si="75">D71+D86+D101</f>
        <v>181</v>
      </c>
      <c r="E116" s="76">
        <f t="shared" si="75"/>
        <v>67</v>
      </c>
      <c r="F116" s="76">
        <f t="shared" si="75"/>
        <v>11</v>
      </c>
      <c r="G116" s="76">
        <f t="shared" si="61"/>
        <v>7</v>
      </c>
      <c r="H116" s="76">
        <f t="shared" si="75"/>
        <v>243</v>
      </c>
      <c r="I116" s="76">
        <f t="shared" si="75"/>
        <v>0</v>
      </c>
      <c r="J116" s="77">
        <f t="shared" si="75"/>
        <v>104</v>
      </c>
      <c r="K116" s="78">
        <f t="shared" si="64"/>
        <v>2.6703296703296702</v>
      </c>
      <c r="L116" s="79">
        <f t="shared" si="65"/>
        <v>3.1153846153846154</v>
      </c>
      <c r="M116" s="80">
        <f t="shared" si="66"/>
        <v>8.5512820512820511</v>
      </c>
      <c r="N116" s="81">
        <f t="shared" si="67"/>
        <v>7.8</v>
      </c>
      <c r="O116" s="79">
        <f t="shared" si="68"/>
        <v>26.703296703296704</v>
      </c>
      <c r="P116" s="82">
        <f t="shared" si="69"/>
        <v>14.102564102564102</v>
      </c>
    </row>
    <row r="117" spans="1:18" s="127" customFormat="1" ht="24.95" customHeight="1" thickBot="1" x14ac:dyDescent="0.3">
      <c r="A117" s="91" t="s">
        <v>34</v>
      </c>
      <c r="B117" s="112">
        <f t="shared" si="62"/>
        <v>15</v>
      </c>
      <c r="C117" s="93">
        <v>15</v>
      </c>
      <c r="D117" s="76">
        <f t="shared" ref="D117:J117" si="76">D72+D87+D102</f>
        <v>181</v>
      </c>
      <c r="E117" s="76">
        <f t="shared" si="76"/>
        <v>184</v>
      </c>
      <c r="F117" s="76">
        <f t="shared" si="76"/>
        <v>4</v>
      </c>
      <c r="G117" s="76">
        <f t="shared" si="61"/>
        <v>0</v>
      </c>
      <c r="H117" s="76">
        <f t="shared" si="76"/>
        <v>1160</v>
      </c>
      <c r="I117" s="76">
        <f t="shared" si="76"/>
        <v>0</v>
      </c>
      <c r="J117" s="77">
        <f t="shared" si="76"/>
        <v>0</v>
      </c>
      <c r="K117" s="96">
        <f t="shared" si="64"/>
        <v>12.747252747252746</v>
      </c>
      <c r="L117" s="97">
        <f t="shared" si="65"/>
        <v>6.1702127659574471</v>
      </c>
      <c r="M117" s="115">
        <f t="shared" si="66"/>
        <v>1.0904255319148937</v>
      </c>
      <c r="N117" s="99">
        <f t="shared" si="67"/>
        <v>12.533333333333333</v>
      </c>
      <c r="O117" s="97">
        <f t="shared" si="68"/>
        <v>84.981684981684978</v>
      </c>
      <c r="P117" s="116">
        <f t="shared" si="69"/>
        <v>2.1276595744680851</v>
      </c>
    </row>
    <row r="118" spans="1:18" ht="16.5" thickBot="1" x14ac:dyDescent="0.3">
      <c r="A118" s="101" t="s">
        <v>35</v>
      </c>
      <c r="B118" s="136">
        <f t="shared" ref="B118:J118" si="77">SUM(B109:B117)</f>
        <v>92</v>
      </c>
      <c r="C118" s="103">
        <f t="shared" si="77"/>
        <v>178</v>
      </c>
      <c r="D118" s="104">
        <f t="shared" si="77"/>
        <v>1356</v>
      </c>
      <c r="E118" s="104">
        <f t="shared" si="77"/>
        <v>1144</v>
      </c>
      <c r="F118" s="104">
        <f t="shared" si="77"/>
        <v>24</v>
      </c>
      <c r="G118" s="104">
        <f t="shared" si="77"/>
        <v>24</v>
      </c>
      <c r="H118" s="104">
        <f t="shared" si="77"/>
        <v>8025</v>
      </c>
      <c r="I118" s="104">
        <f t="shared" si="77"/>
        <v>214</v>
      </c>
      <c r="J118" s="137">
        <f t="shared" si="77"/>
        <v>421</v>
      </c>
      <c r="K118" s="138">
        <f t="shared" si="64"/>
        <v>88.186813186813183</v>
      </c>
      <c r="L118" s="139">
        <f t="shared" si="65"/>
        <v>6.8707191780821919</v>
      </c>
      <c r="M118" s="140">
        <f t="shared" si="66"/>
        <v>6.9974315068493151</v>
      </c>
      <c r="N118" s="141">
        <f t="shared" si="67"/>
        <v>6.5617977528089888</v>
      </c>
      <c r="O118" s="139">
        <f t="shared" si="68"/>
        <v>49.543153475737746</v>
      </c>
      <c r="P118" s="142">
        <f t="shared" si="69"/>
        <v>2.0547945205479454</v>
      </c>
    </row>
    <row r="119" spans="1:18" x14ac:dyDescent="0.25">
      <c r="A119" s="235" t="s">
        <v>196</v>
      </c>
      <c r="B119" s="253">
        <f>B113+B116</f>
        <v>5</v>
      </c>
      <c r="C119" s="253">
        <f t="shared" ref="C119:J119" si="78">C113+C116</f>
        <v>20</v>
      </c>
      <c r="D119" s="253">
        <f t="shared" si="78"/>
        <v>352</v>
      </c>
      <c r="E119" s="253">
        <f t="shared" si="78"/>
        <v>124</v>
      </c>
      <c r="F119" s="253">
        <f t="shared" si="78"/>
        <v>19</v>
      </c>
      <c r="G119" s="253">
        <f t="shared" si="78"/>
        <v>24</v>
      </c>
      <c r="H119" s="253">
        <f t="shared" si="78"/>
        <v>473</v>
      </c>
      <c r="I119" s="253">
        <f t="shared" si="78"/>
        <v>0</v>
      </c>
      <c r="J119" s="253">
        <f t="shared" si="78"/>
        <v>211</v>
      </c>
      <c r="K119" s="236">
        <f>H119/91</f>
        <v>5.197802197802198</v>
      </c>
      <c r="L119" s="237">
        <f>H119/(E119+F119)</f>
        <v>3.3076923076923075</v>
      </c>
      <c r="M119" s="238">
        <f>((C119*91)-H119)/(E119+F119)</f>
        <v>9.41958041958042</v>
      </c>
      <c r="N119" s="239">
        <f t="shared" si="67"/>
        <v>7.15</v>
      </c>
      <c r="O119" s="237">
        <f>H119*100/(C119*91)</f>
        <v>25.989010989010989</v>
      </c>
      <c r="P119" s="240">
        <f>F119*100/(D119)</f>
        <v>5.3977272727272725</v>
      </c>
      <c r="Q119" s="72">
        <f>G119/(F119+G119)*100</f>
        <v>55.813953488372093</v>
      </c>
    </row>
    <row r="120" spans="1:18" ht="15.75" x14ac:dyDescent="0.25">
      <c r="A120" s="144"/>
      <c r="B120" s="145"/>
      <c r="C120" s="146"/>
      <c r="D120" s="145"/>
      <c r="E120" s="145"/>
      <c r="F120" s="145"/>
      <c r="G120" s="145"/>
      <c r="H120" s="145"/>
      <c r="I120" s="145"/>
      <c r="J120" s="145"/>
    </row>
    <row r="121" spans="1:18" ht="25.5" x14ac:dyDescent="0.35">
      <c r="A121" s="602" t="s">
        <v>1</v>
      </c>
      <c r="B121" s="602"/>
      <c r="C121" s="602"/>
      <c r="D121" s="602"/>
      <c r="E121" s="602"/>
      <c r="F121" s="602"/>
      <c r="G121" s="602"/>
      <c r="H121" s="602"/>
      <c r="I121" s="602"/>
      <c r="J121" s="602"/>
      <c r="K121" s="602"/>
      <c r="L121" s="602"/>
      <c r="M121" s="602"/>
      <c r="N121" s="602"/>
      <c r="O121" s="602"/>
      <c r="P121" s="602"/>
    </row>
    <row r="122" spans="1:18" ht="26.25" thickBot="1" x14ac:dyDescent="0.4">
      <c r="A122" s="602" t="s">
        <v>933</v>
      </c>
      <c r="B122" s="602"/>
      <c r="C122" s="602"/>
      <c r="D122" s="602"/>
      <c r="E122" s="602"/>
      <c r="F122" s="602"/>
      <c r="G122" s="602"/>
      <c r="H122" s="602"/>
      <c r="I122" s="602"/>
      <c r="J122" s="602"/>
      <c r="K122" s="602"/>
      <c r="L122" s="602"/>
      <c r="M122" s="602"/>
      <c r="N122" s="602"/>
      <c r="O122" s="602"/>
      <c r="P122" s="602"/>
    </row>
    <row r="123" spans="1:18" s="184" customFormat="1" ht="34.5" thickBot="1" x14ac:dyDescent="0.25">
      <c r="A123" s="176" t="s">
        <v>20</v>
      </c>
      <c r="B123" s="180" t="s">
        <v>190</v>
      </c>
      <c r="C123" s="178" t="s">
        <v>21</v>
      </c>
      <c r="D123" s="178" t="s">
        <v>9</v>
      </c>
      <c r="E123" s="178" t="s">
        <v>10</v>
      </c>
      <c r="F123" s="178" t="s">
        <v>11</v>
      </c>
      <c r="G123" s="178" t="s">
        <v>80</v>
      </c>
      <c r="H123" s="178" t="s">
        <v>25</v>
      </c>
      <c r="I123" s="178" t="s">
        <v>23</v>
      </c>
      <c r="J123" s="178" t="s">
        <v>24</v>
      </c>
      <c r="K123" s="178" t="s">
        <v>43</v>
      </c>
      <c r="L123" s="178" t="s">
        <v>44</v>
      </c>
      <c r="M123" s="181" t="s">
        <v>45</v>
      </c>
      <c r="N123" s="178" t="s">
        <v>46</v>
      </c>
      <c r="O123" s="178" t="s">
        <v>47</v>
      </c>
      <c r="P123" s="179" t="s">
        <v>48</v>
      </c>
    </row>
    <row r="124" spans="1:18" s="127" customFormat="1" ht="24.95" customHeight="1" thickBot="1" x14ac:dyDescent="0.3">
      <c r="A124" s="73" t="s">
        <v>26</v>
      </c>
      <c r="B124" s="112">
        <f>B4</f>
        <v>18</v>
      </c>
      <c r="C124" s="75">
        <v>32</v>
      </c>
      <c r="D124" s="76">
        <f t="shared" ref="D124:J124" si="79">D49+D109</f>
        <v>0</v>
      </c>
      <c r="E124" s="76">
        <f t="shared" si="79"/>
        <v>0</v>
      </c>
      <c r="F124" s="76">
        <f t="shared" si="79"/>
        <v>0</v>
      </c>
      <c r="G124" s="76">
        <f t="shared" ref="G124:G132" si="80">G49+G109</f>
        <v>0</v>
      </c>
      <c r="H124" s="76">
        <f t="shared" si="79"/>
        <v>3276</v>
      </c>
      <c r="I124" s="76">
        <f t="shared" si="79"/>
        <v>0</v>
      </c>
      <c r="J124" s="76">
        <f t="shared" si="79"/>
        <v>0</v>
      </c>
      <c r="K124" s="78">
        <f>H124/182</f>
        <v>18</v>
      </c>
      <c r="L124" s="79" t="e">
        <f>H124/(E124+F124)</f>
        <v>#DIV/0!</v>
      </c>
      <c r="M124" s="80" t="e">
        <f>((C124*182)-H124)/(E124+F124)</f>
        <v>#DIV/0!</v>
      </c>
      <c r="N124" s="81">
        <f>(E124+F124)/C124</f>
        <v>0</v>
      </c>
      <c r="O124" s="79">
        <f>H124*100/(C124*182)</f>
        <v>56.25</v>
      </c>
      <c r="P124" s="142" t="e">
        <f t="shared" ref="P124:P133" si="81">100*(F124/D124)</f>
        <v>#DIV/0!</v>
      </c>
    </row>
    <row r="125" spans="1:18" s="127" customFormat="1" ht="24.95" customHeight="1" thickBot="1" x14ac:dyDescent="0.3">
      <c r="A125" s="83" t="s">
        <v>27</v>
      </c>
      <c r="B125" s="112">
        <f t="shared" ref="B125:B132" si="82">B5</f>
        <v>6</v>
      </c>
      <c r="C125" s="85">
        <v>27</v>
      </c>
      <c r="D125" s="76">
        <f t="shared" ref="D125:J132" si="83">D50+D110</f>
        <v>0</v>
      </c>
      <c r="E125" s="76">
        <f t="shared" si="83"/>
        <v>0</v>
      </c>
      <c r="F125" s="76">
        <f t="shared" si="83"/>
        <v>0</v>
      </c>
      <c r="G125" s="76">
        <f t="shared" si="80"/>
        <v>0</v>
      </c>
      <c r="H125" s="76">
        <f t="shared" si="83"/>
        <v>1092</v>
      </c>
      <c r="I125" s="76">
        <f t="shared" si="83"/>
        <v>0</v>
      </c>
      <c r="J125" s="76">
        <f t="shared" si="83"/>
        <v>0</v>
      </c>
      <c r="K125" s="78">
        <f t="shared" ref="K125:K133" si="84">H125/181</f>
        <v>6.0331491712707184</v>
      </c>
      <c r="L125" s="79" t="e">
        <f t="shared" ref="L125:L132" si="85">H125/(E125+F125)</f>
        <v>#DIV/0!</v>
      </c>
      <c r="M125" s="80" t="e">
        <f t="shared" ref="M125:M132" si="86">((C125*182)-H125)/(E125+F125)</f>
        <v>#DIV/0!</v>
      </c>
      <c r="N125" s="81">
        <f t="shared" ref="N125:N132" si="87">(E125+F125)/C125</f>
        <v>0</v>
      </c>
      <c r="O125" s="79">
        <f t="shared" ref="O125:O132" si="88">H125*100/(C125*182)</f>
        <v>22.222222222222221</v>
      </c>
      <c r="P125" s="142" t="e">
        <f t="shared" si="81"/>
        <v>#DIV/0!</v>
      </c>
    </row>
    <row r="126" spans="1:18" s="127" customFormat="1" ht="24.95" customHeight="1" thickBot="1" x14ac:dyDescent="0.3">
      <c r="A126" s="83" t="s">
        <v>28</v>
      </c>
      <c r="B126" s="112">
        <f t="shared" si="82"/>
        <v>15</v>
      </c>
      <c r="C126" s="85">
        <v>28</v>
      </c>
      <c r="D126" s="76">
        <f t="shared" si="83"/>
        <v>67</v>
      </c>
      <c r="E126" s="76">
        <f t="shared" si="83"/>
        <v>0</v>
      </c>
      <c r="F126" s="76">
        <f t="shared" si="83"/>
        <v>0</v>
      </c>
      <c r="G126" s="76">
        <f t="shared" si="80"/>
        <v>0</v>
      </c>
      <c r="H126" s="76">
        <f t="shared" si="83"/>
        <v>2730</v>
      </c>
      <c r="I126" s="76">
        <f t="shared" si="83"/>
        <v>0</v>
      </c>
      <c r="J126" s="76">
        <f t="shared" si="83"/>
        <v>0</v>
      </c>
      <c r="K126" s="78">
        <f t="shared" si="84"/>
        <v>15.082872928176796</v>
      </c>
      <c r="L126" s="79" t="e">
        <f t="shared" si="85"/>
        <v>#DIV/0!</v>
      </c>
      <c r="M126" s="80" t="e">
        <f t="shared" si="86"/>
        <v>#DIV/0!</v>
      </c>
      <c r="N126" s="81">
        <f t="shared" si="87"/>
        <v>0</v>
      </c>
      <c r="O126" s="79">
        <f t="shared" si="88"/>
        <v>53.571428571428569</v>
      </c>
      <c r="P126" s="142">
        <f t="shared" si="81"/>
        <v>0</v>
      </c>
      <c r="R126" s="147"/>
    </row>
    <row r="127" spans="1:18" s="127" customFormat="1" ht="24.95" customHeight="1" thickBot="1" x14ac:dyDescent="0.3">
      <c r="A127" s="83" t="s">
        <v>29</v>
      </c>
      <c r="B127" s="112">
        <f t="shared" si="82"/>
        <v>12</v>
      </c>
      <c r="C127" s="85">
        <v>20</v>
      </c>
      <c r="D127" s="76">
        <f t="shared" si="83"/>
        <v>479</v>
      </c>
      <c r="E127" s="76">
        <f t="shared" si="83"/>
        <v>474</v>
      </c>
      <c r="F127" s="76">
        <f t="shared" si="83"/>
        <v>1</v>
      </c>
      <c r="G127" s="76">
        <f t="shared" si="80"/>
        <v>0</v>
      </c>
      <c r="H127" s="76">
        <f t="shared" si="83"/>
        <v>1625</v>
      </c>
      <c r="I127" s="76">
        <f t="shared" si="83"/>
        <v>12</v>
      </c>
      <c r="J127" s="76">
        <f t="shared" si="83"/>
        <v>18</v>
      </c>
      <c r="K127" s="78">
        <f t="shared" si="84"/>
        <v>8.9779005524861883</v>
      </c>
      <c r="L127" s="79">
        <f t="shared" si="85"/>
        <v>3.4210526315789473</v>
      </c>
      <c r="M127" s="80">
        <f t="shared" si="86"/>
        <v>4.242105263157895</v>
      </c>
      <c r="N127" s="81">
        <f t="shared" si="87"/>
        <v>23.75</v>
      </c>
      <c r="O127" s="79">
        <f t="shared" si="88"/>
        <v>44.642857142857146</v>
      </c>
      <c r="P127" s="142">
        <f t="shared" si="81"/>
        <v>0.20876826722338201</v>
      </c>
      <c r="R127" s="147"/>
    </row>
    <row r="128" spans="1:18" s="127" customFormat="1" ht="24.95" customHeight="1" thickBot="1" x14ac:dyDescent="0.3">
      <c r="A128" s="83" t="s">
        <v>30</v>
      </c>
      <c r="B128" s="112">
        <f t="shared" si="82"/>
        <v>2</v>
      </c>
      <c r="C128" s="85">
        <v>10</v>
      </c>
      <c r="D128" s="76">
        <f t="shared" si="83"/>
        <v>361</v>
      </c>
      <c r="E128" s="76">
        <f t="shared" si="83"/>
        <v>128</v>
      </c>
      <c r="F128" s="76">
        <f t="shared" si="83"/>
        <v>21</v>
      </c>
      <c r="G128" s="76">
        <f t="shared" si="80"/>
        <v>32</v>
      </c>
      <c r="H128" s="76">
        <f t="shared" si="83"/>
        <v>607</v>
      </c>
      <c r="I128" s="76">
        <f t="shared" si="83"/>
        <v>0</v>
      </c>
      <c r="J128" s="76">
        <f t="shared" si="83"/>
        <v>212</v>
      </c>
      <c r="K128" s="78">
        <f t="shared" si="84"/>
        <v>3.3535911602209945</v>
      </c>
      <c r="L128" s="79">
        <f t="shared" si="85"/>
        <v>4.0738255033557049</v>
      </c>
      <c r="M128" s="80">
        <f t="shared" si="86"/>
        <v>8.1409395973154357</v>
      </c>
      <c r="N128" s="81">
        <f t="shared" si="87"/>
        <v>14.9</v>
      </c>
      <c r="O128" s="79">
        <f t="shared" si="88"/>
        <v>33.35164835164835</v>
      </c>
      <c r="P128" s="142">
        <f t="shared" si="81"/>
        <v>5.8171745152354575</v>
      </c>
    </row>
    <row r="129" spans="1:17" s="127" customFormat="1" ht="24.95" customHeight="1" thickBot="1" x14ac:dyDescent="0.3">
      <c r="A129" s="83" t="s">
        <v>31</v>
      </c>
      <c r="B129" s="112">
        <f t="shared" si="82"/>
        <v>8</v>
      </c>
      <c r="C129" s="85">
        <v>14</v>
      </c>
      <c r="D129" s="76">
        <f t="shared" si="83"/>
        <v>690</v>
      </c>
      <c r="E129" s="76">
        <f t="shared" si="83"/>
        <v>600</v>
      </c>
      <c r="F129" s="76">
        <f t="shared" si="83"/>
        <v>0</v>
      </c>
      <c r="G129" s="76">
        <f t="shared" si="80"/>
        <v>0</v>
      </c>
      <c r="H129" s="76">
        <f t="shared" si="83"/>
        <v>1624</v>
      </c>
      <c r="I129" s="76">
        <f t="shared" si="83"/>
        <v>141</v>
      </c>
      <c r="J129" s="76">
        <f t="shared" si="83"/>
        <v>236</v>
      </c>
      <c r="K129" s="78">
        <f t="shared" si="84"/>
        <v>8.9723756906077341</v>
      </c>
      <c r="L129" s="79">
        <f t="shared" si="85"/>
        <v>2.7066666666666666</v>
      </c>
      <c r="M129" s="80">
        <f t="shared" si="86"/>
        <v>1.54</v>
      </c>
      <c r="N129" s="81">
        <f t="shared" si="87"/>
        <v>42.857142857142854</v>
      </c>
      <c r="O129" s="79">
        <f t="shared" si="88"/>
        <v>63.736263736263737</v>
      </c>
      <c r="P129" s="142">
        <f t="shared" si="81"/>
        <v>0</v>
      </c>
    </row>
    <row r="130" spans="1:17" s="127" customFormat="1" ht="24.95" customHeight="1" thickBot="1" x14ac:dyDescent="0.3">
      <c r="A130" s="83" t="s">
        <v>32</v>
      </c>
      <c r="B130" s="112">
        <f t="shared" si="82"/>
        <v>12</v>
      </c>
      <c r="C130" s="85">
        <v>22</v>
      </c>
      <c r="D130" s="76">
        <f t="shared" si="83"/>
        <v>379</v>
      </c>
      <c r="E130" s="76">
        <f t="shared" si="83"/>
        <v>491</v>
      </c>
      <c r="F130" s="76">
        <f t="shared" si="83"/>
        <v>0</v>
      </c>
      <c r="G130" s="76">
        <f t="shared" si="80"/>
        <v>0</v>
      </c>
      <c r="H130" s="76">
        <f>H55+H115</f>
        <v>2120</v>
      </c>
      <c r="I130" s="76">
        <f t="shared" si="83"/>
        <v>244</v>
      </c>
      <c r="J130" s="76">
        <f t="shared" si="83"/>
        <v>134</v>
      </c>
      <c r="K130" s="78">
        <f t="shared" si="84"/>
        <v>11.712707182320441</v>
      </c>
      <c r="L130" s="79">
        <f t="shared" si="85"/>
        <v>4.3177189409368637</v>
      </c>
      <c r="M130" s="80">
        <f t="shared" si="86"/>
        <v>3.8370672097759675</v>
      </c>
      <c r="N130" s="81">
        <f t="shared" si="87"/>
        <v>22.318181818181817</v>
      </c>
      <c r="O130" s="79">
        <f t="shared" si="88"/>
        <v>52.947052947052946</v>
      </c>
      <c r="P130" s="142">
        <f t="shared" si="81"/>
        <v>0</v>
      </c>
    </row>
    <row r="131" spans="1:17" s="127" customFormat="1" ht="24.95" customHeight="1" thickBot="1" x14ac:dyDescent="0.3">
      <c r="A131" s="83" t="s">
        <v>33</v>
      </c>
      <c r="B131" s="112">
        <f t="shared" si="82"/>
        <v>4</v>
      </c>
      <c r="C131" s="85">
        <v>10</v>
      </c>
      <c r="D131" s="76">
        <f t="shared" si="83"/>
        <v>329</v>
      </c>
      <c r="E131" s="76">
        <f t="shared" si="83"/>
        <v>106</v>
      </c>
      <c r="F131" s="76">
        <f t="shared" si="83"/>
        <v>23</v>
      </c>
      <c r="G131" s="76">
        <f t="shared" si="80"/>
        <v>11</v>
      </c>
      <c r="H131" s="76">
        <f t="shared" si="83"/>
        <v>482</v>
      </c>
      <c r="I131" s="76">
        <f t="shared" si="83"/>
        <v>0</v>
      </c>
      <c r="J131" s="76">
        <f t="shared" si="83"/>
        <v>203</v>
      </c>
      <c r="K131" s="78">
        <f t="shared" si="84"/>
        <v>2.6629834254143647</v>
      </c>
      <c r="L131" s="79">
        <f t="shared" si="85"/>
        <v>3.7364341085271318</v>
      </c>
      <c r="M131" s="80">
        <f t="shared" si="86"/>
        <v>10.372093023255815</v>
      </c>
      <c r="N131" s="81">
        <f t="shared" si="87"/>
        <v>12.9</v>
      </c>
      <c r="O131" s="79">
        <f t="shared" si="88"/>
        <v>26.483516483516482</v>
      </c>
      <c r="P131" s="142">
        <f t="shared" si="81"/>
        <v>6.9908814589665651</v>
      </c>
    </row>
    <row r="132" spans="1:17" s="127" customFormat="1" ht="24.95" customHeight="1" thickBot="1" x14ac:dyDescent="0.3">
      <c r="A132" s="91" t="s">
        <v>34</v>
      </c>
      <c r="B132" s="112">
        <f t="shared" si="82"/>
        <v>11</v>
      </c>
      <c r="C132" s="93">
        <v>15</v>
      </c>
      <c r="D132" s="76">
        <f t="shared" si="83"/>
        <v>328</v>
      </c>
      <c r="E132" s="76">
        <f t="shared" si="83"/>
        <v>319</v>
      </c>
      <c r="F132" s="76">
        <f t="shared" si="83"/>
        <v>11</v>
      </c>
      <c r="G132" s="76">
        <f t="shared" si="80"/>
        <v>0</v>
      </c>
      <c r="H132" s="76">
        <f t="shared" si="83"/>
        <v>2439</v>
      </c>
      <c r="I132" s="76">
        <f t="shared" si="83"/>
        <v>0</v>
      </c>
      <c r="J132" s="76">
        <f t="shared" si="83"/>
        <v>1</v>
      </c>
      <c r="K132" s="78">
        <f t="shared" si="84"/>
        <v>13.475138121546962</v>
      </c>
      <c r="L132" s="79">
        <f t="shared" si="85"/>
        <v>7.3909090909090907</v>
      </c>
      <c r="M132" s="80">
        <f t="shared" si="86"/>
        <v>0.88181818181818183</v>
      </c>
      <c r="N132" s="81">
        <f t="shared" si="87"/>
        <v>22</v>
      </c>
      <c r="O132" s="79">
        <f t="shared" si="88"/>
        <v>89.340659340659343</v>
      </c>
      <c r="P132" s="142">
        <f t="shared" si="81"/>
        <v>3.3536585365853662</v>
      </c>
    </row>
    <row r="133" spans="1:17" ht="16.5" thickBot="1" x14ac:dyDescent="0.3">
      <c r="A133" s="101" t="s">
        <v>35</v>
      </c>
      <c r="B133" s="136">
        <f t="shared" ref="B133:J133" si="89">SUM(B124:B132)</f>
        <v>88</v>
      </c>
      <c r="C133" s="103">
        <f t="shared" si="89"/>
        <v>178</v>
      </c>
      <c r="D133" s="104">
        <f t="shared" si="89"/>
        <v>2633</v>
      </c>
      <c r="E133" s="104">
        <f t="shared" si="89"/>
        <v>2118</v>
      </c>
      <c r="F133" s="104">
        <f t="shared" si="89"/>
        <v>56</v>
      </c>
      <c r="G133" s="104">
        <f t="shared" si="89"/>
        <v>43</v>
      </c>
      <c r="H133" s="104">
        <f>SUM(H124:H132)</f>
        <v>15995</v>
      </c>
      <c r="I133" s="104">
        <f t="shared" si="89"/>
        <v>397</v>
      </c>
      <c r="J133" s="137">
        <f t="shared" si="89"/>
        <v>804</v>
      </c>
      <c r="K133" s="138">
        <f t="shared" si="84"/>
        <v>88.370165745856355</v>
      </c>
      <c r="L133" s="139">
        <f>H133/(E133+F133)</f>
        <v>7.3574057037718488</v>
      </c>
      <c r="M133" s="140">
        <f>((C133*182)-H133)/(E133+F133)</f>
        <v>7.544158233670653</v>
      </c>
      <c r="N133" s="141">
        <f>(E133+F133)/C133</f>
        <v>12.213483146067416</v>
      </c>
      <c r="O133" s="139">
        <f>H133*100/(C133*182)</f>
        <v>49.373379429559208</v>
      </c>
      <c r="P133" s="142">
        <f t="shared" si="81"/>
        <v>2.1268515001898978</v>
      </c>
    </row>
    <row r="134" spans="1:17" x14ac:dyDescent="0.25">
      <c r="A134" s="235" t="s">
        <v>196</v>
      </c>
      <c r="B134" s="253">
        <f>B128+B131</f>
        <v>6</v>
      </c>
      <c r="C134" s="253">
        <f t="shared" ref="C134:J134" si="90">C128+C131</f>
        <v>20</v>
      </c>
      <c r="D134" s="253">
        <f t="shared" si="90"/>
        <v>690</v>
      </c>
      <c r="E134" s="253">
        <f t="shared" si="90"/>
        <v>234</v>
      </c>
      <c r="F134" s="253">
        <f t="shared" si="90"/>
        <v>44</v>
      </c>
      <c r="G134" s="253">
        <f t="shared" si="90"/>
        <v>43</v>
      </c>
      <c r="H134" s="253">
        <f t="shared" si="90"/>
        <v>1089</v>
      </c>
      <c r="I134" s="253">
        <f t="shared" si="90"/>
        <v>0</v>
      </c>
      <c r="J134" s="253">
        <f t="shared" si="90"/>
        <v>415</v>
      </c>
      <c r="K134" s="236">
        <f>H134/182</f>
        <v>5.9835164835164836</v>
      </c>
      <c r="L134" s="237">
        <f>H134/(E134+F134)</f>
        <v>3.9172661870503598</v>
      </c>
      <c r="M134" s="238">
        <f>((C134*182)-H134)/(E134+F134)</f>
        <v>9.1762589928057547</v>
      </c>
      <c r="N134" s="239">
        <f>(E134+F134)/C134</f>
        <v>13.9</v>
      </c>
      <c r="O134" s="237">
        <f>H134*100/(C134*182)</f>
        <v>29.917582417582416</v>
      </c>
      <c r="P134" s="240">
        <f>F134*100/(D134)</f>
        <v>6.3768115942028984</v>
      </c>
      <c r="Q134" s="72">
        <f>G134/(F134+G134)*100</f>
        <v>49.425287356321839</v>
      </c>
    </row>
    <row r="135" spans="1:17" ht="15.75" x14ac:dyDescent="0.25">
      <c r="A135" s="144"/>
      <c r="B135" s="145"/>
      <c r="C135" s="146"/>
      <c r="D135" s="145"/>
      <c r="E135" s="145"/>
      <c r="F135" s="145"/>
      <c r="G135" s="145"/>
      <c r="H135" s="145"/>
      <c r="I135" s="145"/>
      <c r="J135" s="145"/>
    </row>
    <row r="136" spans="1:17" ht="25.5" x14ac:dyDescent="0.35">
      <c r="A136" s="602" t="s">
        <v>1</v>
      </c>
      <c r="B136" s="602"/>
      <c r="C136" s="602"/>
      <c r="D136" s="602"/>
      <c r="E136" s="602"/>
      <c r="F136" s="602"/>
      <c r="G136" s="602"/>
      <c r="H136" s="602"/>
      <c r="I136" s="602"/>
      <c r="J136" s="602"/>
      <c r="K136" s="602"/>
      <c r="L136" s="602"/>
      <c r="M136" s="602"/>
      <c r="N136" s="602"/>
      <c r="O136" s="602"/>
      <c r="P136" s="602"/>
    </row>
    <row r="137" spans="1:17" ht="26.25" thickBot="1" x14ac:dyDescent="0.4">
      <c r="A137" s="601" t="s">
        <v>633</v>
      </c>
      <c r="B137" s="601"/>
      <c r="C137" s="601"/>
      <c r="D137" s="601"/>
      <c r="E137" s="601"/>
      <c r="F137" s="601"/>
      <c r="G137" s="601"/>
      <c r="H137" s="601"/>
      <c r="I137" s="601"/>
      <c r="J137" s="601"/>
      <c r="K137" s="601"/>
      <c r="L137" s="601"/>
      <c r="M137" s="601"/>
      <c r="N137" s="601"/>
      <c r="O137" s="601"/>
      <c r="P137" s="601"/>
    </row>
    <row r="138" spans="1:17" s="184" customFormat="1" ht="34.5" thickBot="1" x14ac:dyDescent="0.25">
      <c r="A138" s="176" t="s">
        <v>20</v>
      </c>
      <c r="B138" s="180" t="s">
        <v>22</v>
      </c>
      <c r="C138" s="178" t="s">
        <v>21</v>
      </c>
      <c r="D138" s="178" t="s">
        <v>9</v>
      </c>
      <c r="E138" s="178" t="s">
        <v>10</v>
      </c>
      <c r="F138" s="178" t="s">
        <v>11</v>
      </c>
      <c r="G138" s="178" t="s">
        <v>80</v>
      </c>
      <c r="H138" s="178" t="s">
        <v>25</v>
      </c>
      <c r="I138" s="178" t="s">
        <v>23</v>
      </c>
      <c r="J138" s="179" t="s">
        <v>24</v>
      </c>
      <c r="K138" s="178" t="s">
        <v>43</v>
      </c>
      <c r="L138" s="178" t="s">
        <v>44</v>
      </c>
      <c r="M138" s="181" t="s">
        <v>45</v>
      </c>
      <c r="N138" s="178" t="s">
        <v>46</v>
      </c>
      <c r="O138" s="178" t="s">
        <v>47</v>
      </c>
      <c r="P138" s="179" t="s">
        <v>48</v>
      </c>
    </row>
    <row r="139" spans="1:17" s="127" customFormat="1" ht="24.75" customHeight="1" x14ac:dyDescent="0.25">
      <c r="A139" s="73" t="s">
        <v>26</v>
      </c>
      <c r="B139" s="112">
        <f>Male!H240</f>
        <v>18</v>
      </c>
      <c r="C139" s="75">
        <v>32</v>
      </c>
      <c r="D139" s="76">
        <f>Male!B274</f>
        <v>0</v>
      </c>
      <c r="E139" s="76">
        <f>Male!C274</f>
        <v>0</v>
      </c>
      <c r="F139" s="76">
        <f>Male!D274</f>
        <v>0</v>
      </c>
      <c r="G139" s="76">
        <f>Male!E274</f>
        <v>0</v>
      </c>
      <c r="H139" s="76">
        <f>Male!H274</f>
        <v>558</v>
      </c>
      <c r="I139" s="76">
        <f>Male!F274</f>
        <v>0</v>
      </c>
      <c r="J139" s="77">
        <f>Male!G274</f>
        <v>0</v>
      </c>
      <c r="K139" s="78">
        <f>H139/31</f>
        <v>18</v>
      </c>
      <c r="L139" s="79" t="e">
        <f>H139/(E139+F139)</f>
        <v>#DIV/0!</v>
      </c>
      <c r="M139" s="80" t="e">
        <f>((C139*31)-H139)/(E139+F139)</f>
        <v>#DIV/0!</v>
      </c>
      <c r="N139" s="81">
        <f>(E139+F139)/C139</f>
        <v>0</v>
      </c>
      <c r="O139" s="79">
        <f>H139*100/(C139*31)</f>
        <v>56.25</v>
      </c>
      <c r="P139" s="82" t="e">
        <f>F139*100/(D139)</f>
        <v>#DIV/0!</v>
      </c>
    </row>
    <row r="140" spans="1:17" s="127" customFormat="1" ht="24.95" customHeight="1" x14ac:dyDescent="0.25">
      <c r="A140" s="83" t="s">
        <v>27</v>
      </c>
      <c r="B140" s="113">
        <f>Paediatric!H240</f>
        <v>6</v>
      </c>
      <c r="C140" s="85">
        <v>27</v>
      </c>
      <c r="D140" s="86">
        <f>Paediatric!B274</f>
        <v>0</v>
      </c>
      <c r="E140" s="86">
        <f>Paediatric!C274</f>
        <v>0</v>
      </c>
      <c r="F140" s="86">
        <f>Paediatric!D274</f>
        <v>0</v>
      </c>
      <c r="G140" s="86">
        <f>Paediatric!E274</f>
        <v>0</v>
      </c>
      <c r="H140" s="86">
        <f>Paediatric!H274</f>
        <v>186</v>
      </c>
      <c r="I140" s="86">
        <f>Paediatric!F274</f>
        <v>0</v>
      </c>
      <c r="J140" s="87">
        <f>Paediatric!G274</f>
        <v>0</v>
      </c>
      <c r="K140" s="78">
        <f>H140/31</f>
        <v>6</v>
      </c>
      <c r="L140" s="79" t="e">
        <f>H140/(E140+F140)</f>
        <v>#DIV/0!</v>
      </c>
      <c r="M140" s="80" t="e">
        <f>((C140*31)-H140)/(E140+F140)</f>
        <v>#DIV/0!</v>
      </c>
      <c r="N140" s="81">
        <f t="shared" ref="N140:N148" si="91">(E140+F140)/C140</f>
        <v>0</v>
      </c>
      <c r="O140" s="79">
        <f t="shared" ref="O140:O147" si="92">H140*100/(C140*31)</f>
        <v>22.222222222222221</v>
      </c>
      <c r="P140" s="82" t="e">
        <f t="shared" ref="P140:P147" si="93">F140*100/(D140)</f>
        <v>#DIV/0!</v>
      </c>
    </row>
    <row r="141" spans="1:17" s="127" customFormat="1" ht="24.95" customHeight="1" x14ac:dyDescent="0.25">
      <c r="A141" s="83" t="s">
        <v>28</v>
      </c>
      <c r="B141" s="113">
        <f>Female!H240</f>
        <v>15</v>
      </c>
      <c r="C141" s="85">
        <v>28</v>
      </c>
      <c r="D141" s="86">
        <f>Female!B274</f>
        <v>0</v>
      </c>
      <c r="E141" s="86">
        <f>Female!C274</f>
        <v>0</v>
      </c>
      <c r="F141" s="86">
        <f>Female!D274</f>
        <v>0</v>
      </c>
      <c r="G141" s="86">
        <f>Female!E274</f>
        <v>0</v>
      </c>
      <c r="H141" s="86">
        <f>Female!H274</f>
        <v>465</v>
      </c>
      <c r="I141" s="86">
        <f>Female!F274</f>
        <v>0</v>
      </c>
      <c r="J141" s="87">
        <f>Female!G274</f>
        <v>0</v>
      </c>
      <c r="K141" s="78">
        <f t="shared" ref="K141:K146" si="94">H141/31</f>
        <v>15</v>
      </c>
      <c r="L141" s="79" t="e">
        <f t="shared" ref="L141:L148" si="95">H141/(E141+F141)</f>
        <v>#DIV/0!</v>
      </c>
      <c r="M141" s="80" t="e">
        <f>((C141*31)-H141)/(E141+F141)</f>
        <v>#DIV/0!</v>
      </c>
      <c r="N141" s="81">
        <f t="shared" si="91"/>
        <v>0</v>
      </c>
      <c r="O141" s="79">
        <f t="shared" si="92"/>
        <v>53.571428571428569</v>
      </c>
      <c r="P141" s="82" t="e">
        <f t="shared" si="93"/>
        <v>#DIV/0!</v>
      </c>
    </row>
    <row r="142" spans="1:17" s="127" customFormat="1" ht="24.95" customHeight="1" x14ac:dyDescent="0.25">
      <c r="A142" s="83" t="s">
        <v>29</v>
      </c>
      <c r="B142" s="113">
        <f>'BLK F'!H240</f>
        <v>10</v>
      </c>
      <c r="C142" s="85">
        <v>20</v>
      </c>
      <c r="D142" s="86">
        <f>'BLK F'!B274</f>
        <v>111</v>
      </c>
      <c r="E142" s="86">
        <f>'BLK F'!C274</f>
        <v>102</v>
      </c>
      <c r="F142" s="86">
        <f>'BLK F'!D274</f>
        <v>0</v>
      </c>
      <c r="G142" s="86">
        <f>'BLK F'!E274</f>
        <v>0</v>
      </c>
      <c r="H142" s="86">
        <f>'BLK F'!H274</f>
        <v>362</v>
      </c>
      <c r="I142" s="86">
        <f>'BLK F'!F274</f>
        <v>1</v>
      </c>
      <c r="J142" s="87">
        <f>'BLK F'!G274</f>
        <v>7</v>
      </c>
      <c r="K142" s="78">
        <f>H142/31</f>
        <v>11.67741935483871</v>
      </c>
      <c r="L142" s="79">
        <f t="shared" si="95"/>
        <v>3.5490196078431371</v>
      </c>
      <c r="M142" s="80">
        <f t="shared" ref="M142:M147" si="96">((C142*31)-H142)/(E142+F142)</f>
        <v>2.5294117647058822</v>
      </c>
      <c r="N142" s="81">
        <f t="shared" si="91"/>
        <v>5.0999999999999996</v>
      </c>
      <c r="O142" s="79">
        <f t="shared" si="92"/>
        <v>58.387096774193552</v>
      </c>
      <c r="P142" s="82">
        <f t="shared" si="93"/>
        <v>0</v>
      </c>
    </row>
    <row r="143" spans="1:17" s="127" customFormat="1" ht="24.95" customHeight="1" x14ac:dyDescent="0.25">
      <c r="A143" s="83" t="s">
        <v>30</v>
      </c>
      <c r="B143" s="113">
        <f>'Male Emergency'!H240</f>
        <v>2</v>
      </c>
      <c r="C143" s="85">
        <v>10</v>
      </c>
      <c r="D143" s="86">
        <f>'Male Emergency'!B274</f>
        <v>82</v>
      </c>
      <c r="E143" s="86">
        <f>'Male Emergency'!C274</f>
        <v>37</v>
      </c>
      <c r="F143" s="86">
        <f>'Male Emergency'!D274</f>
        <v>1</v>
      </c>
      <c r="G143" s="86">
        <f>'Male Emergency'!E274</f>
        <v>3</v>
      </c>
      <c r="H143" s="86">
        <f>'Male Emergency'!H274</f>
        <v>120</v>
      </c>
      <c r="I143" s="86">
        <f>'Male Emergency'!F274</f>
        <v>0</v>
      </c>
      <c r="J143" s="87">
        <f>'Male Emergency'!G274</f>
        <v>45</v>
      </c>
      <c r="K143" s="78">
        <f t="shared" si="94"/>
        <v>3.870967741935484</v>
      </c>
      <c r="L143" s="79">
        <f t="shared" si="95"/>
        <v>3.1578947368421053</v>
      </c>
      <c r="M143" s="80">
        <f t="shared" si="96"/>
        <v>5</v>
      </c>
      <c r="N143" s="81">
        <f t="shared" si="91"/>
        <v>3.8</v>
      </c>
      <c r="O143" s="79">
        <f t="shared" si="92"/>
        <v>38.70967741935484</v>
      </c>
      <c r="P143" s="82">
        <f t="shared" si="93"/>
        <v>1.2195121951219512</v>
      </c>
    </row>
    <row r="144" spans="1:17" s="127" customFormat="1" ht="24.95" customHeight="1" x14ac:dyDescent="0.25">
      <c r="A144" s="83" t="s">
        <v>31</v>
      </c>
      <c r="B144" s="113">
        <f>'BLK G'!H240</f>
        <v>3</v>
      </c>
      <c r="C144" s="85">
        <v>14</v>
      </c>
      <c r="D144" s="86">
        <f>'BLK G'!B274</f>
        <v>133</v>
      </c>
      <c r="E144" s="86">
        <f>'BLK G'!C274</f>
        <v>103</v>
      </c>
      <c r="F144" s="86">
        <f>'BLK G'!D274</f>
        <v>0</v>
      </c>
      <c r="G144" s="86">
        <f>'BLK G'!E274</f>
        <v>0</v>
      </c>
      <c r="H144" s="86">
        <f>'BLK G'!H274</f>
        <v>249</v>
      </c>
      <c r="I144" s="86">
        <f>'BLK G'!F274</f>
        <v>22</v>
      </c>
      <c r="J144" s="87">
        <f>'BLK G'!G274</f>
        <v>46</v>
      </c>
      <c r="K144" s="78">
        <f t="shared" si="94"/>
        <v>8.0322580645161299</v>
      </c>
      <c r="L144" s="79">
        <f t="shared" si="95"/>
        <v>2.4174757281553396</v>
      </c>
      <c r="M144" s="80">
        <f t="shared" si="96"/>
        <v>1.796116504854369</v>
      </c>
      <c r="N144" s="81">
        <f t="shared" si="91"/>
        <v>7.3571428571428568</v>
      </c>
      <c r="O144" s="79">
        <f>H144*100/(C144*31)</f>
        <v>57.373271889400918</v>
      </c>
      <c r="P144" s="82">
        <f t="shared" si="93"/>
        <v>0</v>
      </c>
    </row>
    <row r="145" spans="1:16" s="127" customFormat="1" ht="24.95" customHeight="1" x14ac:dyDescent="0.25">
      <c r="A145" s="83" t="s">
        <v>32</v>
      </c>
      <c r="B145" s="113">
        <f>'BLK H'!H240</f>
        <v>10</v>
      </c>
      <c r="C145" s="85">
        <v>22</v>
      </c>
      <c r="D145" s="86">
        <f>'BLK H'!B274</f>
        <v>78</v>
      </c>
      <c r="E145" s="86">
        <f>'BLK H'!C274</f>
        <v>100</v>
      </c>
      <c r="F145" s="86">
        <f>'BLK H'!D274</f>
        <v>0</v>
      </c>
      <c r="G145" s="86">
        <f>'BLK H'!E274</f>
        <v>0</v>
      </c>
      <c r="H145" s="86">
        <f>'BLK H'!H274</f>
        <v>412</v>
      </c>
      <c r="I145" s="86">
        <f>'BLK H'!F274</f>
        <v>51</v>
      </c>
      <c r="J145" s="87">
        <f>'BLK H'!G274</f>
        <v>21</v>
      </c>
      <c r="K145" s="78">
        <f t="shared" si="94"/>
        <v>13.290322580645162</v>
      </c>
      <c r="L145" s="79">
        <f>H145/(E145+F145)</f>
        <v>4.12</v>
      </c>
      <c r="M145" s="80">
        <f t="shared" si="96"/>
        <v>2.7</v>
      </c>
      <c r="N145" s="81">
        <f t="shared" si="91"/>
        <v>4.5454545454545459</v>
      </c>
      <c r="O145" s="79">
        <f t="shared" si="92"/>
        <v>60.410557184750736</v>
      </c>
      <c r="P145" s="82">
        <f t="shared" si="93"/>
        <v>0</v>
      </c>
    </row>
    <row r="146" spans="1:16" s="127" customFormat="1" ht="24.95" customHeight="1" x14ac:dyDescent="0.25">
      <c r="A146" s="83" t="s">
        <v>33</v>
      </c>
      <c r="B146" s="113">
        <f>'Female Emergency'!H240</f>
        <v>1</v>
      </c>
      <c r="C146" s="85">
        <v>10</v>
      </c>
      <c r="D146" s="86">
        <f>'Female Emergency'!B274</f>
        <v>66</v>
      </c>
      <c r="E146" s="86">
        <f>'Female Emergency'!C274</f>
        <v>21</v>
      </c>
      <c r="F146" s="86">
        <f>'Female Emergency'!D274</f>
        <v>3</v>
      </c>
      <c r="G146" s="86">
        <f>'Female Emergency'!E274</f>
        <v>5</v>
      </c>
      <c r="H146" s="86">
        <f>'Female Emergency'!H274</f>
        <v>104</v>
      </c>
      <c r="I146" s="86">
        <f>'Female Emergency'!F274</f>
        <v>0</v>
      </c>
      <c r="J146" s="87">
        <f>'Female Emergency'!G274</f>
        <v>40</v>
      </c>
      <c r="K146" s="78">
        <f t="shared" si="94"/>
        <v>3.3548387096774195</v>
      </c>
      <c r="L146" s="79">
        <f t="shared" si="95"/>
        <v>4.333333333333333</v>
      </c>
      <c r="M146" s="80">
        <f t="shared" si="96"/>
        <v>8.5833333333333339</v>
      </c>
      <c r="N146" s="81">
        <f t="shared" si="91"/>
        <v>2.4</v>
      </c>
      <c r="O146" s="79">
        <f t="shared" si="92"/>
        <v>33.548387096774192</v>
      </c>
      <c r="P146" s="82">
        <f t="shared" si="93"/>
        <v>4.5454545454545459</v>
      </c>
    </row>
    <row r="147" spans="1:16" s="127" customFormat="1" ht="24.95" customHeight="1" thickBot="1" x14ac:dyDescent="0.3">
      <c r="A147" s="91" t="s">
        <v>34</v>
      </c>
      <c r="B147" s="114">
        <f>Neonatal!H240</f>
        <v>8</v>
      </c>
      <c r="C147" s="93">
        <v>15</v>
      </c>
      <c r="D147" s="94">
        <f>Neonatal!B274</f>
        <v>60</v>
      </c>
      <c r="E147" s="94">
        <f>Neonatal!C274</f>
        <v>57</v>
      </c>
      <c r="F147" s="94">
        <f>Neonatal!D274</f>
        <v>2</v>
      </c>
      <c r="G147" s="94">
        <f>Neonatal!E274</f>
        <v>0</v>
      </c>
      <c r="H147" s="94">
        <f>Neonatal!H274</f>
        <v>443</v>
      </c>
      <c r="I147" s="94">
        <f>Neonatal!F274</f>
        <v>0</v>
      </c>
      <c r="J147" s="95">
        <f>Neonatal!G274</f>
        <v>0</v>
      </c>
      <c r="K147" s="78">
        <f>H147/31</f>
        <v>14.290322580645162</v>
      </c>
      <c r="L147" s="97">
        <f t="shared" si="95"/>
        <v>7.5084745762711869</v>
      </c>
      <c r="M147" s="80">
        <f t="shared" si="96"/>
        <v>0.3728813559322034</v>
      </c>
      <c r="N147" s="99">
        <f t="shared" si="91"/>
        <v>3.9333333333333331</v>
      </c>
      <c r="O147" s="80">
        <f t="shared" si="92"/>
        <v>95.268817204301072</v>
      </c>
      <c r="P147" s="82">
        <f t="shared" si="93"/>
        <v>3.3333333333333335</v>
      </c>
    </row>
    <row r="148" spans="1:16" ht="16.5" thickBot="1" x14ac:dyDescent="0.3">
      <c r="A148" s="229" t="s">
        <v>35</v>
      </c>
      <c r="B148" s="230">
        <f t="shared" ref="B148:J148" si="97">SUM(B139:B147)</f>
        <v>73</v>
      </c>
      <c r="C148" s="231">
        <f t="shared" si="97"/>
        <v>178</v>
      </c>
      <c r="D148" s="232">
        <f t="shared" si="97"/>
        <v>530</v>
      </c>
      <c r="E148" s="232">
        <f t="shared" si="97"/>
        <v>420</v>
      </c>
      <c r="F148" s="232">
        <f t="shared" si="97"/>
        <v>6</v>
      </c>
      <c r="G148" s="232">
        <f t="shared" si="97"/>
        <v>8</v>
      </c>
      <c r="H148" s="232">
        <f t="shared" si="97"/>
        <v>2899</v>
      </c>
      <c r="I148" s="232">
        <f t="shared" si="97"/>
        <v>74</v>
      </c>
      <c r="J148" s="233">
        <f t="shared" si="97"/>
        <v>159</v>
      </c>
      <c r="K148" s="234">
        <f>H148/31</f>
        <v>93.516129032258064</v>
      </c>
      <c r="L148" s="139">
        <f t="shared" si="95"/>
        <v>6.805164319248826</v>
      </c>
      <c r="M148" s="140">
        <f>((C148*31)-H148)/(E148+F148)</f>
        <v>6.147887323943662</v>
      </c>
      <c r="N148" s="141">
        <f t="shared" si="91"/>
        <v>2.393258426966292</v>
      </c>
      <c r="O148" s="139">
        <f>H148*100/(C148*31)</f>
        <v>52.537151141718013</v>
      </c>
      <c r="P148" s="142">
        <f>F148*100/(D148)</f>
        <v>1.1320754716981132</v>
      </c>
    </row>
    <row r="149" spans="1:16" x14ac:dyDescent="0.25">
      <c r="A149" s="235" t="s">
        <v>196</v>
      </c>
      <c r="B149" s="253">
        <f>B143+B146</f>
        <v>3</v>
      </c>
      <c r="C149" s="253">
        <f t="shared" ref="C149:J149" si="98">C143+C146</f>
        <v>20</v>
      </c>
      <c r="D149" s="253">
        <f t="shared" si="98"/>
        <v>148</v>
      </c>
      <c r="E149" s="253">
        <f t="shared" si="98"/>
        <v>58</v>
      </c>
      <c r="F149" s="253">
        <f t="shared" si="98"/>
        <v>4</v>
      </c>
      <c r="G149" s="253">
        <f t="shared" si="98"/>
        <v>8</v>
      </c>
      <c r="H149" s="253">
        <f t="shared" si="98"/>
        <v>224</v>
      </c>
      <c r="I149" s="253">
        <f t="shared" si="98"/>
        <v>0</v>
      </c>
      <c r="J149" s="253">
        <f t="shared" si="98"/>
        <v>85</v>
      </c>
      <c r="K149" s="236">
        <f>H149/31</f>
        <v>7.225806451612903</v>
      </c>
      <c r="L149" s="237">
        <f>H149/(E149+F149)</f>
        <v>3.6129032258064515</v>
      </c>
      <c r="M149" s="238">
        <f>((C149*31)-H149)/(E149+F149)</f>
        <v>6.387096774193548</v>
      </c>
      <c r="N149" s="239">
        <f>(E149+F149)/C149</f>
        <v>3.1</v>
      </c>
      <c r="O149" s="237">
        <f>H149*100/(C149*31)</f>
        <v>36.12903225806452</v>
      </c>
      <c r="P149" s="240">
        <f>F149*100/(D149)</f>
        <v>2.7027027027027026</v>
      </c>
    </row>
    <row r="150" spans="1:16" x14ac:dyDescent="0.25">
      <c r="B150" s="72" t="s">
        <v>96</v>
      </c>
    </row>
    <row r="151" spans="1:16" ht="25.5" x14ac:dyDescent="0.35">
      <c r="A151" s="602" t="s">
        <v>1</v>
      </c>
      <c r="B151" s="602"/>
      <c r="C151" s="602"/>
      <c r="D151" s="602"/>
      <c r="E151" s="602"/>
      <c r="F151" s="602"/>
      <c r="G151" s="602"/>
      <c r="H151" s="602"/>
      <c r="I151" s="602"/>
      <c r="J151" s="602"/>
      <c r="K151" s="602"/>
      <c r="L151" s="602"/>
      <c r="M151" s="602"/>
      <c r="N151" s="602"/>
      <c r="O151" s="602"/>
      <c r="P151" s="602"/>
    </row>
    <row r="152" spans="1:16" ht="26.25" thickBot="1" x14ac:dyDescent="0.4">
      <c r="A152" s="601" t="s">
        <v>634</v>
      </c>
      <c r="B152" s="601"/>
      <c r="C152" s="601"/>
      <c r="D152" s="601"/>
      <c r="E152" s="601"/>
      <c r="F152" s="601"/>
      <c r="G152" s="601"/>
      <c r="H152" s="601"/>
      <c r="I152" s="601"/>
      <c r="J152" s="601"/>
      <c r="K152" s="601"/>
      <c r="L152" s="601"/>
      <c r="M152" s="601"/>
      <c r="N152" s="601"/>
      <c r="O152" s="601"/>
      <c r="P152" s="601"/>
    </row>
    <row r="153" spans="1:16" s="184" customFormat="1" ht="39.75" customHeight="1" thickBot="1" x14ac:dyDescent="0.25">
      <c r="A153" s="176" t="s">
        <v>20</v>
      </c>
      <c r="B153" s="180" t="s">
        <v>22</v>
      </c>
      <c r="C153" s="178" t="s">
        <v>21</v>
      </c>
      <c r="D153" s="178" t="s">
        <v>9</v>
      </c>
      <c r="E153" s="178" t="s">
        <v>10</v>
      </c>
      <c r="F153" s="178" t="s">
        <v>11</v>
      </c>
      <c r="G153" s="178" t="s">
        <v>80</v>
      </c>
      <c r="H153" s="178" t="s">
        <v>25</v>
      </c>
      <c r="I153" s="178" t="s">
        <v>23</v>
      </c>
      <c r="J153" s="179" t="s">
        <v>24</v>
      </c>
      <c r="K153" s="178" t="s">
        <v>43</v>
      </c>
      <c r="L153" s="178" t="s">
        <v>44</v>
      </c>
      <c r="M153" s="181" t="s">
        <v>45</v>
      </c>
      <c r="N153" s="178" t="s">
        <v>46</v>
      </c>
      <c r="O153" s="178" t="s">
        <v>47</v>
      </c>
      <c r="P153" s="179" t="s">
        <v>48</v>
      </c>
    </row>
    <row r="154" spans="1:16" s="127" customFormat="1" ht="24.95" customHeight="1" x14ac:dyDescent="0.25">
      <c r="A154" s="73" t="s">
        <v>26</v>
      </c>
      <c r="B154" s="112">
        <f>Male!H280</f>
        <v>18</v>
      </c>
      <c r="C154" s="75">
        <v>32</v>
      </c>
      <c r="D154" s="76">
        <f>Male!B314</f>
        <v>0</v>
      </c>
      <c r="E154" s="76">
        <f>Male!C314</f>
        <v>0</v>
      </c>
      <c r="F154" s="76">
        <f>Male!D314</f>
        <v>0</v>
      </c>
      <c r="G154" s="76">
        <f>Male!E314</f>
        <v>0</v>
      </c>
      <c r="H154" s="76">
        <f>Male!H314</f>
        <v>558</v>
      </c>
      <c r="I154" s="76">
        <f>Male!F314</f>
        <v>0</v>
      </c>
      <c r="J154" s="77">
        <f>Male!G314</f>
        <v>0</v>
      </c>
      <c r="K154" s="78">
        <f>H154/31</f>
        <v>18</v>
      </c>
      <c r="L154" s="79" t="e">
        <f>H154/(E154+F154)</f>
        <v>#DIV/0!</v>
      </c>
      <c r="M154" s="80" t="e">
        <f>((C154*31)-H154)/(E154+F154)</f>
        <v>#DIV/0!</v>
      </c>
      <c r="N154" s="81">
        <f>(E154+F154)/C154</f>
        <v>0</v>
      </c>
      <c r="O154" s="79">
        <f>H154*100/(C154*31)</f>
        <v>56.25</v>
      </c>
      <c r="P154" s="82" t="e">
        <f>F154*100/(D154)</f>
        <v>#DIV/0!</v>
      </c>
    </row>
    <row r="155" spans="1:16" s="127" customFormat="1" ht="24.95" customHeight="1" x14ac:dyDescent="0.25">
      <c r="A155" s="83" t="s">
        <v>27</v>
      </c>
      <c r="B155" s="113">
        <f>Paediatric!H280</f>
        <v>6</v>
      </c>
      <c r="C155" s="85">
        <v>27</v>
      </c>
      <c r="D155" s="86">
        <f>Paediatric!B314</f>
        <v>0</v>
      </c>
      <c r="E155" s="86">
        <f>Paediatric!C314</f>
        <v>0</v>
      </c>
      <c r="F155" s="86">
        <f>Paediatric!D314</f>
        <v>0</v>
      </c>
      <c r="G155" s="86">
        <f>Paediatric!E314</f>
        <v>0</v>
      </c>
      <c r="H155" s="86">
        <f>Paediatric!H314</f>
        <v>186</v>
      </c>
      <c r="I155" s="86">
        <f>Paediatric!F314</f>
        <v>0</v>
      </c>
      <c r="J155" s="87">
        <f>Paediatric!G314</f>
        <v>0</v>
      </c>
      <c r="K155" s="78">
        <f t="shared" ref="K155:K162" si="99">H155/31</f>
        <v>6</v>
      </c>
      <c r="L155" s="79" t="e">
        <f t="shared" ref="L155:L164" si="100">H155/(E155+F155)</f>
        <v>#DIV/0!</v>
      </c>
      <c r="M155" s="80" t="e">
        <f t="shared" ref="M155:M162" si="101">((C155*31)-H155)/(E155+F155)</f>
        <v>#DIV/0!</v>
      </c>
      <c r="N155" s="81">
        <f t="shared" ref="N155:N164" si="102">(E155+F155)/C155</f>
        <v>0</v>
      </c>
      <c r="O155" s="79">
        <f t="shared" ref="O155:O162" si="103">H155*100/(C155*31)</f>
        <v>22.222222222222221</v>
      </c>
      <c r="P155" s="82" t="e">
        <f t="shared" ref="P155:P162" si="104">F155*100/(D155)</f>
        <v>#DIV/0!</v>
      </c>
    </row>
    <row r="156" spans="1:16" s="127" customFormat="1" ht="24.95" customHeight="1" x14ac:dyDescent="0.25">
      <c r="A156" s="83" t="s">
        <v>28</v>
      </c>
      <c r="B156" s="113">
        <f>Female!H280</f>
        <v>15</v>
      </c>
      <c r="C156" s="85">
        <v>28</v>
      </c>
      <c r="D156" s="86">
        <f>Female!B314</f>
        <v>0</v>
      </c>
      <c r="E156" s="86">
        <f>Female!C314</f>
        <v>0</v>
      </c>
      <c r="F156" s="86">
        <f>Female!D314</f>
        <v>0</v>
      </c>
      <c r="G156" s="86">
        <f>Female!E314</f>
        <v>0</v>
      </c>
      <c r="H156" s="86">
        <f>Female!H314</f>
        <v>465</v>
      </c>
      <c r="I156" s="86">
        <f>Female!F314</f>
        <v>0</v>
      </c>
      <c r="J156" s="87">
        <f>Female!G314</f>
        <v>0</v>
      </c>
      <c r="K156" s="78">
        <f t="shared" si="99"/>
        <v>15</v>
      </c>
      <c r="L156" s="79" t="e">
        <f t="shared" si="100"/>
        <v>#DIV/0!</v>
      </c>
      <c r="M156" s="80" t="e">
        <f t="shared" si="101"/>
        <v>#DIV/0!</v>
      </c>
      <c r="N156" s="81">
        <f t="shared" si="102"/>
        <v>0</v>
      </c>
      <c r="O156" s="79">
        <f t="shared" si="103"/>
        <v>53.571428571428569</v>
      </c>
      <c r="P156" s="82" t="e">
        <f t="shared" si="104"/>
        <v>#DIV/0!</v>
      </c>
    </row>
    <row r="157" spans="1:16" s="127" customFormat="1" ht="24.95" customHeight="1" x14ac:dyDescent="0.25">
      <c r="A157" s="83" t="s">
        <v>29</v>
      </c>
      <c r="B157" s="113">
        <f>'BLK F'!H280</f>
        <v>13</v>
      </c>
      <c r="C157" s="85">
        <v>20</v>
      </c>
      <c r="D157" s="86">
        <f>'BLK F'!B314</f>
        <v>99</v>
      </c>
      <c r="E157" s="86">
        <f>'BLK F'!C314</f>
        <v>106</v>
      </c>
      <c r="F157" s="86">
        <f>'BLK F'!D314</f>
        <v>0</v>
      </c>
      <c r="G157" s="86">
        <f>'BLK F'!E314</f>
        <v>0</v>
      </c>
      <c r="H157" s="86">
        <f>'BLK F'!H314</f>
        <v>351</v>
      </c>
      <c r="I157" s="86">
        <f>'BLK F'!F314</f>
        <v>3</v>
      </c>
      <c r="J157" s="87">
        <f>'BLK F'!G314</f>
        <v>1</v>
      </c>
      <c r="K157" s="78">
        <f t="shared" si="99"/>
        <v>11.32258064516129</v>
      </c>
      <c r="L157" s="79">
        <f t="shared" si="100"/>
        <v>3.3113207547169812</v>
      </c>
      <c r="M157" s="80">
        <f t="shared" si="101"/>
        <v>2.5377358490566038</v>
      </c>
      <c r="N157" s="81">
        <f t="shared" si="102"/>
        <v>5.3</v>
      </c>
      <c r="O157" s="79">
        <f t="shared" si="103"/>
        <v>56.612903225806448</v>
      </c>
      <c r="P157" s="82">
        <f t="shared" si="104"/>
        <v>0</v>
      </c>
    </row>
    <row r="158" spans="1:16" s="127" customFormat="1" ht="24.95" customHeight="1" x14ac:dyDescent="0.25">
      <c r="A158" s="83" t="s">
        <v>30</v>
      </c>
      <c r="B158" s="113">
        <f>'Male Emergency'!H280</f>
        <v>1</v>
      </c>
      <c r="C158" s="85">
        <v>10</v>
      </c>
      <c r="D158" s="86">
        <f>'Male Emergency'!B314</f>
        <v>60</v>
      </c>
      <c r="E158" s="86">
        <f>'Male Emergency'!C314</f>
        <v>24</v>
      </c>
      <c r="F158" s="86">
        <f>'Male Emergency'!D314</f>
        <v>2</v>
      </c>
      <c r="G158" s="86">
        <f>'Male Emergency'!E314</f>
        <v>3</v>
      </c>
      <c r="H158" s="86">
        <f>'Male Emergency'!H314</f>
        <v>62</v>
      </c>
      <c r="I158" s="86">
        <f>'Male Emergency'!F314</f>
        <v>0</v>
      </c>
      <c r="J158" s="87">
        <f>'Male Emergency'!G314</f>
        <v>34</v>
      </c>
      <c r="K158" s="78">
        <f t="shared" si="99"/>
        <v>2</v>
      </c>
      <c r="L158" s="79">
        <f t="shared" si="100"/>
        <v>2.3846153846153846</v>
      </c>
      <c r="M158" s="80">
        <f t="shared" si="101"/>
        <v>9.5384615384615383</v>
      </c>
      <c r="N158" s="81">
        <f t="shared" si="102"/>
        <v>2.6</v>
      </c>
      <c r="O158" s="79">
        <f t="shared" si="103"/>
        <v>20</v>
      </c>
      <c r="P158" s="82">
        <f t="shared" si="104"/>
        <v>3.3333333333333335</v>
      </c>
    </row>
    <row r="159" spans="1:16" s="127" customFormat="1" ht="24.95" customHeight="1" x14ac:dyDescent="0.25">
      <c r="A159" s="83" t="s">
        <v>31</v>
      </c>
      <c r="B159" s="113">
        <f>'BLK G'!H280</f>
        <v>9</v>
      </c>
      <c r="C159" s="85">
        <v>14</v>
      </c>
      <c r="D159" s="86">
        <f>'BLK G'!B314</f>
        <v>128</v>
      </c>
      <c r="E159" s="86">
        <f>'BLK G'!C314</f>
        <v>108</v>
      </c>
      <c r="F159" s="86">
        <f>'BLK G'!D314</f>
        <v>0</v>
      </c>
      <c r="G159" s="86">
        <f>'BLK G'!E314</f>
        <v>0</v>
      </c>
      <c r="H159" s="86">
        <f>'BLK G'!H314</f>
        <v>285</v>
      </c>
      <c r="I159" s="86">
        <f>'BLK G'!F314</f>
        <v>36</v>
      </c>
      <c r="J159" s="87">
        <f>'BLK G'!G314</f>
        <v>59</v>
      </c>
      <c r="K159" s="78">
        <f t="shared" si="99"/>
        <v>9.193548387096774</v>
      </c>
      <c r="L159" s="79">
        <f t="shared" si="100"/>
        <v>2.6388888888888888</v>
      </c>
      <c r="M159" s="80">
        <f t="shared" si="101"/>
        <v>1.3796296296296295</v>
      </c>
      <c r="N159" s="81">
        <f t="shared" si="102"/>
        <v>7.7142857142857144</v>
      </c>
      <c r="O159" s="79">
        <f t="shared" si="103"/>
        <v>65.668202764976954</v>
      </c>
      <c r="P159" s="82">
        <f t="shared" si="104"/>
        <v>0</v>
      </c>
    </row>
    <row r="160" spans="1:16" s="127" customFormat="1" ht="24.95" customHeight="1" x14ac:dyDescent="0.25">
      <c r="A160" s="83" t="s">
        <v>32</v>
      </c>
      <c r="B160" s="113">
        <f>'BLK H'!H280</f>
        <v>18</v>
      </c>
      <c r="C160" s="85">
        <v>22</v>
      </c>
      <c r="D160" s="86">
        <f>'BLK H'!B314</f>
        <v>88</v>
      </c>
      <c r="E160" s="86">
        <f>'BLK H'!C314</f>
        <v>118</v>
      </c>
      <c r="F160" s="86">
        <f>'BLK H'!D314</f>
        <v>0</v>
      </c>
      <c r="G160" s="86">
        <f>'BLK H'!E314</f>
        <v>0</v>
      </c>
      <c r="H160" s="86">
        <f>'BLK H'!H314</f>
        <v>490</v>
      </c>
      <c r="I160" s="86">
        <f>'BLK H'!F314</f>
        <v>60</v>
      </c>
      <c r="J160" s="87">
        <f>'BLK H'!G314</f>
        <v>37</v>
      </c>
      <c r="K160" s="78">
        <f t="shared" si="99"/>
        <v>15.806451612903226</v>
      </c>
      <c r="L160" s="79">
        <f t="shared" si="100"/>
        <v>4.1525423728813555</v>
      </c>
      <c r="M160" s="80">
        <f t="shared" si="101"/>
        <v>1.6271186440677967</v>
      </c>
      <c r="N160" s="81">
        <f t="shared" si="102"/>
        <v>5.3636363636363633</v>
      </c>
      <c r="O160" s="79">
        <f t="shared" si="103"/>
        <v>71.847507331378296</v>
      </c>
      <c r="P160" s="82">
        <f t="shared" si="104"/>
        <v>0</v>
      </c>
    </row>
    <row r="161" spans="1:16" s="127" customFormat="1" ht="24.95" customHeight="1" x14ac:dyDescent="0.25">
      <c r="A161" s="83" t="s">
        <v>33</v>
      </c>
      <c r="B161" s="113">
        <f>'Female Emergency'!H280</f>
        <v>3</v>
      </c>
      <c r="C161" s="85">
        <v>10</v>
      </c>
      <c r="D161" s="86">
        <f>'Female Emergency'!B314</f>
        <v>68</v>
      </c>
      <c r="E161" s="86">
        <f>'Female Emergency'!C314</f>
        <v>34</v>
      </c>
      <c r="F161" s="86">
        <f>'Female Emergency'!D314</f>
        <v>4</v>
      </c>
      <c r="G161" s="86">
        <f>'Female Emergency'!E314</f>
        <v>7</v>
      </c>
      <c r="H161" s="86">
        <f>'Female Emergency'!H314</f>
        <v>87</v>
      </c>
      <c r="I161" s="86">
        <f>'Female Emergency'!F314</f>
        <v>0</v>
      </c>
      <c r="J161" s="87">
        <f>'Female Emergency'!G314</f>
        <v>33</v>
      </c>
      <c r="K161" s="78">
        <f t="shared" si="99"/>
        <v>2.806451612903226</v>
      </c>
      <c r="L161" s="79">
        <f t="shared" si="100"/>
        <v>2.2894736842105261</v>
      </c>
      <c r="M161" s="80">
        <f t="shared" si="101"/>
        <v>5.8684210526315788</v>
      </c>
      <c r="N161" s="81">
        <f t="shared" si="102"/>
        <v>3.8</v>
      </c>
      <c r="O161" s="79">
        <f t="shared" si="103"/>
        <v>28.06451612903226</v>
      </c>
      <c r="P161" s="82">
        <f t="shared" si="104"/>
        <v>5.882352941176471</v>
      </c>
    </row>
    <row r="162" spans="1:16" s="127" customFormat="1" ht="24.95" customHeight="1" thickBot="1" x14ac:dyDescent="0.3">
      <c r="A162" s="91" t="s">
        <v>34</v>
      </c>
      <c r="B162" s="114">
        <f>Neonatal!H280</f>
        <v>9</v>
      </c>
      <c r="C162" s="93">
        <v>15</v>
      </c>
      <c r="D162" s="94">
        <f>Neonatal!B314</f>
        <v>60</v>
      </c>
      <c r="E162" s="94">
        <f>Neonatal!C314</f>
        <v>56</v>
      </c>
      <c r="F162" s="94">
        <f>Neonatal!D314</f>
        <v>2</v>
      </c>
      <c r="G162" s="94">
        <f>Neonatal!E314</f>
        <v>0</v>
      </c>
      <c r="H162" s="94">
        <f>Neonatal!H314</f>
        <v>363</v>
      </c>
      <c r="I162" s="94">
        <f>Neonatal!F314</f>
        <v>0</v>
      </c>
      <c r="J162" s="95">
        <f>Neonatal!G314</f>
        <v>1</v>
      </c>
      <c r="K162" s="78">
        <f t="shared" si="99"/>
        <v>11.709677419354838</v>
      </c>
      <c r="L162" s="97">
        <f t="shared" si="100"/>
        <v>6.2586206896551726</v>
      </c>
      <c r="M162" s="80">
        <f t="shared" si="101"/>
        <v>1.7586206896551724</v>
      </c>
      <c r="N162" s="99">
        <f t="shared" si="102"/>
        <v>3.8666666666666667</v>
      </c>
      <c r="O162" s="79">
        <f t="shared" si="103"/>
        <v>78.064516129032256</v>
      </c>
      <c r="P162" s="82">
        <f t="shared" si="104"/>
        <v>3.3333333333333335</v>
      </c>
    </row>
    <row r="163" spans="1:16" ht="16.5" thickBot="1" x14ac:dyDescent="0.3">
      <c r="A163" s="101" t="s">
        <v>35</v>
      </c>
      <c r="B163" s="136">
        <f t="shared" ref="B163:J163" si="105">SUM(B154:B162)</f>
        <v>92</v>
      </c>
      <c r="C163" s="103">
        <f t="shared" si="105"/>
        <v>178</v>
      </c>
      <c r="D163" s="104">
        <f>SUM(D154:D162)</f>
        <v>503</v>
      </c>
      <c r="E163" s="104">
        <f>SUM(E154:E162)</f>
        <v>446</v>
      </c>
      <c r="F163" s="104">
        <f t="shared" si="105"/>
        <v>8</v>
      </c>
      <c r="G163" s="104">
        <f t="shared" si="105"/>
        <v>10</v>
      </c>
      <c r="H163" s="104">
        <f t="shared" si="105"/>
        <v>2847</v>
      </c>
      <c r="I163" s="104">
        <f t="shared" si="105"/>
        <v>99</v>
      </c>
      <c r="J163" s="137">
        <f t="shared" si="105"/>
        <v>165</v>
      </c>
      <c r="K163" s="123">
        <f>H163/31</f>
        <v>91.838709677419359</v>
      </c>
      <c r="L163" s="107">
        <f t="shared" si="100"/>
        <v>6.2709251101321586</v>
      </c>
      <c r="M163" s="108">
        <f>((C163*31)-H163)/(E163+F163)</f>
        <v>5.8832599118942728</v>
      </c>
      <c r="N163" s="124">
        <f t="shared" si="102"/>
        <v>2.5505617977528088</v>
      </c>
      <c r="O163" s="107">
        <f>H163*100/(C163*31)</f>
        <v>51.594780717651325</v>
      </c>
      <c r="P163" s="110">
        <f>F163*100/(D163)</f>
        <v>1.5904572564612327</v>
      </c>
    </row>
    <row r="164" spans="1:16" x14ac:dyDescent="0.25">
      <c r="A164" s="235" t="s">
        <v>196</v>
      </c>
      <c r="B164" s="253">
        <f>B158+B161</f>
        <v>4</v>
      </c>
      <c r="C164" s="253">
        <f t="shared" ref="C164:J164" si="106">C158+C161</f>
        <v>20</v>
      </c>
      <c r="D164" s="253">
        <f t="shared" si="106"/>
        <v>128</v>
      </c>
      <c r="E164" s="253">
        <f t="shared" si="106"/>
        <v>58</v>
      </c>
      <c r="F164" s="253">
        <f t="shared" si="106"/>
        <v>6</v>
      </c>
      <c r="G164" s="253">
        <f t="shared" si="106"/>
        <v>10</v>
      </c>
      <c r="H164" s="253">
        <f t="shared" si="106"/>
        <v>149</v>
      </c>
      <c r="I164" s="253">
        <f>I158+I161</f>
        <v>0</v>
      </c>
      <c r="J164" s="253">
        <f t="shared" si="106"/>
        <v>67</v>
      </c>
      <c r="K164" s="236">
        <f>H164/31</f>
        <v>4.806451612903226</v>
      </c>
      <c r="L164" s="237">
        <f t="shared" si="100"/>
        <v>2.328125</v>
      </c>
      <c r="M164" s="238">
        <f>((C164*31)-H164)/(E164+F164)</f>
        <v>7.359375</v>
      </c>
      <c r="N164" s="239">
        <f t="shared" si="102"/>
        <v>3.2</v>
      </c>
      <c r="O164" s="237">
        <f>H164*100/(C164*31)</f>
        <v>24.032258064516128</v>
      </c>
      <c r="P164" s="240">
        <f>F164*100/(D164)</f>
        <v>4.6875</v>
      </c>
    </row>
    <row r="166" spans="1:16" ht="25.5" x14ac:dyDescent="0.35">
      <c r="A166" s="602" t="s">
        <v>1</v>
      </c>
      <c r="B166" s="602"/>
      <c r="C166" s="602"/>
      <c r="D166" s="602"/>
      <c r="E166" s="602"/>
      <c r="F166" s="602"/>
      <c r="G166" s="602"/>
      <c r="H166" s="602"/>
      <c r="I166" s="602"/>
      <c r="J166" s="602"/>
      <c r="K166" s="602"/>
      <c r="L166" s="602"/>
      <c r="M166" s="602"/>
      <c r="N166" s="602"/>
      <c r="O166" s="602"/>
      <c r="P166" s="602"/>
    </row>
    <row r="167" spans="1:16" ht="26.25" thickBot="1" x14ac:dyDescent="0.4">
      <c r="A167" s="601" t="s">
        <v>635</v>
      </c>
      <c r="B167" s="601"/>
      <c r="C167" s="601"/>
      <c r="D167" s="601"/>
      <c r="E167" s="601"/>
      <c r="F167" s="601"/>
      <c r="G167" s="601"/>
      <c r="H167" s="601"/>
      <c r="I167" s="601"/>
      <c r="J167" s="601"/>
      <c r="K167" s="601"/>
      <c r="L167" s="601"/>
      <c r="M167" s="601"/>
      <c r="N167" s="601"/>
      <c r="O167" s="601"/>
      <c r="P167" s="601"/>
    </row>
    <row r="168" spans="1:16" s="184" customFormat="1" ht="48" customHeight="1" thickBot="1" x14ac:dyDescent="0.25">
      <c r="A168" s="176" t="s">
        <v>20</v>
      </c>
      <c r="B168" s="180" t="s">
        <v>22</v>
      </c>
      <c r="C168" s="178" t="s">
        <v>21</v>
      </c>
      <c r="D168" s="178" t="s">
        <v>9</v>
      </c>
      <c r="E168" s="178" t="s">
        <v>10</v>
      </c>
      <c r="F168" s="178" t="s">
        <v>11</v>
      </c>
      <c r="G168" s="178" t="s">
        <v>80</v>
      </c>
      <c r="H168" s="178" t="s">
        <v>25</v>
      </c>
      <c r="I168" s="178" t="s">
        <v>23</v>
      </c>
      <c r="J168" s="179" t="s">
        <v>24</v>
      </c>
      <c r="K168" s="178" t="s">
        <v>43</v>
      </c>
      <c r="L168" s="178" t="s">
        <v>44</v>
      </c>
      <c r="M168" s="181" t="s">
        <v>45</v>
      </c>
      <c r="N168" s="178" t="s">
        <v>46</v>
      </c>
      <c r="O168" s="178" t="s">
        <v>47</v>
      </c>
      <c r="P168" s="179" t="s">
        <v>48</v>
      </c>
    </row>
    <row r="169" spans="1:16" s="127" customFormat="1" ht="24.95" customHeight="1" x14ac:dyDescent="0.25">
      <c r="A169" s="73" t="s">
        <v>26</v>
      </c>
      <c r="B169" s="112">
        <f>Male!H320</f>
        <v>18</v>
      </c>
      <c r="C169" s="75">
        <v>32</v>
      </c>
      <c r="D169" s="76">
        <f>Male!B353</f>
        <v>0</v>
      </c>
      <c r="E169" s="76">
        <f>Male!C353</f>
        <v>0</v>
      </c>
      <c r="F169" s="76">
        <f>Male!D353</f>
        <v>0</v>
      </c>
      <c r="G169" s="76">
        <f>Male!E353</f>
        <v>0</v>
      </c>
      <c r="H169" s="76">
        <f>Male!H353</f>
        <v>540</v>
      </c>
      <c r="I169" s="76">
        <f>Male!F353</f>
        <v>0</v>
      </c>
      <c r="J169" s="77">
        <f>Male!G353</f>
        <v>0</v>
      </c>
      <c r="K169" s="78">
        <f>H169/30</f>
        <v>18</v>
      </c>
      <c r="L169" s="79" t="e">
        <f>H169/(E169+F169)</f>
        <v>#DIV/0!</v>
      </c>
      <c r="M169" s="80" t="e">
        <f>((C169*30)-H169)/(E169+F169)</f>
        <v>#DIV/0!</v>
      </c>
      <c r="N169" s="81">
        <f>(E169+F169)/C169</f>
        <v>0</v>
      </c>
      <c r="O169" s="79">
        <f>H169*100/(C169*30)</f>
        <v>56.25</v>
      </c>
      <c r="P169" s="82" t="e">
        <f>F169*100/(E169+F169)</f>
        <v>#DIV/0!</v>
      </c>
    </row>
    <row r="170" spans="1:16" s="127" customFormat="1" ht="30" customHeight="1" x14ac:dyDescent="0.25">
      <c r="A170" s="83" t="s">
        <v>27</v>
      </c>
      <c r="B170" s="113">
        <f>Paediatric!H320</f>
        <v>6</v>
      </c>
      <c r="C170" s="85">
        <v>27</v>
      </c>
      <c r="D170" s="86">
        <f>Paediatric!B353</f>
        <v>0</v>
      </c>
      <c r="E170" s="86">
        <f>Paediatric!C353</f>
        <v>0</v>
      </c>
      <c r="F170" s="86">
        <f>Paediatric!D353</f>
        <v>0</v>
      </c>
      <c r="G170" s="86">
        <f>Paediatric!E353</f>
        <v>0</v>
      </c>
      <c r="H170" s="86">
        <f>Paediatric!H353</f>
        <v>180</v>
      </c>
      <c r="I170" s="86">
        <f>Paediatric!F353</f>
        <v>0</v>
      </c>
      <c r="J170" s="87">
        <f>Paediatric!G353</f>
        <v>0</v>
      </c>
      <c r="K170" s="78">
        <f>H170/30</f>
        <v>6</v>
      </c>
      <c r="L170" s="79" t="e">
        <f t="shared" ref="L170:L179" si="107">H170/(E170+F170)</f>
        <v>#DIV/0!</v>
      </c>
      <c r="M170" s="80" t="e">
        <f t="shared" ref="M170:M176" si="108">((C170*30)-H170)/(E170+F170)</f>
        <v>#DIV/0!</v>
      </c>
      <c r="N170" s="81">
        <f t="shared" ref="N170:N179" si="109">(E170+F170)/C170</f>
        <v>0</v>
      </c>
      <c r="O170" s="79">
        <f t="shared" ref="O170:O177" si="110">H170*100/(C170*30)</f>
        <v>22.222222222222221</v>
      </c>
      <c r="P170" s="82" t="e">
        <f t="shared" ref="P170:P178" si="111">F170*100/(E170+F170)</f>
        <v>#DIV/0!</v>
      </c>
    </row>
    <row r="171" spans="1:16" s="127" customFormat="1" ht="36" customHeight="1" x14ac:dyDescent="0.25">
      <c r="A171" s="83" t="s">
        <v>28</v>
      </c>
      <c r="B171" s="113">
        <f>Female!H320</f>
        <v>15</v>
      </c>
      <c r="C171" s="85">
        <v>28</v>
      </c>
      <c r="D171" s="86">
        <f>Female!B353</f>
        <v>0</v>
      </c>
      <c r="E171" s="86">
        <f>Female!C353</f>
        <v>0</v>
      </c>
      <c r="F171" s="86">
        <f>Female!D353</f>
        <v>0</v>
      </c>
      <c r="G171" s="86">
        <f>Female!E353</f>
        <v>0</v>
      </c>
      <c r="H171" s="86">
        <f>Female!H353</f>
        <v>450</v>
      </c>
      <c r="I171" s="86">
        <f>Female!F353</f>
        <v>0</v>
      </c>
      <c r="J171" s="87">
        <f>Female!G353</f>
        <v>0</v>
      </c>
      <c r="K171" s="78">
        <f t="shared" ref="K171:K177" si="112">H171/30</f>
        <v>15</v>
      </c>
      <c r="L171" s="79" t="e">
        <f t="shared" si="107"/>
        <v>#DIV/0!</v>
      </c>
      <c r="M171" s="80" t="e">
        <f t="shared" si="108"/>
        <v>#DIV/0!</v>
      </c>
      <c r="N171" s="81">
        <f t="shared" si="109"/>
        <v>0</v>
      </c>
      <c r="O171" s="79">
        <f t="shared" si="110"/>
        <v>53.571428571428569</v>
      </c>
      <c r="P171" s="82" t="e">
        <f t="shared" si="111"/>
        <v>#DIV/0!</v>
      </c>
    </row>
    <row r="172" spans="1:16" s="127" customFormat="1" ht="30.75" customHeight="1" x14ac:dyDescent="0.25">
      <c r="A172" s="83" t="s">
        <v>29</v>
      </c>
      <c r="B172" s="113">
        <f>'BLK F'!H320</f>
        <v>8</v>
      </c>
      <c r="C172" s="85">
        <v>20</v>
      </c>
      <c r="D172" s="86">
        <f>'BLK F'!B353</f>
        <v>88</v>
      </c>
      <c r="E172" s="86">
        <f>'BLK F'!C353</f>
        <v>82</v>
      </c>
      <c r="F172" s="86">
        <f>'BLK F'!D353</f>
        <v>0</v>
      </c>
      <c r="G172" s="86">
        <f>'BLK F'!E353</f>
        <v>0</v>
      </c>
      <c r="H172" s="86">
        <f>'BLK F'!H353</f>
        <v>356</v>
      </c>
      <c r="I172" s="86">
        <f>'BLK F'!F353</f>
        <v>2</v>
      </c>
      <c r="J172" s="87">
        <f>'BLK F'!G353</f>
        <v>4</v>
      </c>
      <c r="K172" s="78">
        <f t="shared" si="112"/>
        <v>11.866666666666667</v>
      </c>
      <c r="L172" s="79">
        <f t="shared" si="107"/>
        <v>4.3414634146341466</v>
      </c>
      <c r="M172" s="80">
        <f t="shared" si="108"/>
        <v>2.975609756097561</v>
      </c>
      <c r="N172" s="81">
        <f t="shared" si="109"/>
        <v>4.0999999999999996</v>
      </c>
      <c r="O172" s="79">
        <f t="shared" si="110"/>
        <v>59.333333333333336</v>
      </c>
      <c r="P172" s="82">
        <f t="shared" si="111"/>
        <v>0</v>
      </c>
    </row>
    <row r="173" spans="1:16" s="127" customFormat="1" ht="30.75" customHeight="1" x14ac:dyDescent="0.25">
      <c r="A173" s="83" t="s">
        <v>30</v>
      </c>
      <c r="B173" s="113">
        <f>'Male Emergency'!H320</f>
        <v>1</v>
      </c>
      <c r="C173" s="85">
        <v>10</v>
      </c>
      <c r="D173" s="86">
        <f>'Male Emergency'!B353</f>
        <v>57</v>
      </c>
      <c r="E173" s="86">
        <f>'Male Emergency'!C353</f>
        <v>22</v>
      </c>
      <c r="F173" s="86">
        <f>'Male Emergency'!D353</f>
        <v>1</v>
      </c>
      <c r="G173" s="86">
        <f>'Male Emergency'!E353</f>
        <v>6</v>
      </c>
      <c r="H173" s="86">
        <f>'Male Emergency'!H353</f>
        <v>105</v>
      </c>
      <c r="I173" s="86">
        <f>'Male Emergency'!F353</f>
        <v>0</v>
      </c>
      <c r="J173" s="87">
        <f>'Male Emergency'!G353</f>
        <v>30</v>
      </c>
      <c r="K173" s="78">
        <f t="shared" si="112"/>
        <v>3.5</v>
      </c>
      <c r="L173" s="79">
        <f t="shared" si="107"/>
        <v>4.5652173913043477</v>
      </c>
      <c r="M173" s="80">
        <f t="shared" si="108"/>
        <v>8.4782608695652169</v>
      </c>
      <c r="N173" s="81">
        <f t="shared" si="109"/>
        <v>2.2999999999999998</v>
      </c>
      <c r="O173" s="79">
        <f t="shared" si="110"/>
        <v>35</v>
      </c>
      <c r="P173" s="82">
        <f t="shared" si="111"/>
        <v>4.3478260869565215</v>
      </c>
    </row>
    <row r="174" spans="1:16" s="127" customFormat="1" ht="33.75" customHeight="1" x14ac:dyDescent="0.25">
      <c r="A174" s="83" t="s">
        <v>31</v>
      </c>
      <c r="B174" s="113">
        <f>'BLK G'!H320</f>
        <v>6</v>
      </c>
      <c r="C174" s="85">
        <v>14</v>
      </c>
      <c r="D174" s="86">
        <f>'BLK G'!B353</f>
        <v>134</v>
      </c>
      <c r="E174" s="86">
        <f>'BLK G'!C353</f>
        <v>117</v>
      </c>
      <c r="F174" s="86">
        <f>'BLK G'!D353</f>
        <v>0</v>
      </c>
      <c r="G174" s="86">
        <f>'BLK G'!E353</f>
        <v>0</v>
      </c>
      <c r="H174" s="86">
        <f>'BLK G'!H353</f>
        <v>357</v>
      </c>
      <c r="I174" s="86">
        <f>'BLK G'!F353</f>
        <v>31</v>
      </c>
      <c r="J174" s="87">
        <f>'BLK G'!G353</f>
        <v>39</v>
      </c>
      <c r="K174" s="78">
        <f t="shared" si="112"/>
        <v>11.9</v>
      </c>
      <c r="L174" s="79">
        <f t="shared" si="107"/>
        <v>3.0512820512820511</v>
      </c>
      <c r="M174" s="80">
        <f t="shared" si="108"/>
        <v>0.53846153846153844</v>
      </c>
      <c r="N174" s="81">
        <f t="shared" si="109"/>
        <v>8.3571428571428577</v>
      </c>
      <c r="O174" s="79">
        <f t="shared" si="110"/>
        <v>85</v>
      </c>
      <c r="P174" s="82">
        <f t="shared" si="111"/>
        <v>0</v>
      </c>
    </row>
    <row r="175" spans="1:16" s="127" customFormat="1" ht="33" customHeight="1" x14ac:dyDescent="0.25">
      <c r="A175" s="83" t="s">
        <v>32</v>
      </c>
      <c r="B175" s="113">
        <f>'BLK H'!H320</f>
        <v>11</v>
      </c>
      <c r="C175" s="85">
        <v>22</v>
      </c>
      <c r="D175" s="86">
        <f>'BLK H'!B353</f>
        <v>80</v>
      </c>
      <c r="E175" s="86">
        <f>'BLK H'!C353</f>
        <v>91</v>
      </c>
      <c r="F175" s="86">
        <f>'BLK H'!D353</f>
        <v>0</v>
      </c>
      <c r="G175" s="86">
        <f>'BLK H'!E353</f>
        <v>0</v>
      </c>
      <c r="H175" s="86">
        <f>'BLK H'!H353</f>
        <v>396</v>
      </c>
      <c r="I175" s="86">
        <f>'BLK H'!F353</f>
        <v>39</v>
      </c>
      <c r="J175" s="87">
        <f>'BLK H'!G353</f>
        <v>29</v>
      </c>
      <c r="K175" s="78">
        <f t="shared" si="112"/>
        <v>13.2</v>
      </c>
      <c r="L175" s="79">
        <f t="shared" si="107"/>
        <v>4.3516483516483513</v>
      </c>
      <c r="M175" s="80">
        <f t="shared" si="108"/>
        <v>2.901098901098901</v>
      </c>
      <c r="N175" s="81">
        <f t="shared" si="109"/>
        <v>4.1363636363636367</v>
      </c>
      <c r="O175" s="79">
        <f t="shared" si="110"/>
        <v>60</v>
      </c>
      <c r="P175" s="82">
        <f t="shared" si="111"/>
        <v>0</v>
      </c>
    </row>
    <row r="176" spans="1:16" s="127" customFormat="1" ht="30" customHeight="1" x14ac:dyDescent="0.25">
      <c r="A176" s="83" t="s">
        <v>33</v>
      </c>
      <c r="B176" s="113">
        <f>'Female Emergency'!H320</f>
        <v>0</v>
      </c>
      <c r="C176" s="85">
        <v>10</v>
      </c>
      <c r="D176" s="86">
        <f>'Female Emergency'!B353</f>
        <v>51</v>
      </c>
      <c r="E176" s="86">
        <f>'Female Emergency'!C353</f>
        <v>14</v>
      </c>
      <c r="F176" s="86">
        <f>'Female Emergency'!D353</f>
        <v>1</v>
      </c>
      <c r="G176" s="86">
        <f>'Female Emergency'!E353</f>
        <v>3</v>
      </c>
      <c r="H176" s="86">
        <f>'Female Emergency'!H353</f>
        <v>11</v>
      </c>
      <c r="I176" s="86">
        <f>'Female Emergency'!F353</f>
        <v>0</v>
      </c>
      <c r="J176" s="87">
        <f>'Female Emergency'!G353</f>
        <v>36</v>
      </c>
      <c r="K176" s="78">
        <f t="shared" si="112"/>
        <v>0.36666666666666664</v>
      </c>
      <c r="L176" s="79">
        <f t="shared" si="107"/>
        <v>0.73333333333333328</v>
      </c>
      <c r="M176" s="80">
        <f t="shared" si="108"/>
        <v>19.266666666666666</v>
      </c>
      <c r="N176" s="81">
        <f t="shared" si="109"/>
        <v>1.5</v>
      </c>
      <c r="O176" s="79">
        <f t="shared" si="110"/>
        <v>3.6666666666666665</v>
      </c>
      <c r="P176" s="82">
        <f t="shared" si="111"/>
        <v>6.666666666666667</v>
      </c>
    </row>
    <row r="177" spans="1:16" s="127" customFormat="1" ht="31.5" customHeight="1" thickBot="1" x14ac:dyDescent="0.3">
      <c r="A177" s="91" t="s">
        <v>34</v>
      </c>
      <c r="B177" s="114">
        <f>Neonatal!H320</f>
        <v>10</v>
      </c>
      <c r="C177" s="93">
        <v>15</v>
      </c>
      <c r="D177" s="94">
        <f>Neonatal!B353</f>
        <v>43</v>
      </c>
      <c r="E177" s="94">
        <f>Neonatal!C353</f>
        <v>40</v>
      </c>
      <c r="F177" s="94">
        <f>Neonatal!D353</f>
        <v>1</v>
      </c>
      <c r="G177" s="94">
        <f>Neonatal!E353</f>
        <v>0</v>
      </c>
      <c r="H177" s="94">
        <f>Neonatal!H353</f>
        <v>394</v>
      </c>
      <c r="I177" s="94">
        <f>Neonatal!F353</f>
        <v>0</v>
      </c>
      <c r="J177" s="95">
        <f>Neonatal!G353</f>
        <v>0</v>
      </c>
      <c r="K177" s="78">
        <f t="shared" si="112"/>
        <v>13.133333333333333</v>
      </c>
      <c r="L177" s="97">
        <f t="shared" si="107"/>
        <v>9.6097560975609753</v>
      </c>
      <c r="M177" s="80">
        <f>((C177*30)-H177)/(E177+F177)</f>
        <v>1.3658536585365855</v>
      </c>
      <c r="N177" s="99">
        <f t="shared" si="109"/>
        <v>2.7333333333333334</v>
      </c>
      <c r="O177" s="79">
        <f t="shared" si="110"/>
        <v>87.555555555555557</v>
      </c>
      <c r="P177" s="116">
        <f>F177*100/(E177+F177)</f>
        <v>2.4390243902439024</v>
      </c>
    </row>
    <row r="178" spans="1:16" s="127" customFormat="1" ht="21" customHeight="1" thickBot="1" x14ac:dyDescent="0.3">
      <c r="A178" s="117" t="s">
        <v>35</v>
      </c>
      <c r="B178" s="148">
        <f t="shared" ref="B178:J178" si="113">SUM(B169:B177)</f>
        <v>75</v>
      </c>
      <c r="C178" s="119">
        <f t="shared" si="113"/>
        <v>178</v>
      </c>
      <c r="D178" s="119">
        <f t="shared" si="113"/>
        <v>453</v>
      </c>
      <c r="E178" s="120">
        <f t="shared" si="113"/>
        <v>366</v>
      </c>
      <c r="F178" s="120">
        <f t="shared" si="113"/>
        <v>3</v>
      </c>
      <c r="G178" s="120">
        <f t="shared" si="113"/>
        <v>9</v>
      </c>
      <c r="H178" s="120">
        <f t="shared" si="113"/>
        <v>2789</v>
      </c>
      <c r="I178" s="120">
        <f t="shared" si="113"/>
        <v>72</v>
      </c>
      <c r="J178" s="149">
        <f t="shared" si="113"/>
        <v>138</v>
      </c>
      <c r="K178" s="138">
        <f>H178/30</f>
        <v>92.966666666666669</v>
      </c>
      <c r="L178" s="139">
        <f t="shared" si="107"/>
        <v>7.5582655826558263</v>
      </c>
      <c r="M178" s="140">
        <f>((C178*30)-H178)/(E178+F178)</f>
        <v>6.9132791327913283</v>
      </c>
      <c r="N178" s="141">
        <f t="shared" si="109"/>
        <v>2.0730337078651684</v>
      </c>
      <c r="O178" s="139">
        <f>H178*100/(C178*30)</f>
        <v>52.228464419475657</v>
      </c>
      <c r="P178" s="142">
        <f t="shared" si="111"/>
        <v>0.81300813008130079</v>
      </c>
    </row>
    <row r="179" spans="1:16" ht="19.5" customHeight="1" x14ac:dyDescent="0.25">
      <c r="A179" s="235" t="s">
        <v>196</v>
      </c>
      <c r="B179" s="253">
        <f>B173+B176</f>
        <v>1</v>
      </c>
      <c r="C179" s="253">
        <f t="shared" ref="C179:J179" si="114">C173+C176</f>
        <v>20</v>
      </c>
      <c r="D179" s="253">
        <f t="shared" si="114"/>
        <v>108</v>
      </c>
      <c r="E179" s="253">
        <f t="shared" si="114"/>
        <v>36</v>
      </c>
      <c r="F179" s="253">
        <f t="shared" si="114"/>
        <v>2</v>
      </c>
      <c r="G179" s="253">
        <f t="shared" si="114"/>
        <v>9</v>
      </c>
      <c r="H179" s="253">
        <f t="shared" si="114"/>
        <v>116</v>
      </c>
      <c r="I179" s="253">
        <f>I173+I176</f>
        <v>0</v>
      </c>
      <c r="J179" s="253">
        <f t="shared" si="114"/>
        <v>66</v>
      </c>
      <c r="K179" s="236">
        <f>H179/30</f>
        <v>3.8666666666666667</v>
      </c>
      <c r="L179" s="237">
        <f t="shared" si="107"/>
        <v>3.0526315789473686</v>
      </c>
      <c r="M179" s="238">
        <f>((C179*30)-H179)/(E179+F179)</f>
        <v>12.736842105263158</v>
      </c>
      <c r="N179" s="239">
        <f t="shared" si="109"/>
        <v>1.9</v>
      </c>
      <c r="O179" s="237">
        <f>H179*100/(C179*30)</f>
        <v>19.333333333333332</v>
      </c>
      <c r="P179" s="240">
        <f>F179*100/(D179)</f>
        <v>1.8518518518518519</v>
      </c>
    </row>
    <row r="181" spans="1:16" ht="25.5" x14ac:dyDescent="0.35">
      <c r="A181" s="602" t="s">
        <v>1</v>
      </c>
      <c r="B181" s="602"/>
      <c r="C181" s="602"/>
      <c r="D181" s="602"/>
      <c r="E181" s="602"/>
      <c r="F181" s="602"/>
      <c r="G181" s="602"/>
      <c r="H181" s="602"/>
      <c r="I181" s="602"/>
      <c r="J181" s="602"/>
      <c r="K181" s="602"/>
      <c r="L181" s="602"/>
      <c r="M181" s="602"/>
      <c r="N181" s="602"/>
      <c r="O181" s="602"/>
      <c r="P181" s="602"/>
    </row>
    <row r="182" spans="1:16" ht="26.25" thickBot="1" x14ac:dyDescent="0.4">
      <c r="A182" s="601" t="s">
        <v>1222</v>
      </c>
      <c r="B182" s="601"/>
      <c r="C182" s="601"/>
      <c r="D182" s="601"/>
      <c r="E182" s="601"/>
      <c r="F182" s="601"/>
      <c r="G182" s="601"/>
      <c r="H182" s="601"/>
      <c r="I182" s="601"/>
      <c r="J182" s="601"/>
      <c r="K182" s="601"/>
      <c r="L182" s="601"/>
      <c r="M182" s="601"/>
      <c r="N182" s="601"/>
      <c r="O182" s="601"/>
      <c r="P182" s="601"/>
    </row>
    <row r="183" spans="1:16" s="184" customFormat="1" ht="34.5" thickBot="1" x14ac:dyDescent="0.25">
      <c r="A183" s="176" t="s">
        <v>20</v>
      </c>
      <c r="B183" s="177" t="s">
        <v>193</v>
      </c>
      <c r="C183" s="178" t="s">
        <v>21</v>
      </c>
      <c r="D183" s="178" t="s">
        <v>9</v>
      </c>
      <c r="E183" s="178" t="s">
        <v>10</v>
      </c>
      <c r="F183" s="178" t="s">
        <v>11</v>
      </c>
      <c r="G183" s="178" t="s">
        <v>80</v>
      </c>
      <c r="H183" s="178" t="s">
        <v>25</v>
      </c>
      <c r="I183" s="178" t="s">
        <v>23</v>
      </c>
      <c r="J183" s="179" t="s">
        <v>24</v>
      </c>
      <c r="K183" s="180" t="s">
        <v>43</v>
      </c>
      <c r="L183" s="178" t="s">
        <v>44</v>
      </c>
      <c r="M183" s="181" t="s">
        <v>45</v>
      </c>
      <c r="N183" s="178" t="s">
        <v>46</v>
      </c>
      <c r="O183" s="178" t="s">
        <v>47</v>
      </c>
      <c r="P183" s="179" t="s">
        <v>48</v>
      </c>
    </row>
    <row r="184" spans="1:16" s="127" customFormat="1" ht="24.95" customHeight="1" x14ac:dyDescent="0.25">
      <c r="A184" s="73" t="s">
        <v>26</v>
      </c>
      <c r="B184" s="74">
        <f>B139</f>
        <v>18</v>
      </c>
      <c r="C184" s="75">
        <v>32</v>
      </c>
      <c r="D184" s="76">
        <f t="shared" ref="D184:J184" si="115">D139+D154+D169</f>
        <v>0</v>
      </c>
      <c r="E184" s="76">
        <f t="shared" si="115"/>
        <v>0</v>
      </c>
      <c r="F184" s="76">
        <f t="shared" si="115"/>
        <v>0</v>
      </c>
      <c r="G184" s="76">
        <f t="shared" ref="G184:G192" si="116">G139+G154+G169</f>
        <v>0</v>
      </c>
      <c r="H184" s="76">
        <f t="shared" si="115"/>
        <v>1656</v>
      </c>
      <c r="I184" s="76">
        <f t="shared" si="115"/>
        <v>0</v>
      </c>
      <c r="J184" s="77">
        <f t="shared" si="115"/>
        <v>0</v>
      </c>
      <c r="K184" s="78">
        <f>H184/92</f>
        <v>18</v>
      </c>
      <c r="L184" s="79" t="e">
        <f>H184/(E184+F184)</f>
        <v>#DIV/0!</v>
      </c>
      <c r="M184" s="80" t="e">
        <f>((C184*92)-H184)/(E184+F184)</f>
        <v>#DIV/0!</v>
      </c>
      <c r="N184" s="81">
        <f>(E184+F184)/C184</f>
        <v>0</v>
      </c>
      <c r="O184" s="79">
        <f>H184*100/(C184*92)</f>
        <v>56.25</v>
      </c>
      <c r="P184" s="82" t="e">
        <f>F184*100/(E184+F184)</f>
        <v>#DIV/0!</v>
      </c>
    </row>
    <row r="185" spans="1:16" s="127" customFormat="1" ht="24.95" customHeight="1" x14ac:dyDescent="0.25">
      <c r="A185" s="83" t="s">
        <v>27</v>
      </c>
      <c r="B185" s="74">
        <f t="shared" ref="B185:B192" si="117">B140</f>
        <v>6</v>
      </c>
      <c r="C185" s="85">
        <v>27</v>
      </c>
      <c r="D185" s="76">
        <f t="shared" ref="D185:J192" si="118">D140+D155+D170</f>
        <v>0</v>
      </c>
      <c r="E185" s="76">
        <f t="shared" si="118"/>
        <v>0</v>
      </c>
      <c r="F185" s="76">
        <f t="shared" si="118"/>
        <v>0</v>
      </c>
      <c r="G185" s="76">
        <f t="shared" si="116"/>
        <v>0</v>
      </c>
      <c r="H185" s="76">
        <f t="shared" si="118"/>
        <v>552</v>
      </c>
      <c r="I185" s="76">
        <f t="shared" si="118"/>
        <v>0</v>
      </c>
      <c r="J185" s="77">
        <f t="shared" si="118"/>
        <v>0</v>
      </c>
      <c r="K185" s="78">
        <f t="shared" ref="K185:K192" si="119">H185/92</f>
        <v>6</v>
      </c>
      <c r="L185" s="79" t="e">
        <f t="shared" ref="L185:L194" si="120">H185/(E185+F185)</f>
        <v>#DIV/0!</v>
      </c>
      <c r="M185" s="80" t="e">
        <f t="shared" ref="M185:M192" si="121">((C185*92)-H185)/(E185+F185)</f>
        <v>#DIV/0!</v>
      </c>
      <c r="N185" s="81">
        <f t="shared" ref="N185:N194" si="122">(E185+F185)/C185</f>
        <v>0</v>
      </c>
      <c r="O185" s="79">
        <f t="shared" ref="O185:O192" si="123">H185*100/(C185*92)</f>
        <v>22.222222222222221</v>
      </c>
      <c r="P185" s="82" t="e">
        <f t="shared" ref="P185:P193" si="124">F185*100/(E185+F185)</f>
        <v>#DIV/0!</v>
      </c>
    </row>
    <row r="186" spans="1:16" s="127" customFormat="1" ht="24.95" customHeight="1" x14ac:dyDescent="0.25">
      <c r="A186" s="83" t="s">
        <v>28</v>
      </c>
      <c r="B186" s="74">
        <f t="shared" si="117"/>
        <v>15</v>
      </c>
      <c r="C186" s="85">
        <v>28</v>
      </c>
      <c r="D186" s="76">
        <f t="shared" si="118"/>
        <v>0</v>
      </c>
      <c r="E186" s="76">
        <f t="shared" si="118"/>
        <v>0</v>
      </c>
      <c r="F186" s="76">
        <f t="shared" si="118"/>
        <v>0</v>
      </c>
      <c r="G186" s="76">
        <f t="shared" si="116"/>
        <v>0</v>
      </c>
      <c r="H186" s="76">
        <f t="shared" si="118"/>
        <v>1380</v>
      </c>
      <c r="I186" s="76">
        <f t="shared" si="118"/>
        <v>0</v>
      </c>
      <c r="J186" s="77">
        <f t="shared" si="118"/>
        <v>0</v>
      </c>
      <c r="K186" s="78">
        <f t="shared" si="119"/>
        <v>15</v>
      </c>
      <c r="L186" s="79" t="e">
        <f t="shared" si="120"/>
        <v>#DIV/0!</v>
      </c>
      <c r="M186" s="80" t="e">
        <f t="shared" si="121"/>
        <v>#DIV/0!</v>
      </c>
      <c r="N186" s="81">
        <f t="shared" si="122"/>
        <v>0</v>
      </c>
      <c r="O186" s="79">
        <f t="shared" si="123"/>
        <v>53.571428571428569</v>
      </c>
      <c r="P186" s="82" t="e">
        <f t="shared" si="124"/>
        <v>#DIV/0!</v>
      </c>
    </row>
    <row r="187" spans="1:16" s="127" customFormat="1" ht="24.95" customHeight="1" x14ac:dyDescent="0.25">
      <c r="A187" s="83" t="s">
        <v>29</v>
      </c>
      <c r="B187" s="74">
        <f t="shared" si="117"/>
        <v>10</v>
      </c>
      <c r="C187" s="85">
        <v>20</v>
      </c>
      <c r="D187" s="76">
        <f t="shared" si="118"/>
        <v>298</v>
      </c>
      <c r="E187" s="76">
        <f t="shared" si="118"/>
        <v>290</v>
      </c>
      <c r="F187" s="76">
        <f t="shared" si="118"/>
        <v>0</v>
      </c>
      <c r="G187" s="76">
        <f t="shared" si="116"/>
        <v>0</v>
      </c>
      <c r="H187" s="76">
        <f t="shared" si="118"/>
        <v>1069</v>
      </c>
      <c r="I187" s="76">
        <f t="shared" si="118"/>
        <v>6</v>
      </c>
      <c r="J187" s="77">
        <f t="shared" si="118"/>
        <v>12</v>
      </c>
      <c r="K187" s="78">
        <f t="shared" si="119"/>
        <v>11.619565217391305</v>
      </c>
      <c r="L187" s="79">
        <f t="shared" si="120"/>
        <v>3.6862068965517243</v>
      </c>
      <c r="M187" s="80">
        <f t="shared" si="121"/>
        <v>2.6586206896551725</v>
      </c>
      <c r="N187" s="81">
        <f t="shared" si="122"/>
        <v>14.5</v>
      </c>
      <c r="O187" s="79">
        <f t="shared" si="123"/>
        <v>58.097826086956523</v>
      </c>
      <c r="P187" s="82">
        <f t="shared" si="124"/>
        <v>0</v>
      </c>
    </row>
    <row r="188" spans="1:16" s="127" customFormat="1" ht="24.95" customHeight="1" x14ac:dyDescent="0.25">
      <c r="A188" s="83" t="s">
        <v>30</v>
      </c>
      <c r="B188" s="74">
        <f t="shared" si="117"/>
        <v>2</v>
      </c>
      <c r="C188" s="85">
        <v>10</v>
      </c>
      <c r="D188" s="76">
        <f t="shared" si="118"/>
        <v>199</v>
      </c>
      <c r="E188" s="76">
        <f t="shared" si="118"/>
        <v>83</v>
      </c>
      <c r="F188" s="76">
        <f t="shared" si="118"/>
        <v>4</v>
      </c>
      <c r="G188" s="76">
        <f t="shared" si="116"/>
        <v>12</v>
      </c>
      <c r="H188" s="76">
        <f t="shared" si="118"/>
        <v>287</v>
      </c>
      <c r="I188" s="76">
        <f t="shared" si="118"/>
        <v>0</v>
      </c>
      <c r="J188" s="77">
        <f t="shared" si="118"/>
        <v>109</v>
      </c>
      <c r="K188" s="78">
        <f t="shared" si="119"/>
        <v>3.1195652173913042</v>
      </c>
      <c r="L188" s="79">
        <f t="shared" si="120"/>
        <v>3.2988505747126435</v>
      </c>
      <c r="M188" s="80">
        <f t="shared" si="121"/>
        <v>7.2758620689655169</v>
      </c>
      <c r="N188" s="81">
        <f t="shared" si="122"/>
        <v>8.6999999999999993</v>
      </c>
      <c r="O188" s="79">
        <f t="shared" si="123"/>
        <v>31.195652173913043</v>
      </c>
      <c r="P188" s="82">
        <f t="shared" si="124"/>
        <v>4.5977011494252871</v>
      </c>
    </row>
    <row r="189" spans="1:16" s="127" customFormat="1" ht="24.95" customHeight="1" x14ac:dyDescent="0.25">
      <c r="A189" s="83" t="s">
        <v>31</v>
      </c>
      <c r="B189" s="74">
        <f t="shared" si="117"/>
        <v>3</v>
      </c>
      <c r="C189" s="85">
        <v>14</v>
      </c>
      <c r="D189" s="76">
        <f t="shared" si="118"/>
        <v>395</v>
      </c>
      <c r="E189" s="76">
        <f t="shared" si="118"/>
        <v>328</v>
      </c>
      <c r="F189" s="76">
        <f t="shared" si="118"/>
        <v>0</v>
      </c>
      <c r="G189" s="76">
        <f t="shared" si="116"/>
        <v>0</v>
      </c>
      <c r="H189" s="76">
        <f t="shared" si="118"/>
        <v>891</v>
      </c>
      <c r="I189" s="76">
        <f t="shared" si="118"/>
        <v>89</v>
      </c>
      <c r="J189" s="77">
        <f t="shared" si="118"/>
        <v>144</v>
      </c>
      <c r="K189" s="78">
        <f t="shared" si="119"/>
        <v>9.6847826086956523</v>
      </c>
      <c r="L189" s="79">
        <f t="shared" si="120"/>
        <v>2.7164634146341462</v>
      </c>
      <c r="M189" s="80">
        <f t="shared" si="121"/>
        <v>1.2103658536585367</v>
      </c>
      <c r="N189" s="81">
        <f t="shared" si="122"/>
        <v>23.428571428571427</v>
      </c>
      <c r="O189" s="79">
        <f t="shared" si="123"/>
        <v>69.177018633540371</v>
      </c>
      <c r="P189" s="82">
        <f t="shared" si="124"/>
        <v>0</v>
      </c>
    </row>
    <row r="190" spans="1:16" s="127" customFormat="1" ht="24.95" customHeight="1" x14ac:dyDescent="0.25">
      <c r="A190" s="83" t="s">
        <v>32</v>
      </c>
      <c r="B190" s="74">
        <f t="shared" si="117"/>
        <v>10</v>
      </c>
      <c r="C190" s="85">
        <v>22</v>
      </c>
      <c r="D190" s="76">
        <f t="shared" si="118"/>
        <v>246</v>
      </c>
      <c r="E190" s="76">
        <f t="shared" si="118"/>
        <v>309</v>
      </c>
      <c r="F190" s="76">
        <f t="shared" si="118"/>
        <v>0</v>
      </c>
      <c r="G190" s="76">
        <f t="shared" si="116"/>
        <v>0</v>
      </c>
      <c r="H190" s="76">
        <f t="shared" si="118"/>
        <v>1298</v>
      </c>
      <c r="I190" s="76">
        <f t="shared" si="118"/>
        <v>150</v>
      </c>
      <c r="J190" s="77">
        <f t="shared" si="118"/>
        <v>87</v>
      </c>
      <c r="K190" s="78">
        <f t="shared" si="119"/>
        <v>14.108695652173912</v>
      </c>
      <c r="L190" s="79">
        <f t="shared" si="120"/>
        <v>4.2006472491909381</v>
      </c>
      <c r="M190" s="80">
        <f t="shared" si="121"/>
        <v>2.349514563106796</v>
      </c>
      <c r="N190" s="81">
        <f t="shared" si="122"/>
        <v>14.045454545454545</v>
      </c>
      <c r="O190" s="79">
        <f t="shared" si="123"/>
        <v>64.130434782608702</v>
      </c>
      <c r="P190" s="82">
        <f t="shared" si="124"/>
        <v>0</v>
      </c>
    </row>
    <row r="191" spans="1:16" s="127" customFormat="1" ht="24.95" customHeight="1" x14ac:dyDescent="0.25">
      <c r="A191" s="83" t="s">
        <v>33</v>
      </c>
      <c r="B191" s="74">
        <f t="shared" si="117"/>
        <v>1</v>
      </c>
      <c r="C191" s="85">
        <v>10</v>
      </c>
      <c r="D191" s="76">
        <f t="shared" si="118"/>
        <v>185</v>
      </c>
      <c r="E191" s="76">
        <f t="shared" si="118"/>
        <v>69</v>
      </c>
      <c r="F191" s="76">
        <f t="shared" si="118"/>
        <v>8</v>
      </c>
      <c r="G191" s="76">
        <f t="shared" si="116"/>
        <v>15</v>
      </c>
      <c r="H191" s="76">
        <f t="shared" si="118"/>
        <v>202</v>
      </c>
      <c r="I191" s="76">
        <f t="shared" si="118"/>
        <v>0</v>
      </c>
      <c r="J191" s="77">
        <f t="shared" si="118"/>
        <v>109</v>
      </c>
      <c r="K191" s="78">
        <f t="shared" si="119"/>
        <v>2.1956521739130435</v>
      </c>
      <c r="L191" s="79">
        <f t="shared" si="120"/>
        <v>2.6233766233766236</v>
      </c>
      <c r="M191" s="80">
        <f t="shared" si="121"/>
        <v>9.324675324675324</v>
      </c>
      <c r="N191" s="81">
        <f t="shared" si="122"/>
        <v>7.7</v>
      </c>
      <c r="O191" s="79">
        <f t="shared" si="123"/>
        <v>21.956521739130434</v>
      </c>
      <c r="P191" s="82">
        <f t="shared" si="124"/>
        <v>10.38961038961039</v>
      </c>
    </row>
    <row r="192" spans="1:16" s="127" customFormat="1" ht="24.95" customHeight="1" thickBot="1" x14ac:dyDescent="0.3">
      <c r="A192" s="91" t="s">
        <v>34</v>
      </c>
      <c r="B192" s="74">
        <f t="shared" si="117"/>
        <v>8</v>
      </c>
      <c r="C192" s="93">
        <v>15</v>
      </c>
      <c r="D192" s="76">
        <f t="shared" si="118"/>
        <v>163</v>
      </c>
      <c r="E192" s="76">
        <f t="shared" si="118"/>
        <v>153</v>
      </c>
      <c r="F192" s="76">
        <f t="shared" si="118"/>
        <v>5</v>
      </c>
      <c r="G192" s="76">
        <f t="shared" si="116"/>
        <v>0</v>
      </c>
      <c r="H192" s="76">
        <f t="shared" si="118"/>
        <v>1200</v>
      </c>
      <c r="I192" s="76">
        <f t="shared" si="118"/>
        <v>0</v>
      </c>
      <c r="J192" s="77">
        <f t="shared" si="118"/>
        <v>1</v>
      </c>
      <c r="K192" s="78">
        <f t="shared" si="119"/>
        <v>13.043478260869565</v>
      </c>
      <c r="L192" s="97">
        <f t="shared" si="120"/>
        <v>7.5949367088607591</v>
      </c>
      <c r="M192" s="80">
        <f t="shared" si="121"/>
        <v>1.139240506329114</v>
      </c>
      <c r="N192" s="99">
        <f t="shared" si="122"/>
        <v>10.533333333333333</v>
      </c>
      <c r="O192" s="79">
        <f t="shared" si="123"/>
        <v>86.956521739130437</v>
      </c>
      <c r="P192" s="116">
        <f t="shared" si="124"/>
        <v>3.1645569620253164</v>
      </c>
    </row>
    <row r="193" spans="1:19" ht="16.5" thickBot="1" x14ac:dyDescent="0.3">
      <c r="A193" s="101" t="s">
        <v>35</v>
      </c>
      <c r="B193" s="102">
        <f t="shared" ref="B193:J193" si="125">SUM(B184:B192)</f>
        <v>73</v>
      </c>
      <c r="C193" s="103">
        <f t="shared" si="125"/>
        <v>178</v>
      </c>
      <c r="D193" s="104">
        <f t="shared" si="125"/>
        <v>1486</v>
      </c>
      <c r="E193" s="104">
        <f t="shared" si="125"/>
        <v>1232</v>
      </c>
      <c r="F193" s="104">
        <f t="shared" si="125"/>
        <v>17</v>
      </c>
      <c r="G193" s="104">
        <f t="shared" si="125"/>
        <v>27</v>
      </c>
      <c r="H193" s="104">
        <f t="shared" si="125"/>
        <v>8535</v>
      </c>
      <c r="I193" s="104">
        <f t="shared" si="125"/>
        <v>245</v>
      </c>
      <c r="J193" s="137">
        <f t="shared" si="125"/>
        <v>462</v>
      </c>
      <c r="K193" s="138">
        <f>H193/92</f>
        <v>92.771739130434781</v>
      </c>
      <c r="L193" s="139">
        <f t="shared" si="120"/>
        <v>6.8334667734187349</v>
      </c>
      <c r="M193" s="140">
        <f>((C193*92)-H193)/(E193+F193)</f>
        <v>6.2778222578062453</v>
      </c>
      <c r="N193" s="141">
        <f t="shared" si="122"/>
        <v>7.0168539325842696</v>
      </c>
      <c r="O193" s="139">
        <f>H193*100/(C193*92)</f>
        <v>52.118954567659991</v>
      </c>
      <c r="P193" s="142">
        <f t="shared" si="124"/>
        <v>1.3610888710968776</v>
      </c>
    </row>
    <row r="194" spans="1:19" x14ac:dyDescent="0.25">
      <c r="A194" s="235" t="s">
        <v>196</v>
      </c>
      <c r="B194" s="253">
        <f>B188+B191</f>
        <v>3</v>
      </c>
      <c r="C194" s="253">
        <f t="shared" ref="C194:J194" si="126">C188+C191</f>
        <v>20</v>
      </c>
      <c r="D194" s="253">
        <f t="shared" si="126"/>
        <v>384</v>
      </c>
      <c r="E194" s="253">
        <f t="shared" si="126"/>
        <v>152</v>
      </c>
      <c r="F194" s="253">
        <f t="shared" si="126"/>
        <v>12</v>
      </c>
      <c r="G194" s="253">
        <f t="shared" si="126"/>
        <v>27</v>
      </c>
      <c r="H194" s="253">
        <f t="shared" si="126"/>
        <v>489</v>
      </c>
      <c r="I194" s="253">
        <f>I188+I191</f>
        <v>0</v>
      </c>
      <c r="J194" s="253">
        <f t="shared" si="126"/>
        <v>218</v>
      </c>
      <c r="K194" s="236">
        <f>H194/92</f>
        <v>5.3152173913043477</v>
      </c>
      <c r="L194" s="237">
        <f t="shared" si="120"/>
        <v>2.9817073170731709</v>
      </c>
      <c r="M194" s="238">
        <f>((C194*92)-H194)/(E194+F194)</f>
        <v>8.2378048780487809</v>
      </c>
      <c r="N194" s="239">
        <f t="shared" si="122"/>
        <v>8.1999999999999993</v>
      </c>
      <c r="O194" s="237">
        <f>H194*100/(C194*92)</f>
        <v>26.576086956521738</v>
      </c>
      <c r="P194" s="240">
        <f>F194*100/(D194)</f>
        <v>3.125</v>
      </c>
    </row>
    <row r="196" spans="1:19" ht="25.5" x14ac:dyDescent="0.35">
      <c r="A196" s="602" t="s">
        <v>1</v>
      </c>
      <c r="B196" s="602"/>
      <c r="C196" s="602"/>
      <c r="D196" s="602"/>
      <c r="E196" s="602"/>
      <c r="F196" s="602"/>
      <c r="G196" s="602"/>
      <c r="H196" s="602"/>
      <c r="I196" s="602"/>
      <c r="J196" s="602"/>
      <c r="K196" s="602"/>
      <c r="L196" s="602"/>
      <c r="M196" s="602"/>
      <c r="N196" s="602"/>
      <c r="O196" s="602"/>
      <c r="P196" s="602"/>
    </row>
    <row r="197" spans="1:19" ht="26.25" thickBot="1" x14ac:dyDescent="0.4">
      <c r="A197" s="601" t="s">
        <v>636</v>
      </c>
      <c r="B197" s="601"/>
      <c r="C197" s="601"/>
      <c r="D197" s="601"/>
      <c r="E197" s="601"/>
      <c r="F197" s="601"/>
      <c r="G197" s="601"/>
      <c r="H197" s="601"/>
      <c r="I197" s="601"/>
      <c r="J197" s="601"/>
      <c r="K197" s="601"/>
      <c r="L197" s="601"/>
      <c r="M197" s="601"/>
      <c r="N197" s="601"/>
      <c r="O197" s="601"/>
      <c r="P197" s="601"/>
    </row>
    <row r="198" spans="1:19" s="184" customFormat="1" ht="34.5" thickBot="1" x14ac:dyDescent="0.25">
      <c r="A198" s="176" t="s">
        <v>20</v>
      </c>
      <c r="B198" s="180" t="s">
        <v>22</v>
      </c>
      <c r="C198" s="178" t="s">
        <v>21</v>
      </c>
      <c r="D198" s="178" t="s">
        <v>9</v>
      </c>
      <c r="E198" s="178" t="s">
        <v>10</v>
      </c>
      <c r="F198" s="178" t="s">
        <v>11</v>
      </c>
      <c r="G198" s="178" t="s">
        <v>80</v>
      </c>
      <c r="H198" s="178" t="s">
        <v>25</v>
      </c>
      <c r="I198" s="178" t="s">
        <v>23</v>
      </c>
      <c r="J198" s="179" t="s">
        <v>24</v>
      </c>
      <c r="K198" s="178" t="s">
        <v>43</v>
      </c>
      <c r="L198" s="178" t="s">
        <v>44</v>
      </c>
      <c r="M198" s="181" t="s">
        <v>45</v>
      </c>
      <c r="N198" s="178" t="s">
        <v>46</v>
      </c>
      <c r="O198" s="178" t="s">
        <v>47</v>
      </c>
      <c r="P198" s="179" t="s">
        <v>48</v>
      </c>
    </row>
    <row r="199" spans="1:19" s="127" customFormat="1" ht="24.95" customHeight="1" x14ac:dyDescent="0.25">
      <c r="A199" s="73" t="s">
        <v>26</v>
      </c>
      <c r="B199" s="112">
        <f>Male!H352</f>
        <v>18</v>
      </c>
      <c r="C199" s="75">
        <v>32</v>
      </c>
      <c r="D199" s="76">
        <f>Male!B393</f>
        <v>0</v>
      </c>
      <c r="E199" s="76">
        <f>Male!C393</f>
        <v>0</v>
      </c>
      <c r="F199" s="76">
        <f>Male!D393</f>
        <v>0</v>
      </c>
      <c r="G199" s="76">
        <f>Male!E393</f>
        <v>0</v>
      </c>
      <c r="H199" s="76">
        <f>Male!H393</f>
        <v>558</v>
      </c>
      <c r="I199" s="76">
        <f>Male!F393</f>
        <v>0</v>
      </c>
      <c r="J199" s="77">
        <f>Male!G393</f>
        <v>0</v>
      </c>
      <c r="K199" s="78">
        <f>H199/31</f>
        <v>18</v>
      </c>
      <c r="L199" s="79" t="e">
        <f>H199/(E199+F199)</f>
        <v>#DIV/0!</v>
      </c>
      <c r="M199" s="80" t="e">
        <f>((C199*31)-H199)/(E199+F199)</f>
        <v>#DIV/0!</v>
      </c>
      <c r="N199" s="81">
        <f>(E199+F199)/C199</f>
        <v>0</v>
      </c>
      <c r="O199" s="79">
        <f>H199*100/(C199*31)</f>
        <v>56.25</v>
      </c>
      <c r="P199" s="82" t="e">
        <f>F199*100/(D199)</f>
        <v>#DIV/0!</v>
      </c>
      <c r="R199" s="204"/>
    </row>
    <row r="200" spans="1:19" s="127" customFormat="1" ht="24.95" customHeight="1" x14ac:dyDescent="0.25">
      <c r="A200" s="83" t="s">
        <v>27</v>
      </c>
      <c r="B200" s="113">
        <f>Paediatric!H352</f>
        <v>6</v>
      </c>
      <c r="C200" s="85">
        <v>27</v>
      </c>
      <c r="D200" s="86">
        <f>Paediatric!B393</f>
        <v>0</v>
      </c>
      <c r="E200" s="86">
        <f>Paediatric!C393</f>
        <v>0</v>
      </c>
      <c r="F200" s="86">
        <f>Paediatric!D393</f>
        <v>0</v>
      </c>
      <c r="G200" s="86">
        <f>Paediatric!E393</f>
        <v>0</v>
      </c>
      <c r="H200" s="86">
        <f>Paediatric!H393</f>
        <v>186</v>
      </c>
      <c r="I200" s="86">
        <f>Paediatric!F393</f>
        <v>0</v>
      </c>
      <c r="J200" s="87">
        <f>Paediatric!G393</f>
        <v>0</v>
      </c>
      <c r="K200" s="78">
        <f t="shared" ref="K200:K207" si="127">H200/31</f>
        <v>6</v>
      </c>
      <c r="L200" s="79" t="e">
        <f t="shared" ref="L200:L209" si="128">H200/(E200+F200)</f>
        <v>#DIV/0!</v>
      </c>
      <c r="M200" s="80" t="e">
        <f t="shared" ref="M200:M207" si="129">((C200*31)-H200)/(E200+F200)</f>
        <v>#DIV/0!</v>
      </c>
      <c r="N200" s="81">
        <f t="shared" ref="N200:N207" si="130">(E200+F200)/C200</f>
        <v>0</v>
      </c>
      <c r="O200" s="79">
        <f t="shared" ref="O200:O207" si="131">H200*100/(C200*31)</f>
        <v>22.222222222222221</v>
      </c>
      <c r="P200" s="82" t="e">
        <f t="shared" ref="P200:P208" si="132">F200*100/(D200)</f>
        <v>#DIV/0!</v>
      </c>
    </row>
    <row r="201" spans="1:19" s="127" customFormat="1" ht="24.95" customHeight="1" x14ac:dyDescent="0.25">
      <c r="A201" s="83" t="s">
        <v>28</v>
      </c>
      <c r="B201" s="113">
        <f>Female!H352</f>
        <v>15</v>
      </c>
      <c r="C201" s="85">
        <v>28</v>
      </c>
      <c r="D201" s="86">
        <f>Female!B393</f>
        <v>0</v>
      </c>
      <c r="E201" s="86">
        <f>Female!C393</f>
        <v>0</v>
      </c>
      <c r="F201" s="86">
        <f>Female!D393</f>
        <v>0</v>
      </c>
      <c r="G201" s="86">
        <f>Female!E393</f>
        <v>0</v>
      </c>
      <c r="H201" s="86">
        <f>Female!H393</f>
        <v>465</v>
      </c>
      <c r="I201" s="86">
        <f>Female!F393</f>
        <v>0</v>
      </c>
      <c r="J201" s="87">
        <f>Female!G393</f>
        <v>0</v>
      </c>
      <c r="K201" s="78">
        <f t="shared" si="127"/>
        <v>15</v>
      </c>
      <c r="L201" s="79" t="e">
        <f t="shared" si="128"/>
        <v>#DIV/0!</v>
      </c>
      <c r="M201" s="80" t="e">
        <f t="shared" si="129"/>
        <v>#DIV/0!</v>
      </c>
      <c r="N201" s="81">
        <f t="shared" si="130"/>
        <v>0</v>
      </c>
      <c r="O201" s="79">
        <f t="shared" si="131"/>
        <v>53.571428571428569</v>
      </c>
      <c r="P201" s="82" t="e">
        <f t="shared" si="132"/>
        <v>#DIV/0!</v>
      </c>
    </row>
    <row r="202" spans="1:19" s="127" customFormat="1" ht="24.95" customHeight="1" x14ac:dyDescent="0.25">
      <c r="A202" s="83" t="s">
        <v>29</v>
      </c>
      <c r="B202" s="113">
        <f>'BLK F'!H352</f>
        <v>12</v>
      </c>
      <c r="C202" s="85">
        <v>20</v>
      </c>
      <c r="D202" s="86">
        <f>'BLK F'!B393</f>
        <v>102</v>
      </c>
      <c r="E202" s="86">
        <f>'BLK F'!C393</f>
        <v>103</v>
      </c>
      <c r="F202" s="86">
        <f>'BLK F'!D393</f>
        <v>0</v>
      </c>
      <c r="G202" s="86">
        <f>'BLK F'!E393</f>
        <v>0</v>
      </c>
      <c r="H202" s="86">
        <f>'BLK F'!H393</f>
        <v>344</v>
      </c>
      <c r="I202" s="86">
        <f>'BLK F'!F393</f>
        <v>1</v>
      </c>
      <c r="J202" s="87">
        <f>'BLK F'!G393</f>
        <v>2</v>
      </c>
      <c r="K202" s="78">
        <f t="shared" si="127"/>
        <v>11.096774193548388</v>
      </c>
      <c r="L202" s="79">
        <f t="shared" si="128"/>
        <v>3.3398058252427183</v>
      </c>
      <c r="M202" s="80">
        <f t="shared" si="129"/>
        <v>2.679611650485437</v>
      </c>
      <c r="N202" s="81">
        <f t="shared" si="130"/>
        <v>5.15</v>
      </c>
      <c r="O202" s="79">
        <f t="shared" si="131"/>
        <v>55.483870967741936</v>
      </c>
      <c r="P202" s="82">
        <f t="shared" si="132"/>
        <v>0</v>
      </c>
    </row>
    <row r="203" spans="1:19" s="127" customFormat="1" ht="24.95" customHeight="1" x14ac:dyDescent="0.25">
      <c r="A203" s="83" t="s">
        <v>30</v>
      </c>
      <c r="B203" s="113">
        <f>'Male Emergency'!W359</f>
        <v>5</v>
      </c>
      <c r="C203" s="85">
        <v>10</v>
      </c>
      <c r="D203" s="86">
        <f>'Male Emergency'!K393</f>
        <v>61</v>
      </c>
      <c r="E203" s="86">
        <f>'Male Emergency'!M393</f>
        <v>25</v>
      </c>
      <c r="F203" s="86">
        <f>'Male Emergency'!O393</f>
        <v>3</v>
      </c>
      <c r="G203" s="86">
        <f>'Male Emergency'!Q393</f>
        <v>6</v>
      </c>
      <c r="H203" s="86">
        <f>'Male Emergency'!W393</f>
        <v>105</v>
      </c>
      <c r="I203" s="86">
        <f xml:space="preserve"> 'Male Emergency'!S393</f>
        <v>0</v>
      </c>
      <c r="J203" s="87">
        <f>'Male Emergency'!U393</f>
        <v>34</v>
      </c>
      <c r="K203" s="78">
        <f t="shared" si="127"/>
        <v>3.3870967741935485</v>
      </c>
      <c r="L203" s="79">
        <f t="shared" si="128"/>
        <v>3.75</v>
      </c>
      <c r="M203" s="80">
        <f t="shared" si="129"/>
        <v>7.3214285714285712</v>
      </c>
      <c r="N203" s="81">
        <f t="shared" si="130"/>
        <v>2.8</v>
      </c>
      <c r="O203" s="79">
        <f t="shared" si="131"/>
        <v>33.87096774193548</v>
      </c>
      <c r="P203" s="82">
        <f t="shared" si="132"/>
        <v>4.918032786885246</v>
      </c>
    </row>
    <row r="204" spans="1:19" s="127" customFormat="1" ht="24.95" customHeight="1" x14ac:dyDescent="0.25">
      <c r="A204" s="83" t="s">
        <v>31</v>
      </c>
      <c r="B204" s="113">
        <f>'BLK G'!H352</f>
        <v>15</v>
      </c>
      <c r="C204" s="85">
        <v>14</v>
      </c>
      <c r="D204" s="86">
        <f>'BLK G'!B393</f>
        <v>142</v>
      </c>
      <c r="E204" s="86">
        <f>'BLK G'!C393</f>
        <v>145</v>
      </c>
      <c r="F204" s="86">
        <f>'BLK G'!D393</f>
        <v>0</v>
      </c>
      <c r="G204" s="86">
        <f>'BLK G'!E393</f>
        <v>0</v>
      </c>
      <c r="H204" s="86">
        <f>'BLK G'!H393</f>
        <v>490</v>
      </c>
      <c r="I204" s="86">
        <f>'BLK G'!F393</f>
        <v>39</v>
      </c>
      <c r="J204" s="87">
        <f>'BLK G'!G393</f>
        <v>39</v>
      </c>
      <c r="K204" s="78">
        <f t="shared" si="127"/>
        <v>15.806451612903226</v>
      </c>
      <c r="L204" s="79">
        <f t="shared" si="128"/>
        <v>3.3793103448275863</v>
      </c>
      <c r="M204" s="80">
        <f t="shared" si="129"/>
        <v>-0.38620689655172413</v>
      </c>
      <c r="N204" s="81">
        <f t="shared" si="130"/>
        <v>10.357142857142858</v>
      </c>
      <c r="O204" s="79">
        <f t="shared" si="131"/>
        <v>112.90322580645162</v>
      </c>
      <c r="P204" s="82">
        <f t="shared" si="132"/>
        <v>0</v>
      </c>
    </row>
    <row r="205" spans="1:19" s="127" customFormat="1" ht="24.95" customHeight="1" x14ac:dyDescent="0.25">
      <c r="A205" s="83" t="s">
        <v>32</v>
      </c>
      <c r="B205" s="113">
        <f>'BLK H'!H352</f>
        <v>10</v>
      </c>
      <c r="C205" s="85">
        <v>22</v>
      </c>
      <c r="D205" s="86">
        <f>'BLK H'!B393</f>
        <v>88</v>
      </c>
      <c r="E205" s="86">
        <f>'BLK H'!C393</f>
        <v>87</v>
      </c>
      <c r="F205" s="86">
        <f>'BLK H'!D393</f>
        <v>0</v>
      </c>
      <c r="G205" s="86">
        <f>'BLK H'!E393</f>
        <v>0</v>
      </c>
      <c r="H205" s="86">
        <f>'BLK H'!H393</f>
        <v>454</v>
      </c>
      <c r="I205" s="86">
        <f>'BLK H'!F393</f>
        <v>40</v>
      </c>
      <c r="J205" s="87">
        <f>'BLK H'!G393</f>
        <v>38</v>
      </c>
      <c r="K205" s="78">
        <f t="shared" si="127"/>
        <v>14.64516129032258</v>
      </c>
      <c r="L205" s="79">
        <f t="shared" si="128"/>
        <v>5.2183908045977008</v>
      </c>
      <c r="M205" s="80">
        <f t="shared" si="129"/>
        <v>2.6206896551724137</v>
      </c>
      <c r="N205" s="81">
        <f t="shared" si="130"/>
        <v>3.9545454545454546</v>
      </c>
      <c r="O205" s="79">
        <f t="shared" si="131"/>
        <v>66.568914956011724</v>
      </c>
      <c r="P205" s="82">
        <f t="shared" si="132"/>
        <v>0</v>
      </c>
    </row>
    <row r="206" spans="1:19" s="127" customFormat="1" ht="24.95" customHeight="1" x14ac:dyDescent="0.25">
      <c r="A206" s="83" t="s">
        <v>33</v>
      </c>
      <c r="B206" s="113">
        <f>'Male Emergency'!X359</f>
        <v>0</v>
      </c>
      <c r="C206" s="85">
        <v>10</v>
      </c>
      <c r="D206" s="86">
        <f>'Male Emergency'!L393</f>
        <v>55</v>
      </c>
      <c r="E206" s="86">
        <f>'Male Emergency'!N393</f>
        <v>29</v>
      </c>
      <c r="F206" s="86">
        <f>'Male Emergency'!P393</f>
        <v>0</v>
      </c>
      <c r="G206" s="86">
        <f>'Male Emergency'!R393</f>
        <v>3</v>
      </c>
      <c r="H206" s="86">
        <f>'Male Emergency'!X393</f>
        <v>45</v>
      </c>
      <c r="I206" s="86">
        <f>'Male Emergency'!T393</f>
        <v>0</v>
      </c>
      <c r="J206" s="87">
        <f>'Male Emergency'!V393</f>
        <v>24</v>
      </c>
      <c r="K206" s="78">
        <f t="shared" si="127"/>
        <v>1.4516129032258065</v>
      </c>
      <c r="L206" s="79">
        <f t="shared" si="128"/>
        <v>1.5517241379310345</v>
      </c>
      <c r="M206" s="80">
        <f t="shared" si="129"/>
        <v>9.137931034482758</v>
      </c>
      <c r="N206" s="81">
        <f t="shared" si="130"/>
        <v>2.9</v>
      </c>
      <c r="O206" s="79">
        <f t="shared" si="131"/>
        <v>14.516129032258064</v>
      </c>
      <c r="P206" s="82">
        <f t="shared" si="132"/>
        <v>0</v>
      </c>
      <c r="S206" s="127" t="s">
        <v>49</v>
      </c>
    </row>
    <row r="207" spans="1:19" s="127" customFormat="1" ht="24.95" customHeight="1" thickBot="1" x14ac:dyDescent="0.3">
      <c r="A207" s="91" t="s">
        <v>34</v>
      </c>
      <c r="B207" s="114">
        <f>Neonatal!H352</f>
        <v>12</v>
      </c>
      <c r="C207" s="93">
        <v>15</v>
      </c>
      <c r="D207" s="94">
        <f>Neonatal!B393</f>
        <v>65</v>
      </c>
      <c r="E207" s="94">
        <f>Neonatal!C393</f>
        <v>65</v>
      </c>
      <c r="F207" s="94">
        <f>Neonatal!D393</f>
        <v>2</v>
      </c>
      <c r="G207" s="94">
        <f>Neonatal!E393</f>
        <v>0</v>
      </c>
      <c r="H207" s="94">
        <f>Neonatal!H393</f>
        <v>407</v>
      </c>
      <c r="I207" s="94">
        <f>Neonatal!F393</f>
        <v>0</v>
      </c>
      <c r="J207" s="95">
        <f>Neonatal!G393</f>
        <v>0</v>
      </c>
      <c r="K207" s="78">
        <f t="shared" si="127"/>
        <v>13.129032258064516</v>
      </c>
      <c r="L207" s="97">
        <f t="shared" si="128"/>
        <v>6.0746268656716422</v>
      </c>
      <c r="M207" s="80">
        <f t="shared" si="129"/>
        <v>0.86567164179104472</v>
      </c>
      <c r="N207" s="99">
        <f t="shared" si="130"/>
        <v>4.4666666666666668</v>
      </c>
      <c r="O207" s="79">
        <f t="shared" si="131"/>
        <v>87.526881720430111</v>
      </c>
      <c r="P207" s="82">
        <f t="shared" si="132"/>
        <v>3.0769230769230771</v>
      </c>
    </row>
    <row r="208" spans="1:19" ht="16.5" thickBot="1" x14ac:dyDescent="0.3">
      <c r="A208" s="101" t="s">
        <v>35</v>
      </c>
      <c r="B208" s="136">
        <f t="shared" ref="B208:J208" si="133">SUM(B199:B207)</f>
        <v>93</v>
      </c>
      <c r="C208" s="103">
        <f t="shared" si="133"/>
        <v>178</v>
      </c>
      <c r="D208" s="104">
        <f t="shared" si="133"/>
        <v>513</v>
      </c>
      <c r="E208" s="104">
        <f t="shared" si="133"/>
        <v>454</v>
      </c>
      <c r="F208" s="104">
        <f t="shared" si="133"/>
        <v>5</v>
      </c>
      <c r="G208" s="104">
        <f t="shared" si="133"/>
        <v>9</v>
      </c>
      <c r="H208" s="104">
        <f t="shared" si="133"/>
        <v>3054</v>
      </c>
      <c r="I208" s="104">
        <f t="shared" si="133"/>
        <v>80</v>
      </c>
      <c r="J208" s="137">
        <f t="shared" si="133"/>
        <v>137</v>
      </c>
      <c r="K208" s="138">
        <f>H208/31</f>
        <v>98.516129032258064</v>
      </c>
      <c r="L208" s="139">
        <f t="shared" si="128"/>
        <v>6.6535947712418304</v>
      </c>
      <c r="M208" s="140">
        <f>((C208*31)-H208)/(E208+F208)</f>
        <v>5.3681917211328978</v>
      </c>
      <c r="N208" s="141">
        <f>(E208+F208)/C208</f>
        <v>2.5786516853932584</v>
      </c>
      <c r="O208" s="139">
        <f>H208*100/(C208*31)</f>
        <v>55.346139905762961</v>
      </c>
      <c r="P208" s="82">
        <f t="shared" si="132"/>
        <v>0.97465886939571145</v>
      </c>
    </row>
    <row r="209" spans="1:16" x14ac:dyDescent="0.25">
      <c r="A209" s="235" t="s">
        <v>196</v>
      </c>
      <c r="B209" s="253">
        <f>B203+B206</f>
        <v>5</v>
      </c>
      <c r="C209" s="253">
        <f t="shared" ref="C209:J209" si="134">C203+C206</f>
        <v>20</v>
      </c>
      <c r="D209" s="253">
        <f>D203+D206</f>
        <v>116</v>
      </c>
      <c r="E209" s="253">
        <f>E203+E206</f>
        <v>54</v>
      </c>
      <c r="F209" s="253">
        <f>F203+F206</f>
        <v>3</v>
      </c>
      <c r="G209" s="253">
        <f t="shared" si="134"/>
        <v>9</v>
      </c>
      <c r="H209" s="253">
        <f>H203+H206</f>
        <v>150</v>
      </c>
      <c r="I209" s="253">
        <f>I203+I206</f>
        <v>0</v>
      </c>
      <c r="J209" s="253">
        <f t="shared" si="134"/>
        <v>58</v>
      </c>
      <c r="K209" s="236">
        <f>H209/31</f>
        <v>4.838709677419355</v>
      </c>
      <c r="L209" s="237">
        <f t="shared" si="128"/>
        <v>2.6315789473684212</v>
      </c>
      <c r="M209" s="238">
        <f>((C209*31)-H209)/(E209+F209)</f>
        <v>8.2456140350877192</v>
      </c>
      <c r="N209" s="239">
        <f>(E209+F209)/C209</f>
        <v>2.85</v>
      </c>
      <c r="O209" s="237">
        <f>H209*100/(C209*31)</f>
        <v>24.193548387096776</v>
      </c>
      <c r="P209" s="240">
        <f>F209*100/(D209)</f>
        <v>2.5862068965517242</v>
      </c>
    </row>
    <row r="211" spans="1:16" ht="25.5" x14ac:dyDescent="0.25">
      <c r="A211" s="603" t="s">
        <v>1</v>
      </c>
      <c r="B211" s="603"/>
      <c r="C211" s="603"/>
      <c r="D211" s="603"/>
      <c r="E211" s="603"/>
      <c r="F211" s="603"/>
      <c r="G211" s="603"/>
      <c r="H211" s="603"/>
      <c r="I211" s="603"/>
      <c r="J211" s="603"/>
      <c r="K211" s="603"/>
      <c r="L211" s="603"/>
      <c r="M211" s="603"/>
      <c r="N211" s="603"/>
      <c r="O211" s="603"/>
      <c r="P211" s="603"/>
    </row>
    <row r="212" spans="1:16" ht="26.25" thickBot="1" x14ac:dyDescent="0.3">
      <c r="A212" s="604" t="s">
        <v>637</v>
      </c>
      <c r="B212" s="604"/>
      <c r="C212" s="604"/>
      <c r="D212" s="604"/>
      <c r="E212" s="604"/>
      <c r="F212" s="604"/>
      <c r="G212" s="604"/>
      <c r="H212" s="604"/>
      <c r="I212" s="604"/>
      <c r="J212" s="604"/>
      <c r="K212" s="604"/>
      <c r="L212" s="604"/>
      <c r="M212" s="604"/>
      <c r="N212" s="604"/>
      <c r="O212" s="604"/>
      <c r="P212" s="604"/>
    </row>
    <row r="213" spans="1:16" s="184" customFormat="1" ht="45" customHeight="1" thickBot="1" x14ac:dyDescent="0.25">
      <c r="A213" s="176" t="s">
        <v>20</v>
      </c>
      <c r="B213" s="180" t="s">
        <v>22</v>
      </c>
      <c r="C213" s="178" t="s">
        <v>21</v>
      </c>
      <c r="D213" s="178" t="s">
        <v>9</v>
      </c>
      <c r="E213" s="178" t="s">
        <v>10</v>
      </c>
      <c r="F213" s="178" t="s">
        <v>11</v>
      </c>
      <c r="G213" s="178" t="s">
        <v>80</v>
      </c>
      <c r="H213" s="178" t="s">
        <v>25</v>
      </c>
      <c r="I213" s="178" t="s">
        <v>23</v>
      </c>
      <c r="J213" s="179" t="s">
        <v>24</v>
      </c>
      <c r="K213" s="178" t="s">
        <v>43</v>
      </c>
      <c r="L213" s="178" t="s">
        <v>44</v>
      </c>
      <c r="M213" s="181" t="s">
        <v>45</v>
      </c>
      <c r="N213" s="178" t="s">
        <v>46</v>
      </c>
      <c r="O213" s="178" t="s">
        <v>47</v>
      </c>
      <c r="P213" s="179" t="s">
        <v>48</v>
      </c>
    </row>
    <row r="214" spans="1:16" s="127" customFormat="1" ht="24.75" customHeight="1" x14ac:dyDescent="0.25">
      <c r="A214" s="73" t="s">
        <v>26</v>
      </c>
      <c r="B214" s="112">
        <f>Male!H399</f>
        <v>18</v>
      </c>
      <c r="C214" s="75">
        <v>32</v>
      </c>
      <c r="D214" s="76">
        <f>Male!B432</f>
        <v>0</v>
      </c>
      <c r="E214" s="76">
        <f>Male!C432</f>
        <v>0</v>
      </c>
      <c r="F214" s="76">
        <f>Male!D432</f>
        <v>0</v>
      </c>
      <c r="G214" s="76">
        <f>Male!E432</f>
        <v>0</v>
      </c>
      <c r="H214" s="76">
        <f>Male!H432</f>
        <v>540</v>
      </c>
      <c r="I214" s="76">
        <f>Male!F432</f>
        <v>0</v>
      </c>
      <c r="J214" s="77">
        <f>Male!G432</f>
        <v>0</v>
      </c>
      <c r="K214" s="78">
        <f>H214/30</f>
        <v>18</v>
      </c>
      <c r="L214" s="79" t="e">
        <f>H214/(E214+F214)</f>
        <v>#DIV/0!</v>
      </c>
      <c r="M214" s="80" t="e">
        <f>((C214*30)-H214)/(E214+F214)</f>
        <v>#DIV/0!</v>
      </c>
      <c r="N214" s="81">
        <f>(E214+F214)/C214</f>
        <v>0</v>
      </c>
      <c r="O214" s="79">
        <f>H214*100/(C214*30)</f>
        <v>56.25</v>
      </c>
      <c r="P214" s="82" t="e">
        <f>F214*100/(E214+F214)</f>
        <v>#DIV/0!</v>
      </c>
    </row>
    <row r="215" spans="1:16" s="127" customFormat="1" ht="24.95" customHeight="1" x14ac:dyDescent="0.25">
      <c r="A215" s="83" t="s">
        <v>27</v>
      </c>
      <c r="B215" s="113">
        <f>Paediatric!H399</f>
        <v>6</v>
      </c>
      <c r="C215" s="85">
        <v>27</v>
      </c>
      <c r="D215" s="86">
        <f>Paediatric!B432</f>
        <v>0</v>
      </c>
      <c r="E215" s="86">
        <f>Paediatric!C432</f>
        <v>0</v>
      </c>
      <c r="F215" s="86">
        <f>Paediatric!D432</f>
        <v>0</v>
      </c>
      <c r="G215" s="86">
        <f>Paediatric!E432</f>
        <v>0</v>
      </c>
      <c r="H215" s="86">
        <f>Paediatric!H432</f>
        <v>180</v>
      </c>
      <c r="I215" s="86">
        <f>Paediatric!F432</f>
        <v>0</v>
      </c>
      <c r="J215" s="87">
        <f>Paediatric!G432</f>
        <v>0</v>
      </c>
      <c r="K215" s="78">
        <f t="shared" ref="K215:K222" si="135">H215/30</f>
        <v>6</v>
      </c>
      <c r="L215" s="79" t="e">
        <f t="shared" ref="L215:L224" si="136">H215/(E215+F215)</f>
        <v>#DIV/0!</v>
      </c>
      <c r="M215" s="80" t="e">
        <f t="shared" ref="M215:M221" si="137">((C215*30)-H215)/(E215+F215)</f>
        <v>#DIV/0!</v>
      </c>
      <c r="N215" s="81">
        <f t="shared" ref="N215:N224" si="138">(E215+F215)/C215</f>
        <v>0</v>
      </c>
      <c r="O215" s="79">
        <f t="shared" ref="O215:O222" si="139">H215*100/(C215*30)</f>
        <v>22.222222222222221</v>
      </c>
      <c r="P215" s="82" t="e">
        <f t="shared" ref="P215:P222" si="140">F215*100/(E215+F215)</f>
        <v>#DIV/0!</v>
      </c>
    </row>
    <row r="216" spans="1:16" s="127" customFormat="1" ht="24.95" customHeight="1" x14ac:dyDescent="0.25">
      <c r="A216" s="83" t="s">
        <v>28</v>
      </c>
      <c r="B216" s="113">
        <f>Female!H399</f>
        <v>15</v>
      </c>
      <c r="C216" s="85">
        <v>28</v>
      </c>
      <c r="D216" s="86">
        <f>Female!B432</f>
        <v>0</v>
      </c>
      <c r="E216" s="86">
        <f>Female!C432</f>
        <v>0</v>
      </c>
      <c r="F216" s="86">
        <f>Female!D432</f>
        <v>0</v>
      </c>
      <c r="G216" s="86">
        <f>Female!E432</f>
        <v>0</v>
      </c>
      <c r="H216" s="86">
        <f>Female!H432</f>
        <v>450</v>
      </c>
      <c r="I216" s="86">
        <f>Female!F432</f>
        <v>0</v>
      </c>
      <c r="J216" s="87">
        <f>Female!G432</f>
        <v>0</v>
      </c>
      <c r="K216" s="78">
        <f t="shared" si="135"/>
        <v>15</v>
      </c>
      <c r="L216" s="79" t="e">
        <f t="shared" si="136"/>
        <v>#DIV/0!</v>
      </c>
      <c r="M216" s="80" t="e">
        <f t="shared" si="137"/>
        <v>#DIV/0!</v>
      </c>
      <c r="N216" s="81">
        <f t="shared" si="138"/>
        <v>0</v>
      </c>
      <c r="O216" s="79">
        <f t="shared" si="139"/>
        <v>53.571428571428569</v>
      </c>
      <c r="P216" s="82" t="e">
        <f t="shared" si="140"/>
        <v>#DIV/0!</v>
      </c>
    </row>
    <row r="217" spans="1:16" s="127" customFormat="1" ht="24.95" customHeight="1" x14ac:dyDescent="0.25">
      <c r="A217" s="83" t="s">
        <v>29</v>
      </c>
      <c r="B217" s="113">
        <f>'BLK F'!H399</f>
        <v>10</v>
      </c>
      <c r="C217" s="85">
        <v>20</v>
      </c>
      <c r="D217" s="86">
        <f>'BLK F'!B432</f>
        <v>86</v>
      </c>
      <c r="E217" s="86">
        <f>'BLK F'!C432</f>
        <v>74</v>
      </c>
      <c r="F217" s="86">
        <f>'BLK F'!D432</f>
        <v>0</v>
      </c>
      <c r="G217" s="86">
        <f>'BLK F'!E432</f>
        <v>0</v>
      </c>
      <c r="H217" s="86">
        <f>'BLK F'!H432</f>
        <v>369</v>
      </c>
      <c r="I217" s="86">
        <f>'BLK F'!F432</f>
        <v>0</v>
      </c>
      <c r="J217" s="87">
        <f>'BLK F'!G432</f>
        <v>8</v>
      </c>
      <c r="K217" s="78">
        <f t="shared" si="135"/>
        <v>12.3</v>
      </c>
      <c r="L217" s="79">
        <f t="shared" si="136"/>
        <v>4.9864864864864868</v>
      </c>
      <c r="M217" s="80">
        <f t="shared" si="137"/>
        <v>3.1216216216216215</v>
      </c>
      <c r="N217" s="81">
        <f t="shared" si="138"/>
        <v>3.7</v>
      </c>
      <c r="O217" s="79">
        <f t="shared" si="139"/>
        <v>61.5</v>
      </c>
      <c r="P217" s="82">
        <f t="shared" si="140"/>
        <v>0</v>
      </c>
    </row>
    <row r="218" spans="1:16" s="127" customFormat="1" ht="24.95" customHeight="1" x14ac:dyDescent="0.25">
      <c r="A218" s="83" t="s">
        <v>30</v>
      </c>
      <c r="B218" s="113">
        <f>'Male Emergency'!H399</f>
        <v>5</v>
      </c>
      <c r="C218" s="85">
        <v>10</v>
      </c>
      <c r="D218" s="86">
        <f>'Male Emergency'!K432</f>
        <v>83</v>
      </c>
      <c r="E218" s="86">
        <f>'Male Emergency'!M432</f>
        <v>37</v>
      </c>
      <c r="F218" s="86">
        <f>'Male Emergency'!O432</f>
        <v>3</v>
      </c>
      <c r="G218" s="86">
        <f>'Male Emergency'!Q432</f>
        <v>9</v>
      </c>
      <c r="H218" s="86">
        <f>'Male Emergency'!W432</f>
        <v>168</v>
      </c>
      <c r="I218" s="86">
        <f>'Male Emergency'!F432</f>
        <v>0</v>
      </c>
      <c r="J218" s="87">
        <f>'Male Emergency'!U432</f>
        <v>42</v>
      </c>
      <c r="K218" s="78">
        <f t="shared" si="135"/>
        <v>5.6</v>
      </c>
      <c r="L218" s="79">
        <f t="shared" si="136"/>
        <v>4.2</v>
      </c>
      <c r="M218" s="80">
        <f t="shared" si="137"/>
        <v>3.3</v>
      </c>
      <c r="N218" s="81">
        <f t="shared" si="138"/>
        <v>4</v>
      </c>
      <c r="O218" s="79">
        <f t="shared" si="139"/>
        <v>56</v>
      </c>
      <c r="P218" s="82">
        <f t="shared" si="140"/>
        <v>7.5</v>
      </c>
    </row>
    <row r="219" spans="1:16" s="127" customFormat="1" ht="24.95" customHeight="1" x14ac:dyDescent="0.25">
      <c r="A219" s="83" t="s">
        <v>31</v>
      </c>
      <c r="B219" s="113">
        <f>'BLK G'!H399</f>
        <v>12</v>
      </c>
      <c r="C219" s="85">
        <v>14</v>
      </c>
      <c r="D219" s="86">
        <f>'BLK G'!B432</f>
        <v>157</v>
      </c>
      <c r="E219" s="86">
        <f>'BLK G'!C432</f>
        <v>140</v>
      </c>
      <c r="F219" s="86">
        <f>'BLK G'!D432</f>
        <v>0</v>
      </c>
      <c r="G219" s="86">
        <f>'BLK G'!E432</f>
        <v>0</v>
      </c>
      <c r="H219" s="86">
        <f>'BLK G'!H432</f>
        <v>374</v>
      </c>
      <c r="I219" s="86">
        <f>'BLK G'!F432</f>
        <v>31</v>
      </c>
      <c r="J219" s="87">
        <f>'BLK G'!G432</f>
        <v>43</v>
      </c>
      <c r="K219" s="78">
        <f t="shared" si="135"/>
        <v>12.466666666666667</v>
      </c>
      <c r="L219" s="79">
        <f t="shared" si="136"/>
        <v>2.6714285714285713</v>
      </c>
      <c r="M219" s="80">
        <f t="shared" si="137"/>
        <v>0.32857142857142857</v>
      </c>
      <c r="N219" s="81">
        <f t="shared" si="138"/>
        <v>10</v>
      </c>
      <c r="O219" s="79">
        <f t="shared" si="139"/>
        <v>89.047619047619051</v>
      </c>
      <c r="P219" s="82">
        <f t="shared" si="140"/>
        <v>0</v>
      </c>
    </row>
    <row r="220" spans="1:16" s="127" customFormat="1" ht="24.95" customHeight="1" x14ac:dyDescent="0.25">
      <c r="A220" s="83" t="s">
        <v>32</v>
      </c>
      <c r="B220" s="113">
        <f>'BLK H'!H399</f>
        <v>13</v>
      </c>
      <c r="C220" s="85">
        <v>22</v>
      </c>
      <c r="D220" s="86">
        <f>'BLK H'!B432</f>
        <v>85</v>
      </c>
      <c r="E220" s="86">
        <f>'BLK H'!C432</f>
        <v>104</v>
      </c>
      <c r="F220" s="86">
        <f>'BLK H'!D432</f>
        <v>0</v>
      </c>
      <c r="G220" s="86">
        <f>'BLK H'!E432</f>
        <v>0</v>
      </c>
      <c r="H220" s="86">
        <f>'BLK H'!H432</f>
        <v>531</v>
      </c>
      <c r="I220" s="86">
        <f>'BLK H'!F432</f>
        <v>49</v>
      </c>
      <c r="J220" s="87">
        <f>'BLK H'!G432</f>
        <v>30</v>
      </c>
      <c r="K220" s="78">
        <f t="shared" si="135"/>
        <v>17.7</v>
      </c>
      <c r="L220" s="79">
        <f t="shared" si="136"/>
        <v>5.1057692307692308</v>
      </c>
      <c r="M220" s="80">
        <f t="shared" si="137"/>
        <v>1.2403846153846154</v>
      </c>
      <c r="N220" s="81">
        <f t="shared" si="138"/>
        <v>4.7272727272727275</v>
      </c>
      <c r="O220" s="79">
        <f t="shared" si="139"/>
        <v>80.454545454545453</v>
      </c>
      <c r="P220" s="82">
        <f t="shared" si="140"/>
        <v>0</v>
      </c>
    </row>
    <row r="221" spans="1:16" s="127" customFormat="1" ht="24.95" customHeight="1" x14ac:dyDescent="0.25">
      <c r="A221" s="83" t="s">
        <v>33</v>
      </c>
      <c r="B221" s="113">
        <f>'Female Emergency'!H399</f>
        <v>0</v>
      </c>
      <c r="C221" s="85">
        <v>10</v>
      </c>
      <c r="D221" s="86">
        <f>'Male Emergency'!L432</f>
        <v>64</v>
      </c>
      <c r="E221" s="86">
        <f>'Male Emergency'!N432</f>
        <v>18</v>
      </c>
      <c r="F221" s="86">
        <f>'Male Emergency'!P432</f>
        <v>3</v>
      </c>
      <c r="G221" s="86">
        <f>'Male Emergency'!R432</f>
        <v>5</v>
      </c>
      <c r="H221" s="86">
        <f>'Male Emergency'!X432</f>
        <v>39</v>
      </c>
      <c r="I221" s="86">
        <f>'Male Emergency'!T432</f>
        <v>1</v>
      </c>
      <c r="J221" s="87">
        <f>'Male Emergency'!V432</f>
        <v>45</v>
      </c>
      <c r="K221" s="78">
        <f t="shared" si="135"/>
        <v>1.3</v>
      </c>
      <c r="L221" s="79">
        <f t="shared" si="136"/>
        <v>1.8571428571428572</v>
      </c>
      <c r="M221" s="80">
        <f t="shared" si="137"/>
        <v>12.428571428571429</v>
      </c>
      <c r="N221" s="81">
        <f t="shared" si="138"/>
        <v>2.1</v>
      </c>
      <c r="O221" s="79">
        <f t="shared" si="139"/>
        <v>13</v>
      </c>
      <c r="P221" s="82">
        <f t="shared" si="140"/>
        <v>14.285714285714286</v>
      </c>
    </row>
    <row r="222" spans="1:16" s="127" customFormat="1" ht="24.95" customHeight="1" thickBot="1" x14ac:dyDescent="0.3">
      <c r="A222" s="91" t="s">
        <v>34</v>
      </c>
      <c r="B222" s="114">
        <f>Neonatal!H399</f>
        <v>10</v>
      </c>
      <c r="C222" s="93">
        <v>15</v>
      </c>
      <c r="D222" s="94">
        <f>Neonatal!B432</f>
        <v>54</v>
      </c>
      <c r="E222" s="94">
        <f>Neonatal!C432</f>
        <v>43</v>
      </c>
      <c r="F222" s="94">
        <f>Neonatal!D432</f>
        <v>2</v>
      </c>
      <c r="G222" s="94">
        <f>Neonatal!E432</f>
        <v>0</v>
      </c>
      <c r="H222" s="94">
        <f>Neonatal!H432</f>
        <v>369</v>
      </c>
      <c r="I222" s="94">
        <f>Neonatal!F432</f>
        <v>0</v>
      </c>
      <c r="J222" s="95">
        <f>Neonatal!G432</f>
        <v>0</v>
      </c>
      <c r="K222" s="78">
        <f t="shared" si="135"/>
        <v>12.3</v>
      </c>
      <c r="L222" s="97">
        <f>H222/(E222+F222)</f>
        <v>8.1999999999999993</v>
      </c>
      <c r="M222" s="80">
        <f>((C222*30)-H222)/(E222+F222)</f>
        <v>1.8</v>
      </c>
      <c r="N222" s="99">
        <f>(E222+F222)/C222</f>
        <v>3</v>
      </c>
      <c r="O222" s="79">
        <f t="shared" si="139"/>
        <v>82</v>
      </c>
      <c r="P222" s="116">
        <f t="shared" si="140"/>
        <v>4.4444444444444446</v>
      </c>
    </row>
    <row r="223" spans="1:16" ht="16.5" thickBot="1" x14ac:dyDescent="0.3">
      <c r="A223" s="101" t="s">
        <v>35</v>
      </c>
      <c r="B223" s="136">
        <f t="shared" ref="B223:H223" si="141">SUM(B214:B222)</f>
        <v>89</v>
      </c>
      <c r="C223" s="103">
        <f t="shared" si="141"/>
        <v>178</v>
      </c>
      <c r="D223" s="104">
        <f t="shared" si="141"/>
        <v>529</v>
      </c>
      <c r="E223" s="104">
        <f t="shared" si="141"/>
        <v>416</v>
      </c>
      <c r="F223" s="104">
        <f t="shared" si="141"/>
        <v>8</v>
      </c>
      <c r="G223" s="104">
        <f t="shared" si="141"/>
        <v>14</v>
      </c>
      <c r="H223" s="104">
        <f t="shared" si="141"/>
        <v>3020</v>
      </c>
      <c r="I223" s="104">
        <f>SUM(I214:I222)</f>
        <v>81</v>
      </c>
      <c r="J223" s="137">
        <f>SUM(J214:J222)</f>
        <v>168</v>
      </c>
      <c r="K223" s="138">
        <f>H223/30</f>
        <v>100.66666666666667</v>
      </c>
      <c r="L223" s="139">
        <f t="shared" si="136"/>
        <v>7.1226415094339623</v>
      </c>
      <c r="M223" s="140">
        <f>((C223*30)-H223)/(E223+F223)</f>
        <v>5.4716981132075473</v>
      </c>
      <c r="N223" s="141">
        <f t="shared" si="138"/>
        <v>2.3820224719101124</v>
      </c>
      <c r="O223" s="139">
        <f>H223*100/(C223*30)</f>
        <v>56.554307116104866</v>
      </c>
      <c r="P223" s="142">
        <f>F223*100/(E223+F223)</f>
        <v>1.8867924528301887</v>
      </c>
    </row>
    <row r="224" spans="1:16" x14ac:dyDescent="0.25">
      <c r="A224" s="235" t="s">
        <v>196</v>
      </c>
      <c r="B224" s="253">
        <f>B218+B221</f>
        <v>5</v>
      </c>
      <c r="C224" s="253">
        <f t="shared" ref="C224:J224" si="142">C218+C221</f>
        <v>20</v>
      </c>
      <c r="D224" s="253">
        <f t="shared" si="142"/>
        <v>147</v>
      </c>
      <c r="E224" s="253">
        <f t="shared" si="142"/>
        <v>55</v>
      </c>
      <c r="F224" s="253">
        <f t="shared" si="142"/>
        <v>6</v>
      </c>
      <c r="G224" s="253">
        <f t="shared" si="142"/>
        <v>14</v>
      </c>
      <c r="H224" s="253">
        <f t="shared" si="142"/>
        <v>207</v>
      </c>
      <c r="I224" s="253">
        <f>I218+I221</f>
        <v>1</v>
      </c>
      <c r="J224" s="253">
        <f t="shared" si="142"/>
        <v>87</v>
      </c>
      <c r="K224" s="236">
        <f>H224/30</f>
        <v>6.9</v>
      </c>
      <c r="L224" s="237">
        <f t="shared" si="136"/>
        <v>3.3934426229508197</v>
      </c>
      <c r="M224" s="238">
        <f>((C224*30)-H224)/(E224+F224)</f>
        <v>6.442622950819672</v>
      </c>
      <c r="N224" s="239">
        <f t="shared" si="138"/>
        <v>3.05</v>
      </c>
      <c r="O224" s="237">
        <f>H224*100/(C224*30)</f>
        <v>34.5</v>
      </c>
      <c r="P224" s="240">
        <f>F224*100/(D224)</f>
        <v>4.0816326530612246</v>
      </c>
    </row>
    <row r="226" spans="1:18" ht="25.5" x14ac:dyDescent="0.35">
      <c r="A226" s="602" t="s">
        <v>1</v>
      </c>
      <c r="B226" s="602"/>
      <c r="C226" s="602"/>
      <c r="D226" s="602"/>
      <c r="E226" s="602"/>
      <c r="F226" s="602"/>
      <c r="G226" s="602"/>
      <c r="H226" s="602"/>
      <c r="I226" s="602"/>
      <c r="J226" s="602"/>
      <c r="K226" s="602"/>
      <c r="L226" s="602"/>
      <c r="M226" s="602"/>
      <c r="N226" s="602"/>
      <c r="O226" s="602"/>
      <c r="P226" s="602"/>
    </row>
    <row r="227" spans="1:18" ht="26.25" thickBot="1" x14ac:dyDescent="0.4">
      <c r="A227" s="601" t="s">
        <v>638</v>
      </c>
      <c r="B227" s="601"/>
      <c r="C227" s="601"/>
      <c r="D227" s="601"/>
      <c r="E227" s="601"/>
      <c r="F227" s="601"/>
      <c r="G227" s="601"/>
      <c r="H227" s="601"/>
      <c r="I227" s="601"/>
      <c r="J227" s="601"/>
      <c r="K227" s="601"/>
      <c r="L227" s="601"/>
      <c r="M227" s="601"/>
      <c r="N227" s="601"/>
      <c r="O227" s="601"/>
      <c r="P227" s="601"/>
    </row>
    <row r="228" spans="1:18" s="184" customFormat="1" ht="34.5" thickBot="1" x14ac:dyDescent="0.25">
      <c r="A228" s="176" t="s">
        <v>20</v>
      </c>
      <c r="B228" s="177" t="s">
        <v>22</v>
      </c>
      <c r="C228" s="178" t="s">
        <v>21</v>
      </c>
      <c r="D228" s="178" t="s">
        <v>9</v>
      </c>
      <c r="E228" s="178" t="s">
        <v>10</v>
      </c>
      <c r="F228" s="178" t="s">
        <v>11</v>
      </c>
      <c r="G228" s="178" t="s">
        <v>80</v>
      </c>
      <c r="H228" s="178" t="s">
        <v>25</v>
      </c>
      <c r="I228" s="178" t="s">
        <v>23</v>
      </c>
      <c r="J228" s="179" t="s">
        <v>24</v>
      </c>
      <c r="K228" s="180" t="s">
        <v>43</v>
      </c>
      <c r="L228" s="178" t="s">
        <v>44</v>
      </c>
      <c r="M228" s="181" t="s">
        <v>45</v>
      </c>
      <c r="N228" s="178" t="s">
        <v>46</v>
      </c>
      <c r="O228" s="178" t="s">
        <v>47</v>
      </c>
      <c r="P228" s="179" t="s">
        <v>48</v>
      </c>
    </row>
    <row r="229" spans="1:18" s="127" customFormat="1" ht="24.95" customHeight="1" x14ac:dyDescent="0.25">
      <c r="A229" s="73" t="s">
        <v>26</v>
      </c>
      <c r="B229" s="150">
        <f>Male!H438</f>
        <v>18</v>
      </c>
      <c r="C229" s="75">
        <v>32</v>
      </c>
      <c r="D229" s="76">
        <f>Male!B472</f>
        <v>0</v>
      </c>
      <c r="E229" s="76">
        <f>Male!C472</f>
        <v>0</v>
      </c>
      <c r="F229" s="76">
        <f>Male!D472</f>
        <v>0</v>
      </c>
      <c r="G229" s="76">
        <f>Male!E472</f>
        <v>0</v>
      </c>
      <c r="H229" s="76">
        <f>Male!H472</f>
        <v>558</v>
      </c>
      <c r="I229" s="76">
        <f>Male!F472</f>
        <v>0</v>
      </c>
      <c r="J229" s="77">
        <f>Male!G472</f>
        <v>0</v>
      </c>
      <c r="K229" s="78">
        <f>H229/31</f>
        <v>18</v>
      </c>
      <c r="L229" s="79" t="e">
        <f>H229/(E229+F229)</f>
        <v>#DIV/0!</v>
      </c>
      <c r="M229" s="80" t="e">
        <f>((C229*31)-H229)/(E229+F229)</f>
        <v>#DIV/0!</v>
      </c>
      <c r="N229" s="81">
        <f>(E229+F229)/C229</f>
        <v>0</v>
      </c>
      <c r="O229" s="79">
        <f>H229*100/(C229*31)</f>
        <v>56.25</v>
      </c>
      <c r="P229" s="82" t="e">
        <f>F229*100/(E229+F229)</f>
        <v>#DIV/0!</v>
      </c>
    </row>
    <row r="230" spans="1:18" s="127" customFormat="1" ht="24.95" customHeight="1" x14ac:dyDescent="0.25">
      <c r="A230" s="83" t="s">
        <v>27</v>
      </c>
      <c r="B230" s="151">
        <f>Paediatric!H438</f>
        <v>6</v>
      </c>
      <c r="C230" s="85">
        <v>27</v>
      </c>
      <c r="D230" s="86">
        <f>Paediatric!B472</f>
        <v>0</v>
      </c>
      <c r="E230" s="86">
        <f>Paediatric!C472</f>
        <v>0</v>
      </c>
      <c r="F230" s="86">
        <f>Paediatric!D472</f>
        <v>0</v>
      </c>
      <c r="G230" s="86">
        <f>Paediatric!E472</f>
        <v>0</v>
      </c>
      <c r="H230" s="86">
        <f>Paediatric!H472</f>
        <v>186</v>
      </c>
      <c r="I230" s="86">
        <f>Paediatric!F472</f>
        <v>0</v>
      </c>
      <c r="J230" s="87">
        <f>Paediatric!G472</f>
        <v>0</v>
      </c>
      <c r="K230" s="78">
        <f t="shared" ref="K230:K237" si="143">H230/31</f>
        <v>6</v>
      </c>
      <c r="L230" s="79" t="e">
        <f t="shared" ref="L230:L239" si="144">H230/(E230+F230)</f>
        <v>#DIV/0!</v>
      </c>
      <c r="M230" s="80" t="e">
        <f t="shared" ref="M230:M237" si="145">((C230*31)-H230)/(E230+F230)</f>
        <v>#DIV/0!</v>
      </c>
      <c r="N230" s="81">
        <f t="shared" ref="N230:N239" si="146">(E230+F230)/C230</f>
        <v>0</v>
      </c>
      <c r="O230" s="79">
        <f t="shared" ref="O230:O237" si="147">H230*100/(C230*31)</f>
        <v>22.222222222222221</v>
      </c>
      <c r="P230" s="82" t="e">
        <f t="shared" ref="P230:P238" si="148">F230*100/(E230+F230)</f>
        <v>#DIV/0!</v>
      </c>
    </row>
    <row r="231" spans="1:18" s="127" customFormat="1" ht="24.95" customHeight="1" x14ac:dyDescent="0.25">
      <c r="A231" s="83" t="s">
        <v>28</v>
      </c>
      <c r="B231" s="151">
        <f>Female!H438</f>
        <v>15</v>
      </c>
      <c r="C231" s="85">
        <v>28</v>
      </c>
      <c r="D231" s="86">
        <f>Female!B472</f>
        <v>0</v>
      </c>
      <c r="E231" s="86">
        <f>Female!C472</f>
        <v>0</v>
      </c>
      <c r="F231" s="86">
        <f>Female!D472</f>
        <v>0</v>
      </c>
      <c r="G231" s="86">
        <f>Female!E472</f>
        <v>0</v>
      </c>
      <c r="H231" s="86">
        <f>Female!H472</f>
        <v>465</v>
      </c>
      <c r="I231" s="86">
        <f>Female!F472</f>
        <v>0</v>
      </c>
      <c r="J231" s="87">
        <f>Female!G472</f>
        <v>0</v>
      </c>
      <c r="K231" s="78">
        <f t="shared" si="143"/>
        <v>15</v>
      </c>
      <c r="L231" s="79" t="e">
        <f t="shared" si="144"/>
        <v>#DIV/0!</v>
      </c>
      <c r="M231" s="80" t="e">
        <f t="shared" si="145"/>
        <v>#DIV/0!</v>
      </c>
      <c r="N231" s="81">
        <f t="shared" si="146"/>
        <v>0</v>
      </c>
      <c r="O231" s="79">
        <f t="shared" si="147"/>
        <v>53.571428571428569</v>
      </c>
      <c r="P231" s="82" t="e">
        <f t="shared" si="148"/>
        <v>#DIV/0!</v>
      </c>
    </row>
    <row r="232" spans="1:18" s="127" customFormat="1" ht="24.95" customHeight="1" x14ac:dyDescent="0.25">
      <c r="A232" s="83" t="s">
        <v>29</v>
      </c>
      <c r="B232" s="151">
        <f>'BLK F'!H438</f>
        <v>14</v>
      </c>
      <c r="C232" s="85">
        <v>20</v>
      </c>
      <c r="D232" s="86">
        <f>'BLK F'!B472</f>
        <v>78</v>
      </c>
      <c r="E232" s="86">
        <f>'BLK F'!C472</f>
        <v>84</v>
      </c>
      <c r="F232" s="86">
        <f>'BLK F'!D472</f>
        <v>0</v>
      </c>
      <c r="G232" s="86">
        <f>'BLK F'!E472</f>
        <v>0</v>
      </c>
      <c r="H232" s="86">
        <f>'BLK F'!H472</f>
        <v>289</v>
      </c>
      <c r="I232" s="86">
        <f>'BLK F'!F472</f>
        <v>2</v>
      </c>
      <c r="J232" s="87">
        <f>'BLK F'!G472</f>
        <v>1</v>
      </c>
      <c r="K232" s="78">
        <f t="shared" si="143"/>
        <v>9.32258064516129</v>
      </c>
      <c r="L232" s="79">
        <f t="shared" si="144"/>
        <v>3.4404761904761907</v>
      </c>
      <c r="M232" s="80">
        <f t="shared" si="145"/>
        <v>3.9404761904761907</v>
      </c>
      <c r="N232" s="81">
        <f t="shared" si="146"/>
        <v>4.2</v>
      </c>
      <c r="O232" s="79">
        <f t="shared" si="147"/>
        <v>46.612903225806448</v>
      </c>
      <c r="P232" s="82">
        <f t="shared" si="148"/>
        <v>0</v>
      </c>
    </row>
    <row r="233" spans="1:18" s="127" customFormat="1" ht="24.95" customHeight="1" x14ac:dyDescent="0.25">
      <c r="A233" s="83" t="s">
        <v>30</v>
      </c>
      <c r="B233" s="151">
        <f>'Male Emergency'!H438</f>
        <v>0</v>
      </c>
      <c r="C233" s="85">
        <v>10</v>
      </c>
      <c r="D233" s="86">
        <f>'Male Emergency'!K472</f>
        <v>91</v>
      </c>
      <c r="E233" s="86">
        <f>'Male Emergency'!M472</f>
        <v>25</v>
      </c>
      <c r="F233" s="86">
        <f>'Male Emergency'!O472</f>
        <v>5</v>
      </c>
      <c r="G233" s="86">
        <f>'Male Emergency'!Q472</f>
        <v>3</v>
      </c>
      <c r="H233" s="86">
        <f>'Male Emergency'!W472</f>
        <v>155</v>
      </c>
      <c r="I233" s="86">
        <f>'Male Emergency'!F472</f>
        <v>0</v>
      </c>
      <c r="J233" s="87">
        <f>'Male Emergency'!U472</f>
        <v>67</v>
      </c>
      <c r="K233" s="78">
        <f t="shared" si="143"/>
        <v>5</v>
      </c>
      <c r="L233" s="79">
        <f t="shared" si="144"/>
        <v>5.166666666666667</v>
      </c>
      <c r="M233" s="80">
        <f t="shared" si="145"/>
        <v>5.166666666666667</v>
      </c>
      <c r="N233" s="81">
        <f t="shared" si="146"/>
        <v>3</v>
      </c>
      <c r="O233" s="79">
        <f t="shared" si="147"/>
        <v>50</v>
      </c>
      <c r="P233" s="82">
        <f t="shared" si="148"/>
        <v>16.666666666666668</v>
      </c>
    </row>
    <row r="234" spans="1:18" s="127" customFormat="1" ht="24.95" customHeight="1" x14ac:dyDescent="0.25">
      <c r="A234" s="83" t="s">
        <v>31</v>
      </c>
      <c r="B234" s="151">
        <f>'BLK G'!H438</f>
        <v>17</v>
      </c>
      <c r="C234" s="85">
        <v>14</v>
      </c>
      <c r="D234" s="86">
        <f>'BLK G'!B472</f>
        <v>127</v>
      </c>
      <c r="E234" s="86">
        <f>'BLK G'!C472</f>
        <v>116</v>
      </c>
      <c r="F234" s="86">
        <f>'BLK G'!D472</f>
        <v>0</v>
      </c>
      <c r="G234" s="86">
        <f>'BLK G'!E472</f>
        <v>0</v>
      </c>
      <c r="H234" s="86">
        <f>'BLK G'!H472</f>
        <v>442</v>
      </c>
      <c r="I234" s="86">
        <f>'BLK G'!F472</f>
        <v>23</v>
      </c>
      <c r="J234" s="87">
        <f>'BLK G'!G472</f>
        <v>42</v>
      </c>
      <c r="K234" s="78">
        <f t="shared" si="143"/>
        <v>14.258064516129032</v>
      </c>
      <c r="L234" s="79">
        <f t="shared" si="144"/>
        <v>3.8103448275862069</v>
      </c>
      <c r="M234" s="80">
        <f t="shared" si="145"/>
        <v>-6.8965517241379309E-2</v>
      </c>
      <c r="N234" s="81">
        <f t="shared" si="146"/>
        <v>8.2857142857142865</v>
      </c>
      <c r="O234" s="79">
        <f t="shared" si="147"/>
        <v>101.84331797235023</v>
      </c>
      <c r="P234" s="82">
        <f t="shared" si="148"/>
        <v>0</v>
      </c>
    </row>
    <row r="235" spans="1:18" s="127" customFormat="1" ht="24.95" customHeight="1" x14ac:dyDescent="0.25">
      <c r="A235" s="83" t="s">
        <v>32</v>
      </c>
      <c r="B235" s="151">
        <f>'BLK H'!H438</f>
        <v>13</v>
      </c>
      <c r="C235" s="85">
        <v>22</v>
      </c>
      <c r="D235" s="86">
        <f>'BLK H'!B472</f>
        <v>61</v>
      </c>
      <c r="E235" s="86">
        <f>'BLK H'!C472</f>
        <v>81</v>
      </c>
      <c r="F235" s="86">
        <f>'BLK H'!D472</f>
        <v>0</v>
      </c>
      <c r="G235" s="86">
        <f>'BLK H'!E472</f>
        <v>0</v>
      </c>
      <c r="H235" s="86">
        <f>'BLK H'!H472</f>
        <v>429</v>
      </c>
      <c r="I235" s="86">
        <f>'BLK H'!F472</f>
        <v>42</v>
      </c>
      <c r="J235" s="87">
        <f>'BLK H'!G472</f>
        <v>23</v>
      </c>
      <c r="K235" s="78">
        <f t="shared" si="143"/>
        <v>13.838709677419354</v>
      </c>
      <c r="L235" s="79">
        <f t="shared" si="144"/>
        <v>5.2962962962962967</v>
      </c>
      <c r="M235" s="80">
        <f t="shared" si="145"/>
        <v>3.1234567901234569</v>
      </c>
      <c r="N235" s="81">
        <f t="shared" si="146"/>
        <v>3.6818181818181817</v>
      </c>
      <c r="O235" s="79">
        <f t="shared" si="147"/>
        <v>62.903225806451616</v>
      </c>
      <c r="P235" s="82">
        <f t="shared" si="148"/>
        <v>0</v>
      </c>
    </row>
    <row r="236" spans="1:18" s="127" customFormat="1" ht="24.95" customHeight="1" x14ac:dyDescent="0.25">
      <c r="A236" s="83" t="s">
        <v>33</v>
      </c>
      <c r="B236" s="151">
        <f>'Female Emergency'!H438</f>
        <v>0</v>
      </c>
      <c r="C236" s="85">
        <v>10</v>
      </c>
      <c r="D236" s="86">
        <f>'Male Emergency'!L472</f>
        <v>56</v>
      </c>
      <c r="E236" s="86">
        <f>'Male Emergency'!N472</f>
        <v>7</v>
      </c>
      <c r="F236" s="86">
        <f>'Male Emergency'!P472</f>
        <v>2</v>
      </c>
      <c r="G236" s="86">
        <f>'Male Emergency'!R472</f>
        <v>2</v>
      </c>
      <c r="H236" s="86">
        <f>'Male Emergency'!X472</f>
        <v>98</v>
      </c>
      <c r="I236" s="86">
        <f>'Female Emergency'!F472</f>
        <v>0</v>
      </c>
      <c r="J236" s="87">
        <f>'Male Emergency'!V472</f>
        <v>37</v>
      </c>
      <c r="K236" s="78">
        <f t="shared" si="143"/>
        <v>3.161290322580645</v>
      </c>
      <c r="L236" s="79">
        <f t="shared" si="144"/>
        <v>10.888888888888889</v>
      </c>
      <c r="M236" s="80">
        <f t="shared" si="145"/>
        <v>23.555555555555557</v>
      </c>
      <c r="N236" s="81">
        <f t="shared" si="146"/>
        <v>0.9</v>
      </c>
      <c r="O236" s="79">
        <f t="shared" si="147"/>
        <v>31.612903225806452</v>
      </c>
      <c r="P236" s="82">
        <f t="shared" si="148"/>
        <v>22.222222222222221</v>
      </c>
    </row>
    <row r="237" spans="1:18" s="127" customFormat="1" ht="24.95" customHeight="1" thickBot="1" x14ac:dyDescent="0.3">
      <c r="A237" s="91" t="s">
        <v>34</v>
      </c>
      <c r="B237" s="152">
        <f>Neonatal!H438</f>
        <v>19</v>
      </c>
      <c r="C237" s="93">
        <v>15</v>
      </c>
      <c r="D237" s="94">
        <f>Neonatal!B472</f>
        <v>43</v>
      </c>
      <c r="E237" s="94">
        <f>Neonatal!C472</f>
        <v>43</v>
      </c>
      <c r="F237" s="94">
        <f>Neonatal!D472</f>
        <v>5</v>
      </c>
      <c r="G237" s="94">
        <f>Neonatal!E472</f>
        <v>0</v>
      </c>
      <c r="H237" s="94">
        <f>Neonatal!H472</f>
        <v>496</v>
      </c>
      <c r="I237" s="94">
        <f>Neonatal!F472</f>
        <v>0</v>
      </c>
      <c r="J237" s="95">
        <f>Neonatal!G472</f>
        <v>0</v>
      </c>
      <c r="K237" s="78">
        <f t="shared" si="143"/>
        <v>16</v>
      </c>
      <c r="L237" s="97">
        <f t="shared" si="144"/>
        <v>10.333333333333334</v>
      </c>
      <c r="M237" s="80">
        <f t="shared" si="145"/>
        <v>-0.64583333333333337</v>
      </c>
      <c r="N237" s="99">
        <f t="shared" si="146"/>
        <v>3.2</v>
      </c>
      <c r="O237" s="79">
        <f t="shared" si="147"/>
        <v>106.66666666666667</v>
      </c>
      <c r="P237" s="116">
        <f t="shared" si="148"/>
        <v>10.416666666666666</v>
      </c>
      <c r="R237" s="127" t="s">
        <v>49</v>
      </c>
    </row>
    <row r="238" spans="1:18" ht="16.5" thickBot="1" x14ac:dyDescent="0.3">
      <c r="A238" s="101" t="s">
        <v>35</v>
      </c>
      <c r="B238" s="102">
        <f t="shared" ref="B238:J238" si="149">SUM(B229:B237)</f>
        <v>102</v>
      </c>
      <c r="C238" s="103">
        <f t="shared" si="149"/>
        <v>178</v>
      </c>
      <c r="D238" s="104">
        <f t="shared" si="149"/>
        <v>456</v>
      </c>
      <c r="E238" s="104">
        <f t="shared" si="149"/>
        <v>356</v>
      </c>
      <c r="F238" s="104">
        <f t="shared" si="149"/>
        <v>12</v>
      </c>
      <c r="G238" s="104">
        <f t="shared" si="149"/>
        <v>5</v>
      </c>
      <c r="H238" s="104">
        <f t="shared" si="149"/>
        <v>3118</v>
      </c>
      <c r="I238" s="104">
        <f t="shared" si="149"/>
        <v>67</v>
      </c>
      <c r="J238" s="137">
        <f t="shared" si="149"/>
        <v>170</v>
      </c>
      <c r="K238" s="138">
        <f>H238/31</f>
        <v>100.58064516129032</v>
      </c>
      <c r="L238" s="139">
        <f t="shared" si="144"/>
        <v>8.4728260869565215</v>
      </c>
      <c r="M238" s="140">
        <f>((C238*31)-H238)/(E238+F238)</f>
        <v>6.5217391304347823</v>
      </c>
      <c r="N238" s="141">
        <f t="shared" si="146"/>
        <v>2.0674157303370788</v>
      </c>
      <c r="O238" s="139">
        <f>H238*100/(C238*31)</f>
        <v>56.505980427691192</v>
      </c>
      <c r="P238" s="142">
        <f t="shared" si="148"/>
        <v>3.2608695652173911</v>
      </c>
    </row>
    <row r="239" spans="1:18" x14ac:dyDescent="0.25">
      <c r="A239" s="235" t="s">
        <v>196</v>
      </c>
      <c r="B239" s="253">
        <f>B233+B236</f>
        <v>0</v>
      </c>
      <c r="C239" s="253">
        <f t="shared" ref="C239:J239" si="150">C233+C236</f>
        <v>20</v>
      </c>
      <c r="D239" s="253">
        <f t="shared" si="150"/>
        <v>147</v>
      </c>
      <c r="E239" s="253">
        <f t="shared" si="150"/>
        <v>32</v>
      </c>
      <c r="F239" s="253">
        <f t="shared" si="150"/>
        <v>7</v>
      </c>
      <c r="G239" s="253">
        <f t="shared" si="150"/>
        <v>5</v>
      </c>
      <c r="H239" s="253">
        <f t="shared" si="150"/>
        <v>253</v>
      </c>
      <c r="I239" s="253">
        <f>I233+I236</f>
        <v>0</v>
      </c>
      <c r="J239" s="253">
        <f t="shared" si="150"/>
        <v>104</v>
      </c>
      <c r="K239" s="236">
        <f>H239/31</f>
        <v>8.1612903225806459</v>
      </c>
      <c r="L239" s="237">
        <f t="shared" si="144"/>
        <v>6.4871794871794872</v>
      </c>
      <c r="M239" s="238">
        <f>((C239*31)-H239)/(E239+F239)</f>
        <v>9.4102564102564106</v>
      </c>
      <c r="N239" s="239">
        <f t="shared" si="146"/>
        <v>1.95</v>
      </c>
      <c r="O239" s="237">
        <f>H239*100/(C239*31)</f>
        <v>40.806451612903224</v>
      </c>
      <c r="P239" s="240">
        <f>F239*100/(D239)</f>
        <v>4.7619047619047619</v>
      </c>
    </row>
    <row r="241" spans="1:16" ht="25.5" x14ac:dyDescent="0.35">
      <c r="A241" s="602" t="s">
        <v>1</v>
      </c>
      <c r="B241" s="602"/>
      <c r="C241" s="602"/>
      <c r="D241" s="602"/>
      <c r="E241" s="602"/>
      <c r="F241" s="602"/>
      <c r="G241" s="602"/>
      <c r="H241" s="602"/>
      <c r="I241" s="602"/>
      <c r="J241" s="602"/>
      <c r="K241" s="602"/>
      <c r="L241" s="602"/>
      <c r="M241" s="602"/>
      <c r="N241" s="602"/>
      <c r="O241" s="602"/>
      <c r="P241" s="602"/>
    </row>
    <row r="242" spans="1:16" ht="26.25" thickBot="1" x14ac:dyDescent="0.4">
      <c r="A242" s="601" t="s">
        <v>200</v>
      </c>
      <c r="B242" s="601"/>
      <c r="C242" s="601"/>
      <c r="D242" s="601"/>
      <c r="E242" s="601"/>
      <c r="F242" s="601"/>
      <c r="G242" s="601"/>
      <c r="H242" s="601"/>
      <c r="I242" s="601"/>
      <c r="J242" s="601"/>
      <c r="K242" s="601"/>
      <c r="L242" s="601"/>
      <c r="M242" s="601"/>
      <c r="N242" s="601"/>
      <c r="O242" s="601"/>
      <c r="P242" s="601"/>
    </row>
    <row r="243" spans="1:16" s="184" customFormat="1" ht="34.5" thickBot="1" x14ac:dyDescent="0.25">
      <c r="A243" s="176" t="s">
        <v>20</v>
      </c>
      <c r="B243" s="177" t="s">
        <v>191</v>
      </c>
      <c r="C243" s="178" t="s">
        <v>21</v>
      </c>
      <c r="D243" s="178" t="s">
        <v>9</v>
      </c>
      <c r="E243" s="178" t="s">
        <v>10</v>
      </c>
      <c r="F243" s="178" t="s">
        <v>11</v>
      </c>
      <c r="G243" s="178" t="s">
        <v>80</v>
      </c>
      <c r="H243" s="178" t="s">
        <v>25</v>
      </c>
      <c r="I243" s="178" t="s">
        <v>23</v>
      </c>
      <c r="J243" s="179" t="s">
        <v>24</v>
      </c>
      <c r="K243" s="180" t="s">
        <v>43</v>
      </c>
      <c r="L243" s="178" t="s">
        <v>44</v>
      </c>
      <c r="M243" s="181" t="s">
        <v>45</v>
      </c>
      <c r="N243" s="178" t="s">
        <v>46</v>
      </c>
      <c r="O243" s="178" t="s">
        <v>47</v>
      </c>
      <c r="P243" s="179" t="s">
        <v>48</v>
      </c>
    </row>
    <row r="244" spans="1:16" s="127" customFormat="1" ht="24.95" customHeight="1" x14ac:dyDescent="0.25">
      <c r="A244" s="73" t="s">
        <v>26</v>
      </c>
      <c r="B244" s="74">
        <f>Male!H232</f>
        <v>18</v>
      </c>
      <c r="C244" s="75">
        <v>32</v>
      </c>
      <c r="D244" s="76">
        <f t="shared" ref="D244:J244" si="151">D199+D214+D229</f>
        <v>0</v>
      </c>
      <c r="E244" s="76">
        <f t="shared" si="151"/>
        <v>0</v>
      </c>
      <c r="F244" s="76">
        <f t="shared" si="151"/>
        <v>0</v>
      </c>
      <c r="G244" s="76">
        <f t="shared" ref="G244:G252" si="152">G199+G214+G229</f>
        <v>0</v>
      </c>
      <c r="H244" s="76">
        <f t="shared" si="151"/>
        <v>1656</v>
      </c>
      <c r="I244" s="76">
        <f t="shared" si="151"/>
        <v>0</v>
      </c>
      <c r="J244" s="77">
        <f t="shared" si="151"/>
        <v>0</v>
      </c>
      <c r="K244" s="78">
        <f>H244/92</f>
        <v>18</v>
      </c>
      <c r="L244" s="79" t="e">
        <f>H244/(E244+F244)</f>
        <v>#DIV/0!</v>
      </c>
      <c r="M244" s="80" t="e">
        <f>((C244*92)-H244)/(E244+F244)</f>
        <v>#DIV/0!</v>
      </c>
      <c r="N244" s="81">
        <f>(E244+F244)/C244</f>
        <v>0</v>
      </c>
      <c r="O244" s="79">
        <f>H244*100/(C244*92)</f>
        <v>56.25</v>
      </c>
      <c r="P244" s="82" t="e">
        <f>F244*100/(E244+F244)</f>
        <v>#DIV/0!</v>
      </c>
    </row>
    <row r="245" spans="1:16" s="127" customFormat="1" ht="24.95" customHeight="1" x14ac:dyDescent="0.25">
      <c r="A245" s="83" t="s">
        <v>27</v>
      </c>
      <c r="B245" s="84">
        <f>Paediatric!H232</f>
        <v>6</v>
      </c>
      <c r="C245" s="85">
        <v>27</v>
      </c>
      <c r="D245" s="76">
        <f t="shared" ref="D245:J245" si="153">D200+D215+D230</f>
        <v>0</v>
      </c>
      <c r="E245" s="76">
        <f t="shared" si="153"/>
        <v>0</v>
      </c>
      <c r="F245" s="76">
        <f t="shared" si="153"/>
        <v>0</v>
      </c>
      <c r="G245" s="76">
        <f t="shared" si="152"/>
        <v>0</v>
      </c>
      <c r="H245" s="76">
        <f t="shared" si="153"/>
        <v>552</v>
      </c>
      <c r="I245" s="76">
        <f t="shared" si="153"/>
        <v>0</v>
      </c>
      <c r="J245" s="77">
        <f t="shared" si="153"/>
        <v>0</v>
      </c>
      <c r="K245" s="78">
        <f t="shared" ref="K245:K252" si="154">H245/92</f>
        <v>6</v>
      </c>
      <c r="L245" s="79" t="e">
        <f t="shared" ref="L245:L254" si="155">H245/(E245+F245)</f>
        <v>#DIV/0!</v>
      </c>
      <c r="M245" s="80" t="e">
        <f t="shared" ref="M245:M252" si="156">((C245*92)-H245)/(E245+F245)</f>
        <v>#DIV/0!</v>
      </c>
      <c r="N245" s="81">
        <f t="shared" ref="N245:N254" si="157">(E245+F245)/C245</f>
        <v>0</v>
      </c>
      <c r="O245" s="79">
        <f t="shared" ref="O245:O252" si="158">H245*100/(C245*92)</f>
        <v>22.222222222222221</v>
      </c>
      <c r="P245" s="82" t="e">
        <f t="shared" ref="P245:P253" si="159">F245*100/(E245+F245)</f>
        <v>#DIV/0!</v>
      </c>
    </row>
    <row r="246" spans="1:16" s="127" customFormat="1" ht="24.95" customHeight="1" x14ac:dyDescent="0.25">
      <c r="A246" s="83" t="s">
        <v>28</v>
      </c>
      <c r="B246" s="84">
        <f>Female!H232</f>
        <v>15</v>
      </c>
      <c r="C246" s="85">
        <v>28</v>
      </c>
      <c r="D246" s="76">
        <f t="shared" ref="D246:J246" si="160">D201+D216+D231</f>
        <v>0</v>
      </c>
      <c r="E246" s="76">
        <f t="shared" si="160"/>
        <v>0</v>
      </c>
      <c r="F246" s="76">
        <f t="shared" si="160"/>
        <v>0</v>
      </c>
      <c r="G246" s="76">
        <f t="shared" si="152"/>
        <v>0</v>
      </c>
      <c r="H246" s="76">
        <f t="shared" si="160"/>
        <v>1380</v>
      </c>
      <c r="I246" s="76">
        <f t="shared" si="160"/>
        <v>0</v>
      </c>
      <c r="J246" s="77">
        <f t="shared" si="160"/>
        <v>0</v>
      </c>
      <c r="K246" s="78">
        <f t="shared" si="154"/>
        <v>15</v>
      </c>
      <c r="L246" s="79" t="e">
        <f t="shared" si="155"/>
        <v>#DIV/0!</v>
      </c>
      <c r="M246" s="80" t="e">
        <f t="shared" si="156"/>
        <v>#DIV/0!</v>
      </c>
      <c r="N246" s="81">
        <f t="shared" si="157"/>
        <v>0</v>
      </c>
      <c r="O246" s="79">
        <f t="shared" si="158"/>
        <v>53.571428571428569</v>
      </c>
      <c r="P246" s="82" t="e">
        <f t="shared" si="159"/>
        <v>#DIV/0!</v>
      </c>
    </row>
    <row r="247" spans="1:16" s="127" customFormat="1" ht="24.95" customHeight="1" x14ac:dyDescent="0.25">
      <c r="A247" s="83" t="s">
        <v>29</v>
      </c>
      <c r="B247" s="84">
        <f>'BLK F'!H232</f>
        <v>9</v>
      </c>
      <c r="C247" s="85">
        <v>20</v>
      </c>
      <c r="D247" s="76">
        <f t="shared" ref="D247:J247" si="161">D202+D217+D232</f>
        <v>266</v>
      </c>
      <c r="E247" s="76">
        <f t="shared" si="161"/>
        <v>261</v>
      </c>
      <c r="F247" s="76">
        <f t="shared" si="161"/>
        <v>0</v>
      </c>
      <c r="G247" s="76">
        <f t="shared" si="152"/>
        <v>0</v>
      </c>
      <c r="H247" s="76">
        <f t="shared" si="161"/>
        <v>1002</v>
      </c>
      <c r="I247" s="76">
        <f t="shared" si="161"/>
        <v>3</v>
      </c>
      <c r="J247" s="77">
        <f t="shared" si="161"/>
        <v>11</v>
      </c>
      <c r="K247" s="78">
        <f t="shared" si="154"/>
        <v>10.891304347826088</v>
      </c>
      <c r="L247" s="79">
        <f t="shared" si="155"/>
        <v>3.8390804597701149</v>
      </c>
      <c r="M247" s="80">
        <f t="shared" si="156"/>
        <v>3.210727969348659</v>
      </c>
      <c r="N247" s="81">
        <f t="shared" si="157"/>
        <v>13.05</v>
      </c>
      <c r="O247" s="79">
        <f t="shared" si="158"/>
        <v>54.456521739130437</v>
      </c>
      <c r="P247" s="82">
        <f t="shared" si="159"/>
        <v>0</v>
      </c>
    </row>
    <row r="248" spans="1:16" s="127" customFormat="1" ht="24.95" customHeight="1" x14ac:dyDescent="0.25">
      <c r="A248" s="83" t="s">
        <v>30</v>
      </c>
      <c r="B248" s="84">
        <f>'Male Emergency'!H232</f>
        <v>2</v>
      </c>
      <c r="C248" s="85">
        <v>10</v>
      </c>
      <c r="D248" s="76">
        <f t="shared" ref="D248:J248" si="162">D203+D218+D233</f>
        <v>235</v>
      </c>
      <c r="E248" s="76">
        <f t="shared" si="162"/>
        <v>87</v>
      </c>
      <c r="F248" s="76">
        <f t="shared" si="162"/>
        <v>11</v>
      </c>
      <c r="G248" s="76">
        <f t="shared" si="152"/>
        <v>18</v>
      </c>
      <c r="H248" s="76">
        <f t="shared" si="162"/>
        <v>428</v>
      </c>
      <c r="I248" s="76">
        <f t="shared" si="162"/>
        <v>0</v>
      </c>
      <c r="J248" s="77">
        <f t="shared" si="162"/>
        <v>143</v>
      </c>
      <c r="K248" s="78">
        <f t="shared" si="154"/>
        <v>4.6521739130434785</v>
      </c>
      <c r="L248" s="79">
        <f>H248/(E248+F248)</f>
        <v>4.3673469387755102</v>
      </c>
      <c r="M248" s="80">
        <f t="shared" si="156"/>
        <v>5.0204081632653059</v>
      </c>
      <c r="N248" s="81">
        <f t="shared" si="157"/>
        <v>9.8000000000000007</v>
      </c>
      <c r="O248" s="79">
        <f t="shared" si="158"/>
        <v>46.521739130434781</v>
      </c>
      <c r="P248" s="82">
        <f t="shared" si="159"/>
        <v>11.224489795918368</v>
      </c>
    </row>
    <row r="249" spans="1:16" s="127" customFormat="1" ht="24.95" customHeight="1" x14ac:dyDescent="0.25">
      <c r="A249" s="83" t="s">
        <v>31</v>
      </c>
      <c r="B249" s="84">
        <f>'BLK G'!H232</f>
        <v>8</v>
      </c>
      <c r="C249" s="85">
        <v>14</v>
      </c>
      <c r="D249" s="76">
        <f t="shared" ref="D249:J249" si="163">D204+D219+D234</f>
        <v>426</v>
      </c>
      <c r="E249" s="76">
        <f t="shared" si="163"/>
        <v>401</v>
      </c>
      <c r="F249" s="76">
        <f t="shared" si="163"/>
        <v>0</v>
      </c>
      <c r="G249" s="76">
        <f t="shared" si="152"/>
        <v>0</v>
      </c>
      <c r="H249" s="76">
        <f t="shared" si="163"/>
        <v>1306</v>
      </c>
      <c r="I249" s="76">
        <f t="shared" si="163"/>
        <v>93</v>
      </c>
      <c r="J249" s="77">
        <f t="shared" si="163"/>
        <v>124</v>
      </c>
      <c r="K249" s="78">
        <f t="shared" si="154"/>
        <v>14.195652173913043</v>
      </c>
      <c r="L249" s="79">
        <f t="shared" si="155"/>
        <v>3.2568578553615959</v>
      </c>
      <c r="M249" s="80">
        <f t="shared" si="156"/>
        <v>-4.488778054862843E-2</v>
      </c>
      <c r="N249" s="81">
        <f t="shared" si="157"/>
        <v>28.642857142857142</v>
      </c>
      <c r="O249" s="79">
        <f t="shared" si="158"/>
        <v>101.3975155279503</v>
      </c>
      <c r="P249" s="82">
        <f t="shared" si="159"/>
        <v>0</v>
      </c>
    </row>
    <row r="250" spans="1:16" s="127" customFormat="1" ht="24.95" customHeight="1" x14ac:dyDescent="0.25">
      <c r="A250" s="83" t="s">
        <v>32</v>
      </c>
      <c r="B250" s="84">
        <f>'BLK H'!H232</f>
        <v>8</v>
      </c>
      <c r="C250" s="85">
        <v>22</v>
      </c>
      <c r="D250" s="76">
        <f t="shared" ref="D250:J250" si="164">D205+D220+D235</f>
        <v>234</v>
      </c>
      <c r="E250" s="76">
        <f t="shared" si="164"/>
        <v>272</v>
      </c>
      <c r="F250" s="76">
        <f t="shared" si="164"/>
        <v>0</v>
      </c>
      <c r="G250" s="76">
        <f t="shared" si="152"/>
        <v>0</v>
      </c>
      <c r="H250" s="76">
        <f t="shared" si="164"/>
        <v>1414</v>
      </c>
      <c r="I250" s="76">
        <f t="shared" si="164"/>
        <v>131</v>
      </c>
      <c r="J250" s="77">
        <f t="shared" si="164"/>
        <v>91</v>
      </c>
      <c r="K250" s="78">
        <f t="shared" si="154"/>
        <v>15.369565217391305</v>
      </c>
      <c r="L250" s="79">
        <f t="shared" si="155"/>
        <v>5.1985294117647056</v>
      </c>
      <c r="M250" s="80">
        <f t="shared" si="156"/>
        <v>2.2426470588235294</v>
      </c>
      <c r="N250" s="81">
        <f t="shared" si="157"/>
        <v>12.363636363636363</v>
      </c>
      <c r="O250" s="79">
        <f t="shared" si="158"/>
        <v>69.86166007905139</v>
      </c>
      <c r="P250" s="82">
        <f t="shared" si="159"/>
        <v>0</v>
      </c>
    </row>
    <row r="251" spans="1:16" s="127" customFormat="1" ht="24.95" customHeight="1" x14ac:dyDescent="0.25">
      <c r="A251" s="83" t="s">
        <v>33</v>
      </c>
      <c r="B251" s="84">
        <f>'Female Emergency'!H232</f>
        <v>2</v>
      </c>
      <c r="C251" s="85">
        <v>10</v>
      </c>
      <c r="D251" s="76">
        <f t="shared" ref="D251:J251" si="165">D206+D221+D236</f>
        <v>175</v>
      </c>
      <c r="E251" s="76">
        <f t="shared" si="165"/>
        <v>54</v>
      </c>
      <c r="F251" s="76">
        <f t="shared" si="165"/>
        <v>5</v>
      </c>
      <c r="G251" s="76">
        <f t="shared" si="152"/>
        <v>10</v>
      </c>
      <c r="H251" s="76">
        <f t="shared" si="165"/>
        <v>182</v>
      </c>
      <c r="I251" s="76">
        <f t="shared" si="165"/>
        <v>1</v>
      </c>
      <c r="J251" s="77">
        <f t="shared" si="165"/>
        <v>106</v>
      </c>
      <c r="K251" s="78">
        <f t="shared" si="154"/>
        <v>1.9782608695652173</v>
      </c>
      <c r="L251" s="79">
        <f t="shared" si="155"/>
        <v>3.0847457627118646</v>
      </c>
      <c r="M251" s="80">
        <f t="shared" si="156"/>
        <v>12.508474576271187</v>
      </c>
      <c r="N251" s="81">
        <f t="shared" si="157"/>
        <v>5.9</v>
      </c>
      <c r="O251" s="79">
        <f t="shared" si="158"/>
        <v>19.782608695652176</v>
      </c>
      <c r="P251" s="82">
        <f t="shared" si="159"/>
        <v>8.4745762711864412</v>
      </c>
    </row>
    <row r="252" spans="1:16" s="127" customFormat="1" ht="24.95" customHeight="1" thickBot="1" x14ac:dyDescent="0.3">
      <c r="A252" s="91" t="s">
        <v>34</v>
      </c>
      <c r="B252" s="92">
        <f>Neonatal!H232</f>
        <v>12</v>
      </c>
      <c r="C252" s="93">
        <v>15</v>
      </c>
      <c r="D252" s="76">
        <f t="shared" ref="D252:J252" si="166">D207+D222+D237</f>
        <v>162</v>
      </c>
      <c r="E252" s="76">
        <f t="shared" si="166"/>
        <v>151</v>
      </c>
      <c r="F252" s="76">
        <f t="shared" si="166"/>
        <v>9</v>
      </c>
      <c r="G252" s="76">
        <f t="shared" si="152"/>
        <v>0</v>
      </c>
      <c r="H252" s="76">
        <f t="shared" si="166"/>
        <v>1272</v>
      </c>
      <c r="I252" s="76">
        <f t="shared" si="166"/>
        <v>0</v>
      </c>
      <c r="J252" s="77">
        <f t="shared" si="166"/>
        <v>0</v>
      </c>
      <c r="K252" s="78">
        <f t="shared" si="154"/>
        <v>13.826086956521738</v>
      </c>
      <c r="L252" s="97">
        <f t="shared" si="155"/>
        <v>7.95</v>
      </c>
      <c r="M252" s="80">
        <f t="shared" si="156"/>
        <v>0.67500000000000004</v>
      </c>
      <c r="N252" s="99">
        <f t="shared" si="157"/>
        <v>10.666666666666666</v>
      </c>
      <c r="O252" s="79">
        <f t="shared" si="158"/>
        <v>92.173913043478265</v>
      </c>
      <c r="P252" s="116">
        <f t="shared" si="159"/>
        <v>5.625</v>
      </c>
    </row>
    <row r="253" spans="1:16" ht="16.5" thickBot="1" x14ac:dyDescent="0.3">
      <c r="A253" s="101" t="s">
        <v>35</v>
      </c>
      <c r="B253" s="102">
        <f t="shared" ref="B253:J253" si="167">SUM(B244:B252)</f>
        <v>80</v>
      </c>
      <c r="C253" s="103">
        <f t="shared" si="167"/>
        <v>178</v>
      </c>
      <c r="D253" s="104">
        <f t="shared" si="167"/>
        <v>1498</v>
      </c>
      <c r="E253" s="104">
        <f t="shared" si="167"/>
        <v>1226</v>
      </c>
      <c r="F253" s="104">
        <f t="shared" si="167"/>
        <v>25</v>
      </c>
      <c r="G253" s="104">
        <f t="shared" si="167"/>
        <v>28</v>
      </c>
      <c r="H253" s="104">
        <f t="shared" si="167"/>
        <v>9192</v>
      </c>
      <c r="I253" s="104">
        <f t="shared" si="167"/>
        <v>228</v>
      </c>
      <c r="J253" s="137">
        <f t="shared" si="167"/>
        <v>475</v>
      </c>
      <c r="K253" s="138">
        <f>H253/92</f>
        <v>99.913043478260875</v>
      </c>
      <c r="L253" s="139">
        <f t="shared" si="155"/>
        <v>7.347721822541966</v>
      </c>
      <c r="M253" s="140">
        <f>((C253*92)-H253)/(E253+F253)</f>
        <v>5.7426059152677862</v>
      </c>
      <c r="N253" s="141">
        <f t="shared" si="157"/>
        <v>7.0280898876404496</v>
      </c>
      <c r="O253" s="139">
        <f>H253*100/(C253*92)</f>
        <v>56.130923302393747</v>
      </c>
      <c r="P253" s="142">
        <f t="shared" si="159"/>
        <v>1.9984012789768186</v>
      </c>
    </row>
    <row r="254" spans="1:16" x14ac:dyDescent="0.25">
      <c r="A254" s="235" t="s">
        <v>196</v>
      </c>
      <c r="B254" s="253">
        <f>B248+B251</f>
        <v>4</v>
      </c>
      <c r="C254" s="253">
        <f t="shared" ref="C254:J254" si="168">C248+C251</f>
        <v>20</v>
      </c>
      <c r="D254" s="253">
        <f t="shared" si="168"/>
        <v>410</v>
      </c>
      <c r="E254" s="253">
        <f t="shared" si="168"/>
        <v>141</v>
      </c>
      <c r="F254" s="253">
        <f t="shared" si="168"/>
        <v>16</v>
      </c>
      <c r="G254" s="253">
        <f t="shared" si="168"/>
        <v>28</v>
      </c>
      <c r="H254" s="253">
        <f t="shared" si="168"/>
        <v>610</v>
      </c>
      <c r="I254" s="253">
        <f>I248+I251</f>
        <v>1</v>
      </c>
      <c r="J254" s="253">
        <f t="shared" si="168"/>
        <v>249</v>
      </c>
      <c r="K254" s="236">
        <f>H254/92</f>
        <v>6.6304347826086953</v>
      </c>
      <c r="L254" s="237">
        <f t="shared" si="155"/>
        <v>3.8853503184713376</v>
      </c>
      <c r="M254" s="238">
        <f>((C254*92)-H254)/(E254+F254)</f>
        <v>7.8343949044585983</v>
      </c>
      <c r="N254" s="239">
        <f t="shared" si="157"/>
        <v>7.85</v>
      </c>
      <c r="O254" s="237">
        <f>H254*100/(C254*92)</f>
        <v>33.152173913043477</v>
      </c>
      <c r="P254" s="240">
        <f>F254*100/(D254)</f>
        <v>3.9024390243902438</v>
      </c>
    </row>
    <row r="256" spans="1:16" ht="25.5" x14ac:dyDescent="0.35">
      <c r="A256" s="602" t="s">
        <v>1</v>
      </c>
      <c r="B256" s="602"/>
      <c r="C256" s="602"/>
      <c r="D256" s="602"/>
      <c r="E256" s="602"/>
      <c r="F256" s="602"/>
      <c r="G256" s="602"/>
      <c r="H256" s="602"/>
      <c r="I256" s="602"/>
      <c r="J256" s="602"/>
      <c r="K256" s="602"/>
      <c r="L256" s="602"/>
      <c r="M256" s="602"/>
      <c r="N256" s="602"/>
      <c r="O256" s="602"/>
      <c r="P256" s="602"/>
    </row>
    <row r="257" spans="1:16" ht="26.25" thickBot="1" x14ac:dyDescent="0.4">
      <c r="A257" s="601" t="s">
        <v>201</v>
      </c>
      <c r="B257" s="601"/>
      <c r="C257" s="601"/>
      <c r="D257" s="601"/>
      <c r="E257" s="601"/>
      <c r="F257" s="601"/>
      <c r="G257" s="601"/>
      <c r="H257" s="601"/>
      <c r="I257" s="601"/>
      <c r="J257" s="601"/>
      <c r="K257" s="601"/>
      <c r="L257" s="601"/>
      <c r="M257" s="601"/>
      <c r="N257" s="601"/>
      <c r="O257" s="601"/>
      <c r="P257" s="601"/>
    </row>
    <row r="258" spans="1:16" s="184" customFormat="1" ht="34.5" thickBot="1" x14ac:dyDescent="0.25">
      <c r="A258" s="176" t="s">
        <v>20</v>
      </c>
      <c r="B258" s="180" t="s">
        <v>192</v>
      </c>
      <c r="C258" s="178" t="s">
        <v>21</v>
      </c>
      <c r="D258" s="178" t="s">
        <v>9</v>
      </c>
      <c r="E258" s="178" t="s">
        <v>10</v>
      </c>
      <c r="F258" s="178" t="s">
        <v>11</v>
      </c>
      <c r="G258" s="178" t="s">
        <v>80</v>
      </c>
      <c r="H258" s="178" t="s">
        <v>25</v>
      </c>
      <c r="I258" s="178" t="s">
        <v>23</v>
      </c>
      <c r="J258" s="179" t="s">
        <v>24</v>
      </c>
      <c r="K258" s="178" t="s">
        <v>43</v>
      </c>
      <c r="L258" s="178" t="s">
        <v>44</v>
      </c>
      <c r="M258" s="181" t="s">
        <v>45</v>
      </c>
      <c r="N258" s="178" t="s">
        <v>46</v>
      </c>
      <c r="O258" s="178" t="s">
        <v>47</v>
      </c>
      <c r="P258" s="179" t="s">
        <v>48</v>
      </c>
    </row>
    <row r="259" spans="1:16" s="127" customFormat="1" ht="24.95" customHeight="1" x14ac:dyDescent="0.25">
      <c r="A259" s="73" t="s">
        <v>26</v>
      </c>
      <c r="B259" s="112">
        <f>Male!H240</f>
        <v>18</v>
      </c>
      <c r="C259" s="75">
        <v>32</v>
      </c>
      <c r="D259" s="76">
        <f t="shared" ref="D259:J259" si="169">D139+D154+D169+D199+D214+D229</f>
        <v>0</v>
      </c>
      <c r="E259" s="76">
        <f t="shared" si="169"/>
        <v>0</v>
      </c>
      <c r="F259" s="76">
        <f t="shared" si="169"/>
        <v>0</v>
      </c>
      <c r="G259" s="76">
        <f t="shared" ref="G259:G267" si="170">G139+G154+G169+G199+G214+G229</f>
        <v>0</v>
      </c>
      <c r="H259" s="76">
        <f t="shared" si="169"/>
        <v>3312</v>
      </c>
      <c r="I259" s="76">
        <f t="shared" si="169"/>
        <v>0</v>
      </c>
      <c r="J259" s="76">
        <f t="shared" si="169"/>
        <v>0</v>
      </c>
      <c r="K259" s="78">
        <f>H259/184</f>
        <v>18</v>
      </c>
      <c r="L259" s="79" t="e">
        <f>H259/(E259+F259)</f>
        <v>#DIV/0!</v>
      </c>
      <c r="M259" s="80" t="e">
        <f>((C259*184)-H259)/(E259+F259)</f>
        <v>#DIV/0!</v>
      </c>
      <c r="N259" s="81">
        <f>(E259+F259)/C259</f>
        <v>0</v>
      </c>
      <c r="O259" s="79">
        <f>H259*100/(C259*184)</f>
        <v>56.25</v>
      </c>
      <c r="P259" s="82" t="e">
        <f>F259*100/(E259+F259)</f>
        <v>#DIV/0!</v>
      </c>
    </row>
    <row r="260" spans="1:16" s="127" customFormat="1" ht="24.95" customHeight="1" x14ac:dyDescent="0.25">
      <c r="A260" s="83" t="s">
        <v>27</v>
      </c>
      <c r="B260" s="113">
        <f>Paediatric!H240</f>
        <v>6</v>
      </c>
      <c r="C260" s="85">
        <v>27</v>
      </c>
      <c r="D260" s="76">
        <f t="shared" ref="D260:J260" si="171">D140+D155+D170+D200+D215+D230</f>
        <v>0</v>
      </c>
      <c r="E260" s="76">
        <f t="shared" si="171"/>
        <v>0</v>
      </c>
      <c r="F260" s="76">
        <f t="shared" si="171"/>
        <v>0</v>
      </c>
      <c r="G260" s="76">
        <f t="shared" si="170"/>
        <v>0</v>
      </c>
      <c r="H260" s="76">
        <f t="shared" si="171"/>
        <v>1104</v>
      </c>
      <c r="I260" s="76">
        <f t="shared" si="171"/>
        <v>0</v>
      </c>
      <c r="J260" s="76">
        <f t="shared" si="171"/>
        <v>0</v>
      </c>
      <c r="K260" s="78">
        <f t="shared" ref="K260:K267" si="172">H260/184</f>
        <v>6</v>
      </c>
      <c r="L260" s="79" t="e">
        <f t="shared" ref="L260:L269" si="173">H260/(E260+F260)</f>
        <v>#DIV/0!</v>
      </c>
      <c r="M260" s="80" t="e">
        <f t="shared" ref="M260:M267" si="174">((C260*184)-H260)/(E260+F260)</f>
        <v>#DIV/0!</v>
      </c>
      <c r="N260" s="81">
        <f t="shared" ref="N260:N269" si="175">(E260+F260)/C260</f>
        <v>0</v>
      </c>
      <c r="O260" s="79">
        <f t="shared" ref="O260:O267" si="176">H260*100/(C260*184)</f>
        <v>22.222222222222221</v>
      </c>
      <c r="P260" s="82" t="e">
        <f t="shared" ref="P260:P268" si="177">F260*100/(E260+F260)</f>
        <v>#DIV/0!</v>
      </c>
    </row>
    <row r="261" spans="1:16" s="127" customFormat="1" ht="24.95" customHeight="1" x14ac:dyDescent="0.25">
      <c r="A261" s="83" t="s">
        <v>28</v>
      </c>
      <c r="B261" s="113">
        <f>Female!H240</f>
        <v>15</v>
      </c>
      <c r="C261" s="85">
        <v>28</v>
      </c>
      <c r="D261" s="76">
        <f t="shared" ref="D261:J261" si="178">D141+D156+D171+D201+D216+D231</f>
        <v>0</v>
      </c>
      <c r="E261" s="76">
        <f t="shared" si="178"/>
        <v>0</v>
      </c>
      <c r="F261" s="76">
        <f t="shared" si="178"/>
        <v>0</v>
      </c>
      <c r="G261" s="76">
        <f t="shared" si="170"/>
        <v>0</v>
      </c>
      <c r="H261" s="76">
        <f t="shared" si="178"/>
        <v>2760</v>
      </c>
      <c r="I261" s="76">
        <f t="shared" si="178"/>
        <v>0</v>
      </c>
      <c r="J261" s="76">
        <f t="shared" si="178"/>
        <v>0</v>
      </c>
      <c r="K261" s="78">
        <f t="shared" si="172"/>
        <v>15</v>
      </c>
      <c r="L261" s="79" t="e">
        <f t="shared" si="173"/>
        <v>#DIV/0!</v>
      </c>
      <c r="M261" s="80" t="e">
        <f t="shared" si="174"/>
        <v>#DIV/0!</v>
      </c>
      <c r="N261" s="81">
        <f t="shared" si="175"/>
        <v>0</v>
      </c>
      <c r="O261" s="79">
        <f t="shared" si="176"/>
        <v>53.571428571428569</v>
      </c>
      <c r="P261" s="82" t="e">
        <f t="shared" si="177"/>
        <v>#DIV/0!</v>
      </c>
    </row>
    <row r="262" spans="1:16" s="127" customFormat="1" ht="24.95" customHeight="1" x14ac:dyDescent="0.25">
      <c r="A262" s="83" t="s">
        <v>29</v>
      </c>
      <c r="B262" s="113">
        <f>'BLK F'!H240</f>
        <v>10</v>
      </c>
      <c r="C262" s="85">
        <v>20</v>
      </c>
      <c r="D262" s="76">
        <f t="shared" ref="D262:J262" si="179">D142+D157+D172+D202+D217+D232</f>
        <v>564</v>
      </c>
      <c r="E262" s="76">
        <f t="shared" si="179"/>
        <v>551</v>
      </c>
      <c r="F262" s="76">
        <f t="shared" si="179"/>
        <v>0</v>
      </c>
      <c r="G262" s="76">
        <f t="shared" si="170"/>
        <v>0</v>
      </c>
      <c r="H262" s="76">
        <f t="shared" si="179"/>
        <v>2071</v>
      </c>
      <c r="I262" s="76">
        <f t="shared" si="179"/>
        <v>9</v>
      </c>
      <c r="J262" s="76">
        <f t="shared" si="179"/>
        <v>23</v>
      </c>
      <c r="K262" s="78">
        <f t="shared" si="172"/>
        <v>11.255434782608695</v>
      </c>
      <c r="L262" s="79">
        <f t="shared" si="173"/>
        <v>3.7586206896551726</v>
      </c>
      <c r="M262" s="80">
        <f t="shared" si="174"/>
        <v>2.9201451905626135</v>
      </c>
      <c r="N262" s="81">
        <f t="shared" si="175"/>
        <v>27.55</v>
      </c>
      <c r="O262" s="79">
        <f t="shared" si="176"/>
        <v>56.277173913043477</v>
      </c>
      <c r="P262" s="82">
        <f t="shared" si="177"/>
        <v>0</v>
      </c>
    </row>
    <row r="263" spans="1:16" s="127" customFormat="1" ht="24.95" customHeight="1" x14ac:dyDescent="0.25">
      <c r="A263" s="83" t="s">
        <v>30</v>
      </c>
      <c r="B263" s="113">
        <f>'Male Emergency'!H240</f>
        <v>2</v>
      </c>
      <c r="C263" s="85">
        <v>10</v>
      </c>
      <c r="D263" s="76">
        <f t="shared" ref="D263:J263" si="180">D143+D158+D173+D203+D218+D233</f>
        <v>434</v>
      </c>
      <c r="E263" s="76">
        <f t="shared" si="180"/>
        <v>170</v>
      </c>
      <c r="F263" s="76">
        <f t="shared" si="180"/>
        <v>15</v>
      </c>
      <c r="G263" s="76">
        <f t="shared" si="170"/>
        <v>30</v>
      </c>
      <c r="H263" s="76">
        <f t="shared" si="180"/>
        <v>715</v>
      </c>
      <c r="I263" s="76">
        <f t="shared" si="180"/>
        <v>0</v>
      </c>
      <c r="J263" s="76">
        <f t="shared" si="180"/>
        <v>252</v>
      </c>
      <c r="K263" s="78">
        <f t="shared" si="172"/>
        <v>3.8858695652173911</v>
      </c>
      <c r="L263" s="79">
        <f t="shared" si="173"/>
        <v>3.8648648648648649</v>
      </c>
      <c r="M263" s="80">
        <f t="shared" si="174"/>
        <v>6.0810810810810807</v>
      </c>
      <c r="N263" s="81">
        <f t="shared" si="175"/>
        <v>18.5</v>
      </c>
      <c r="O263" s="79">
        <f t="shared" si="176"/>
        <v>38.858695652173914</v>
      </c>
      <c r="P263" s="82">
        <f t="shared" si="177"/>
        <v>8.1081081081081088</v>
      </c>
    </row>
    <row r="264" spans="1:16" s="127" customFormat="1" ht="24.95" customHeight="1" x14ac:dyDescent="0.25">
      <c r="A264" s="83" t="s">
        <v>31</v>
      </c>
      <c r="B264" s="113">
        <f>'BLK G'!H240</f>
        <v>3</v>
      </c>
      <c r="C264" s="85">
        <v>14</v>
      </c>
      <c r="D264" s="76">
        <f t="shared" ref="D264:J264" si="181">D144+D159+D174+D204+D219+D234</f>
        <v>821</v>
      </c>
      <c r="E264" s="76">
        <f t="shared" si="181"/>
        <v>729</v>
      </c>
      <c r="F264" s="76">
        <f t="shared" si="181"/>
        <v>0</v>
      </c>
      <c r="G264" s="76">
        <f t="shared" si="170"/>
        <v>0</v>
      </c>
      <c r="H264" s="76">
        <f t="shared" si="181"/>
        <v>2197</v>
      </c>
      <c r="I264" s="76">
        <f t="shared" si="181"/>
        <v>182</v>
      </c>
      <c r="J264" s="76">
        <f t="shared" si="181"/>
        <v>268</v>
      </c>
      <c r="K264" s="78">
        <f t="shared" si="172"/>
        <v>11.940217391304348</v>
      </c>
      <c r="L264" s="79">
        <f t="shared" si="173"/>
        <v>3.0137174211248285</v>
      </c>
      <c r="M264" s="80">
        <f t="shared" si="174"/>
        <v>0.51989026063100141</v>
      </c>
      <c r="N264" s="81">
        <f t="shared" si="175"/>
        <v>52.071428571428569</v>
      </c>
      <c r="O264" s="79">
        <f t="shared" si="176"/>
        <v>85.287267080745337</v>
      </c>
      <c r="P264" s="82">
        <f t="shared" si="177"/>
        <v>0</v>
      </c>
    </row>
    <row r="265" spans="1:16" s="127" customFormat="1" ht="24.95" customHeight="1" x14ac:dyDescent="0.25">
      <c r="A265" s="83" t="s">
        <v>32</v>
      </c>
      <c r="B265" s="113">
        <f>'BLK H'!H240</f>
        <v>10</v>
      </c>
      <c r="C265" s="85">
        <v>22</v>
      </c>
      <c r="D265" s="76">
        <f t="shared" ref="D265:J265" si="182">D145+D160+D175+D205+D220+D235</f>
        <v>480</v>
      </c>
      <c r="E265" s="76">
        <f t="shared" si="182"/>
        <v>581</v>
      </c>
      <c r="F265" s="76">
        <f t="shared" si="182"/>
        <v>0</v>
      </c>
      <c r="G265" s="76">
        <f t="shared" si="170"/>
        <v>0</v>
      </c>
      <c r="H265" s="76">
        <f t="shared" si="182"/>
        <v>2712</v>
      </c>
      <c r="I265" s="76">
        <f t="shared" si="182"/>
        <v>281</v>
      </c>
      <c r="J265" s="76">
        <f t="shared" si="182"/>
        <v>178</v>
      </c>
      <c r="K265" s="78">
        <f t="shared" si="172"/>
        <v>14.739130434782609</v>
      </c>
      <c r="L265" s="79">
        <f t="shared" si="173"/>
        <v>4.6678141135972462</v>
      </c>
      <c r="M265" s="80">
        <f t="shared" si="174"/>
        <v>2.2994836488812394</v>
      </c>
      <c r="N265" s="81">
        <f t="shared" si="175"/>
        <v>26.40909090909091</v>
      </c>
      <c r="O265" s="79">
        <f t="shared" si="176"/>
        <v>66.996047430830046</v>
      </c>
      <c r="P265" s="82">
        <f t="shared" si="177"/>
        <v>0</v>
      </c>
    </row>
    <row r="266" spans="1:16" s="127" customFormat="1" ht="24.95" customHeight="1" x14ac:dyDescent="0.25">
      <c r="A266" s="83" t="s">
        <v>33</v>
      </c>
      <c r="B266" s="113">
        <f>'Female Emergency'!H240</f>
        <v>1</v>
      </c>
      <c r="C266" s="85">
        <v>10</v>
      </c>
      <c r="D266" s="76">
        <f t="shared" ref="D266:J266" si="183">D146+D161+D176+D206+D221+D236</f>
        <v>360</v>
      </c>
      <c r="E266" s="76">
        <f t="shared" si="183"/>
        <v>123</v>
      </c>
      <c r="F266" s="76">
        <f t="shared" si="183"/>
        <v>13</v>
      </c>
      <c r="G266" s="76">
        <f t="shared" si="170"/>
        <v>25</v>
      </c>
      <c r="H266" s="76">
        <f t="shared" si="183"/>
        <v>384</v>
      </c>
      <c r="I266" s="76">
        <f t="shared" si="183"/>
        <v>1</v>
      </c>
      <c r="J266" s="76">
        <f t="shared" si="183"/>
        <v>215</v>
      </c>
      <c r="K266" s="78">
        <f t="shared" si="172"/>
        <v>2.0869565217391304</v>
      </c>
      <c r="L266" s="79">
        <f t="shared" si="173"/>
        <v>2.8235294117647061</v>
      </c>
      <c r="M266" s="80">
        <f t="shared" si="174"/>
        <v>10.705882352941176</v>
      </c>
      <c r="N266" s="81">
        <f t="shared" si="175"/>
        <v>13.6</v>
      </c>
      <c r="O266" s="79">
        <f t="shared" si="176"/>
        <v>20.869565217391305</v>
      </c>
      <c r="P266" s="82">
        <f t="shared" si="177"/>
        <v>9.5588235294117645</v>
      </c>
    </row>
    <row r="267" spans="1:16" s="127" customFormat="1" ht="24.95" customHeight="1" thickBot="1" x14ac:dyDescent="0.3">
      <c r="A267" s="91" t="s">
        <v>34</v>
      </c>
      <c r="B267" s="114">
        <f>Neonatal!H240</f>
        <v>8</v>
      </c>
      <c r="C267" s="93">
        <v>15</v>
      </c>
      <c r="D267" s="76">
        <f t="shared" ref="D267:J267" si="184">D147+D162+D177+D207+D222+D237</f>
        <v>325</v>
      </c>
      <c r="E267" s="76">
        <f t="shared" si="184"/>
        <v>304</v>
      </c>
      <c r="F267" s="76">
        <f t="shared" si="184"/>
        <v>14</v>
      </c>
      <c r="G267" s="76">
        <f t="shared" si="170"/>
        <v>0</v>
      </c>
      <c r="H267" s="76">
        <f t="shared" si="184"/>
        <v>2472</v>
      </c>
      <c r="I267" s="76">
        <f t="shared" si="184"/>
        <v>0</v>
      </c>
      <c r="J267" s="76">
        <f t="shared" si="184"/>
        <v>1</v>
      </c>
      <c r="K267" s="78">
        <f t="shared" si="172"/>
        <v>13.434782608695652</v>
      </c>
      <c r="L267" s="97">
        <f t="shared" si="173"/>
        <v>7.7735849056603774</v>
      </c>
      <c r="M267" s="80">
        <f t="shared" si="174"/>
        <v>0.90566037735849059</v>
      </c>
      <c r="N267" s="99">
        <f t="shared" si="175"/>
        <v>21.2</v>
      </c>
      <c r="O267" s="79">
        <f t="shared" si="176"/>
        <v>89.565217391304344</v>
      </c>
      <c r="P267" s="116">
        <f t="shared" si="177"/>
        <v>4.4025157232704402</v>
      </c>
    </row>
    <row r="268" spans="1:16" ht="16.5" thickBot="1" x14ac:dyDescent="0.3">
      <c r="A268" s="101" t="s">
        <v>35</v>
      </c>
      <c r="B268" s="136">
        <f t="shared" ref="B268:J268" si="185">SUM(B259:B267)</f>
        <v>73</v>
      </c>
      <c r="C268" s="103">
        <f t="shared" si="185"/>
        <v>178</v>
      </c>
      <c r="D268" s="104">
        <f t="shared" si="185"/>
        <v>2984</v>
      </c>
      <c r="E268" s="104">
        <f t="shared" si="185"/>
        <v>2458</v>
      </c>
      <c r="F268" s="104">
        <f t="shared" si="185"/>
        <v>42</v>
      </c>
      <c r="G268" s="104">
        <f t="shared" si="185"/>
        <v>55</v>
      </c>
      <c r="H268" s="104">
        <f t="shared" si="185"/>
        <v>17727</v>
      </c>
      <c r="I268" s="104">
        <f t="shared" si="185"/>
        <v>473</v>
      </c>
      <c r="J268" s="137">
        <f t="shared" si="185"/>
        <v>937</v>
      </c>
      <c r="K268" s="138">
        <f>H268/184</f>
        <v>96.342391304347828</v>
      </c>
      <c r="L268" s="139">
        <f t="shared" si="173"/>
        <v>7.0907999999999998</v>
      </c>
      <c r="M268" s="140">
        <f>((C268*184)-H268)/(E268+F268)</f>
        <v>6.01</v>
      </c>
      <c r="N268" s="141">
        <f t="shared" si="175"/>
        <v>14.044943820224718</v>
      </c>
      <c r="O268" s="139">
        <f>H268*100/(C268*184)</f>
        <v>54.124938935026869</v>
      </c>
      <c r="P268" s="142">
        <f t="shared" si="177"/>
        <v>1.68</v>
      </c>
    </row>
    <row r="269" spans="1:16" x14ac:dyDescent="0.25">
      <c r="A269" s="235" t="s">
        <v>196</v>
      </c>
      <c r="B269" s="253">
        <f>B263+B266</f>
        <v>3</v>
      </c>
      <c r="C269" s="253">
        <f t="shared" ref="C269:J269" si="186">C263+C266</f>
        <v>20</v>
      </c>
      <c r="D269" s="253">
        <f t="shared" si="186"/>
        <v>794</v>
      </c>
      <c r="E269" s="253">
        <f t="shared" si="186"/>
        <v>293</v>
      </c>
      <c r="F269" s="253">
        <f t="shared" si="186"/>
        <v>28</v>
      </c>
      <c r="G269" s="253">
        <f t="shared" si="186"/>
        <v>55</v>
      </c>
      <c r="H269" s="253">
        <f t="shared" si="186"/>
        <v>1099</v>
      </c>
      <c r="I269" s="253">
        <f>I263+I266</f>
        <v>1</v>
      </c>
      <c r="J269" s="253">
        <f t="shared" si="186"/>
        <v>467</v>
      </c>
      <c r="K269" s="236">
        <f>H269/184</f>
        <v>5.9728260869565215</v>
      </c>
      <c r="L269" s="237">
        <f t="shared" si="173"/>
        <v>3.4236760124610592</v>
      </c>
      <c r="M269" s="238">
        <f>((C269*184)-H269)/(E269+F269)</f>
        <v>8.0404984423676016</v>
      </c>
      <c r="N269" s="239">
        <f t="shared" si="175"/>
        <v>16.05</v>
      </c>
      <c r="O269" s="237">
        <f>H269*100/(C269*184)</f>
        <v>29.864130434782609</v>
      </c>
      <c r="P269" s="240">
        <f>F269*100/(D269)</f>
        <v>3.5264483627204029</v>
      </c>
    </row>
    <row r="271" spans="1:16" ht="25.5" x14ac:dyDescent="0.35">
      <c r="A271" s="602" t="s">
        <v>1</v>
      </c>
      <c r="B271" s="602"/>
      <c r="C271" s="602"/>
      <c r="D271" s="602"/>
      <c r="E271" s="602"/>
      <c r="F271" s="602"/>
      <c r="G271" s="602"/>
      <c r="H271" s="602"/>
      <c r="I271" s="602"/>
      <c r="J271" s="602"/>
      <c r="K271" s="602"/>
      <c r="L271" s="602"/>
      <c r="M271" s="602"/>
      <c r="N271" s="602"/>
      <c r="O271" s="602"/>
      <c r="P271" s="602"/>
    </row>
    <row r="272" spans="1:16" ht="26.25" thickBot="1" x14ac:dyDescent="0.4">
      <c r="A272" s="601" t="s">
        <v>202</v>
      </c>
      <c r="B272" s="601"/>
      <c r="C272" s="601"/>
      <c r="D272" s="601"/>
      <c r="E272" s="601"/>
      <c r="F272" s="601"/>
      <c r="G272" s="601"/>
      <c r="H272" s="601"/>
      <c r="I272" s="601"/>
      <c r="J272" s="601"/>
      <c r="K272" s="601"/>
      <c r="L272" s="601"/>
      <c r="M272" s="601"/>
      <c r="N272" s="601"/>
      <c r="O272" s="601"/>
      <c r="P272" s="601"/>
    </row>
    <row r="273" spans="1:16" s="184" customFormat="1" ht="36.75" customHeight="1" thickBot="1" x14ac:dyDescent="0.25">
      <c r="A273" s="176" t="s">
        <v>20</v>
      </c>
      <c r="B273" s="177" t="s">
        <v>190</v>
      </c>
      <c r="C273" s="178" t="s">
        <v>21</v>
      </c>
      <c r="D273" s="178" t="s">
        <v>9</v>
      </c>
      <c r="E273" s="178" t="s">
        <v>10</v>
      </c>
      <c r="F273" s="178" t="s">
        <v>11</v>
      </c>
      <c r="G273" s="178" t="s">
        <v>80</v>
      </c>
      <c r="H273" s="178" t="s">
        <v>25</v>
      </c>
      <c r="I273" s="178" t="s">
        <v>23</v>
      </c>
      <c r="J273" s="179" t="s">
        <v>24</v>
      </c>
      <c r="K273" s="180" t="s">
        <v>43</v>
      </c>
      <c r="L273" s="178" t="s">
        <v>44</v>
      </c>
      <c r="M273" s="181" t="s">
        <v>45</v>
      </c>
      <c r="N273" s="178" t="s">
        <v>46</v>
      </c>
      <c r="O273" s="178" t="s">
        <v>47</v>
      </c>
      <c r="P273" s="179" t="s">
        <v>48</v>
      </c>
    </row>
    <row r="274" spans="1:16" s="127" customFormat="1" ht="24.95" customHeight="1" thickBot="1" x14ac:dyDescent="0.3">
      <c r="A274" s="73" t="s">
        <v>26</v>
      </c>
      <c r="B274" s="74">
        <f>B4</f>
        <v>18</v>
      </c>
      <c r="C274" s="75">
        <v>32</v>
      </c>
      <c r="D274" s="76">
        <f t="shared" ref="D274:J274" si="187">D124+D259</f>
        <v>0</v>
      </c>
      <c r="E274" s="76">
        <f t="shared" si="187"/>
        <v>0</v>
      </c>
      <c r="F274" s="76">
        <f t="shared" si="187"/>
        <v>0</v>
      </c>
      <c r="G274" s="76">
        <f t="shared" ref="G274:G282" si="188">G124+G259</f>
        <v>0</v>
      </c>
      <c r="H274" s="76">
        <f t="shared" si="187"/>
        <v>6588</v>
      </c>
      <c r="I274" s="76">
        <f t="shared" si="187"/>
        <v>0</v>
      </c>
      <c r="J274" s="77">
        <f t="shared" si="187"/>
        <v>0</v>
      </c>
      <c r="K274" s="78">
        <f>H274/366</f>
        <v>18</v>
      </c>
      <c r="L274" s="79" t="e">
        <f>H274/(E274+F274)</f>
        <v>#DIV/0!</v>
      </c>
      <c r="M274" s="80" t="e">
        <f>((C274*366)-H274)/(E274+F274)</f>
        <v>#DIV/0!</v>
      </c>
      <c r="N274" s="81">
        <f>(E274+F274)/C274</f>
        <v>0</v>
      </c>
      <c r="O274" s="79">
        <f>H274*100/(C274*366)</f>
        <v>56.25</v>
      </c>
      <c r="P274" s="142" t="e">
        <f t="shared" ref="P274:P283" si="189">(F274/D274)*100</f>
        <v>#DIV/0!</v>
      </c>
    </row>
    <row r="275" spans="1:16" s="127" customFormat="1" ht="24.95" customHeight="1" thickBot="1" x14ac:dyDescent="0.3">
      <c r="A275" s="83" t="s">
        <v>27</v>
      </c>
      <c r="B275" s="74">
        <f t="shared" ref="B275:B282" si="190">B5</f>
        <v>6</v>
      </c>
      <c r="C275" s="85">
        <v>27</v>
      </c>
      <c r="D275" s="76">
        <f t="shared" ref="D275:J275" si="191">D125+D260</f>
        <v>0</v>
      </c>
      <c r="E275" s="76">
        <f t="shared" si="191"/>
        <v>0</v>
      </c>
      <c r="F275" s="76">
        <f t="shared" si="191"/>
        <v>0</v>
      </c>
      <c r="G275" s="76">
        <f t="shared" si="188"/>
        <v>0</v>
      </c>
      <c r="H275" s="76">
        <f t="shared" si="191"/>
        <v>2196</v>
      </c>
      <c r="I275" s="76">
        <f t="shared" si="191"/>
        <v>0</v>
      </c>
      <c r="J275" s="77">
        <f t="shared" si="191"/>
        <v>0</v>
      </c>
      <c r="K275" s="78">
        <f t="shared" ref="K275:K282" si="192">H275/366</f>
        <v>6</v>
      </c>
      <c r="L275" s="79" t="e">
        <f t="shared" ref="L275:L282" si="193">H275/(E275+F275)</f>
        <v>#DIV/0!</v>
      </c>
      <c r="M275" s="80" t="e">
        <f t="shared" ref="M275:M282" si="194">((C275*366)-H275)/(E275+F275)</f>
        <v>#DIV/0!</v>
      </c>
      <c r="N275" s="81">
        <f t="shared" ref="N275:N282" si="195">(E275+F275)/C275</f>
        <v>0</v>
      </c>
      <c r="O275" s="79">
        <f t="shared" ref="O275:O282" si="196">H275*100/(C275*366)</f>
        <v>22.222222222222221</v>
      </c>
      <c r="P275" s="142" t="e">
        <f t="shared" si="189"/>
        <v>#DIV/0!</v>
      </c>
    </row>
    <row r="276" spans="1:16" s="127" customFormat="1" ht="24.95" customHeight="1" thickBot="1" x14ac:dyDescent="0.3">
      <c r="A276" s="83" t="s">
        <v>28</v>
      </c>
      <c r="B276" s="74">
        <f t="shared" si="190"/>
        <v>15</v>
      </c>
      <c r="C276" s="85">
        <v>28</v>
      </c>
      <c r="D276" s="76">
        <f t="shared" ref="D276:J276" si="197">D126+D261</f>
        <v>67</v>
      </c>
      <c r="E276" s="76">
        <f t="shared" si="197"/>
        <v>0</v>
      </c>
      <c r="F276" s="76">
        <f t="shared" si="197"/>
        <v>0</v>
      </c>
      <c r="G276" s="76">
        <f t="shared" si="188"/>
        <v>0</v>
      </c>
      <c r="H276" s="76">
        <f t="shared" si="197"/>
        <v>5490</v>
      </c>
      <c r="I276" s="76">
        <f t="shared" si="197"/>
        <v>0</v>
      </c>
      <c r="J276" s="77">
        <f t="shared" si="197"/>
        <v>0</v>
      </c>
      <c r="K276" s="78">
        <f t="shared" si="192"/>
        <v>15</v>
      </c>
      <c r="L276" s="79" t="e">
        <f t="shared" si="193"/>
        <v>#DIV/0!</v>
      </c>
      <c r="M276" s="80" t="e">
        <f t="shared" si="194"/>
        <v>#DIV/0!</v>
      </c>
      <c r="N276" s="81">
        <f t="shared" si="195"/>
        <v>0</v>
      </c>
      <c r="O276" s="79">
        <f t="shared" si="196"/>
        <v>53.571428571428569</v>
      </c>
      <c r="P276" s="142">
        <f t="shared" si="189"/>
        <v>0</v>
      </c>
    </row>
    <row r="277" spans="1:16" s="127" customFormat="1" ht="24.95" customHeight="1" thickBot="1" x14ac:dyDescent="0.3">
      <c r="A277" s="83" t="s">
        <v>29</v>
      </c>
      <c r="B277" s="74">
        <f t="shared" si="190"/>
        <v>12</v>
      </c>
      <c r="C277" s="85">
        <v>20</v>
      </c>
      <c r="D277" s="76">
        <f t="shared" ref="D277:J277" si="198">D127+D262</f>
        <v>1043</v>
      </c>
      <c r="E277" s="76">
        <f t="shared" si="198"/>
        <v>1025</v>
      </c>
      <c r="F277" s="76">
        <f t="shared" si="198"/>
        <v>1</v>
      </c>
      <c r="G277" s="76">
        <f t="shared" si="188"/>
        <v>0</v>
      </c>
      <c r="H277" s="76">
        <f t="shared" si="198"/>
        <v>3696</v>
      </c>
      <c r="I277" s="76">
        <f t="shared" si="198"/>
        <v>21</v>
      </c>
      <c r="J277" s="77">
        <f t="shared" si="198"/>
        <v>41</v>
      </c>
      <c r="K277" s="78">
        <f t="shared" si="192"/>
        <v>10.098360655737705</v>
      </c>
      <c r="L277" s="79">
        <f t="shared" si="193"/>
        <v>3.6023391812865495</v>
      </c>
      <c r="M277" s="80">
        <f t="shared" si="194"/>
        <v>3.5321637426900585</v>
      </c>
      <c r="N277" s="81">
        <f t="shared" si="195"/>
        <v>51.3</v>
      </c>
      <c r="O277" s="79">
        <f t="shared" si="196"/>
        <v>50.491803278688522</v>
      </c>
      <c r="P277" s="142">
        <f t="shared" si="189"/>
        <v>9.5877277085330767E-2</v>
      </c>
    </row>
    <row r="278" spans="1:16" s="127" customFormat="1" ht="24.95" customHeight="1" thickBot="1" x14ac:dyDescent="0.3">
      <c r="A278" s="83" t="s">
        <v>30</v>
      </c>
      <c r="B278" s="74">
        <f t="shared" si="190"/>
        <v>2</v>
      </c>
      <c r="C278" s="85">
        <v>10</v>
      </c>
      <c r="D278" s="76">
        <f t="shared" ref="D278:J278" si="199">D128+D263</f>
        <v>795</v>
      </c>
      <c r="E278" s="76">
        <f t="shared" si="199"/>
        <v>298</v>
      </c>
      <c r="F278" s="76">
        <f t="shared" si="199"/>
        <v>36</v>
      </c>
      <c r="G278" s="76">
        <f t="shared" si="188"/>
        <v>62</v>
      </c>
      <c r="H278" s="76">
        <f t="shared" si="199"/>
        <v>1322</v>
      </c>
      <c r="I278" s="76">
        <f t="shared" si="199"/>
        <v>0</v>
      </c>
      <c r="J278" s="77">
        <f t="shared" si="199"/>
        <v>464</v>
      </c>
      <c r="K278" s="78">
        <f t="shared" si="192"/>
        <v>3.6120218579234971</v>
      </c>
      <c r="L278" s="79">
        <f t="shared" si="193"/>
        <v>3.9580838323353293</v>
      </c>
      <c r="M278" s="80">
        <f t="shared" si="194"/>
        <v>7</v>
      </c>
      <c r="N278" s="81">
        <f t="shared" si="195"/>
        <v>33.4</v>
      </c>
      <c r="O278" s="79">
        <f t="shared" si="196"/>
        <v>36.120218579234972</v>
      </c>
      <c r="P278" s="142">
        <f t="shared" si="189"/>
        <v>4.5283018867924527</v>
      </c>
    </row>
    <row r="279" spans="1:16" s="127" customFormat="1" ht="24.95" customHeight="1" thickBot="1" x14ac:dyDescent="0.3">
      <c r="A279" s="83" t="s">
        <v>31</v>
      </c>
      <c r="B279" s="74">
        <f t="shared" si="190"/>
        <v>8</v>
      </c>
      <c r="C279" s="85">
        <v>14</v>
      </c>
      <c r="D279" s="76">
        <f t="shared" ref="D279:J279" si="200">D129+D264</f>
        <v>1511</v>
      </c>
      <c r="E279" s="76">
        <f t="shared" si="200"/>
        <v>1329</v>
      </c>
      <c r="F279" s="76">
        <f t="shared" si="200"/>
        <v>0</v>
      </c>
      <c r="G279" s="76">
        <f t="shared" si="188"/>
        <v>0</v>
      </c>
      <c r="H279" s="76">
        <f t="shared" si="200"/>
        <v>3821</v>
      </c>
      <c r="I279" s="76">
        <f t="shared" si="200"/>
        <v>323</v>
      </c>
      <c r="J279" s="77">
        <f t="shared" si="200"/>
        <v>504</v>
      </c>
      <c r="K279" s="78">
        <f t="shared" si="192"/>
        <v>10.439890710382514</v>
      </c>
      <c r="L279" s="79">
        <f t="shared" si="193"/>
        <v>2.8750940556809632</v>
      </c>
      <c r="M279" s="80">
        <f t="shared" si="194"/>
        <v>0.98043641835966888</v>
      </c>
      <c r="N279" s="81">
        <f t="shared" si="195"/>
        <v>94.928571428571431</v>
      </c>
      <c r="O279" s="79">
        <f t="shared" si="196"/>
        <v>74.570647931303668</v>
      </c>
      <c r="P279" s="142">
        <f t="shared" si="189"/>
        <v>0</v>
      </c>
    </row>
    <row r="280" spans="1:16" s="127" customFormat="1" ht="24.95" customHeight="1" thickBot="1" x14ac:dyDescent="0.3">
      <c r="A280" s="83" t="s">
        <v>32</v>
      </c>
      <c r="B280" s="74">
        <f t="shared" si="190"/>
        <v>12</v>
      </c>
      <c r="C280" s="85">
        <v>22</v>
      </c>
      <c r="D280" s="76">
        <f t="shared" ref="D280:J280" si="201">D130+D265</f>
        <v>859</v>
      </c>
      <c r="E280" s="76">
        <f t="shared" si="201"/>
        <v>1072</v>
      </c>
      <c r="F280" s="76">
        <f t="shared" si="201"/>
        <v>0</v>
      </c>
      <c r="G280" s="76">
        <f t="shared" si="188"/>
        <v>0</v>
      </c>
      <c r="H280" s="76">
        <f t="shared" si="201"/>
        <v>4832</v>
      </c>
      <c r="I280" s="76">
        <f t="shared" si="201"/>
        <v>525</v>
      </c>
      <c r="J280" s="77">
        <f t="shared" si="201"/>
        <v>312</v>
      </c>
      <c r="K280" s="78">
        <f t="shared" si="192"/>
        <v>13.202185792349727</v>
      </c>
      <c r="L280" s="79">
        <f t="shared" si="193"/>
        <v>4.5074626865671643</v>
      </c>
      <c r="M280" s="80">
        <f t="shared" si="194"/>
        <v>3.0037313432835822</v>
      </c>
      <c r="N280" s="81">
        <f t="shared" si="195"/>
        <v>48.727272727272727</v>
      </c>
      <c r="O280" s="79">
        <f t="shared" si="196"/>
        <v>60.009935419771487</v>
      </c>
      <c r="P280" s="142">
        <f t="shared" si="189"/>
        <v>0</v>
      </c>
    </row>
    <row r="281" spans="1:16" s="127" customFormat="1" ht="24.95" customHeight="1" thickBot="1" x14ac:dyDescent="0.3">
      <c r="A281" s="83" t="s">
        <v>33</v>
      </c>
      <c r="B281" s="74">
        <f t="shared" si="190"/>
        <v>4</v>
      </c>
      <c r="C281" s="85">
        <v>10</v>
      </c>
      <c r="D281" s="76">
        <f t="shared" ref="D281:J281" si="202">D131+D266</f>
        <v>689</v>
      </c>
      <c r="E281" s="76">
        <f t="shared" si="202"/>
        <v>229</v>
      </c>
      <c r="F281" s="76">
        <f t="shared" si="202"/>
        <v>36</v>
      </c>
      <c r="G281" s="76">
        <f t="shared" si="188"/>
        <v>36</v>
      </c>
      <c r="H281" s="76">
        <f t="shared" si="202"/>
        <v>866</v>
      </c>
      <c r="I281" s="76">
        <f t="shared" si="202"/>
        <v>1</v>
      </c>
      <c r="J281" s="77">
        <f t="shared" si="202"/>
        <v>418</v>
      </c>
      <c r="K281" s="78">
        <f t="shared" si="192"/>
        <v>2.3661202185792352</v>
      </c>
      <c r="L281" s="79">
        <f t="shared" si="193"/>
        <v>3.267924528301887</v>
      </c>
      <c r="M281" s="80">
        <f t="shared" si="194"/>
        <v>10.543396226415094</v>
      </c>
      <c r="N281" s="81">
        <f t="shared" si="195"/>
        <v>26.5</v>
      </c>
      <c r="O281" s="79">
        <f t="shared" si="196"/>
        <v>23.661202185792348</v>
      </c>
      <c r="P281" s="142">
        <f t="shared" si="189"/>
        <v>5.2249637155297535</v>
      </c>
    </row>
    <row r="282" spans="1:16" s="127" customFormat="1" ht="24.95" customHeight="1" thickBot="1" x14ac:dyDescent="0.3">
      <c r="A282" s="91" t="s">
        <v>34</v>
      </c>
      <c r="B282" s="74">
        <f t="shared" si="190"/>
        <v>11</v>
      </c>
      <c r="C282" s="93">
        <v>15</v>
      </c>
      <c r="D282" s="76">
        <f t="shared" ref="D282:J282" si="203">D132+D267</f>
        <v>653</v>
      </c>
      <c r="E282" s="76">
        <f t="shared" si="203"/>
        <v>623</v>
      </c>
      <c r="F282" s="76">
        <f t="shared" si="203"/>
        <v>25</v>
      </c>
      <c r="G282" s="76">
        <f t="shared" si="188"/>
        <v>0</v>
      </c>
      <c r="H282" s="76">
        <f t="shared" si="203"/>
        <v>4911</v>
      </c>
      <c r="I282" s="76">
        <f t="shared" si="203"/>
        <v>0</v>
      </c>
      <c r="J282" s="77">
        <f t="shared" si="203"/>
        <v>2</v>
      </c>
      <c r="K282" s="78">
        <f t="shared" si="192"/>
        <v>13.418032786885245</v>
      </c>
      <c r="L282" s="79">
        <f t="shared" si="193"/>
        <v>7.5787037037037033</v>
      </c>
      <c r="M282" s="80">
        <f t="shared" si="194"/>
        <v>0.89351851851851849</v>
      </c>
      <c r="N282" s="81">
        <f t="shared" si="195"/>
        <v>43.2</v>
      </c>
      <c r="O282" s="79">
        <f t="shared" si="196"/>
        <v>89.453551912568301</v>
      </c>
      <c r="P282" s="142">
        <f t="shared" si="189"/>
        <v>3.828483920367534</v>
      </c>
    </row>
    <row r="283" spans="1:16" ht="16.5" thickBot="1" x14ac:dyDescent="0.3">
      <c r="A283" s="101" t="s">
        <v>35</v>
      </c>
      <c r="B283" s="102">
        <f t="shared" ref="B283:J283" si="204">SUM(B274:B282)</f>
        <v>88</v>
      </c>
      <c r="C283" s="103">
        <f t="shared" si="204"/>
        <v>178</v>
      </c>
      <c r="D283" s="104">
        <f t="shared" si="204"/>
        <v>5617</v>
      </c>
      <c r="E283" s="104">
        <f t="shared" si="204"/>
        <v>4576</v>
      </c>
      <c r="F283" s="104">
        <f t="shared" si="204"/>
        <v>98</v>
      </c>
      <c r="G283" s="104">
        <f t="shared" si="204"/>
        <v>98</v>
      </c>
      <c r="H283" s="104">
        <f t="shared" si="204"/>
        <v>33722</v>
      </c>
      <c r="I283" s="104">
        <f t="shared" si="204"/>
        <v>870</v>
      </c>
      <c r="J283" s="137">
        <f t="shared" si="204"/>
        <v>1741</v>
      </c>
      <c r="K283" s="138">
        <f>H283/366</f>
        <v>92.136612021857928</v>
      </c>
      <c r="L283" s="139">
        <f>H283/(E283+F283)</f>
        <v>7.2148053059477961</v>
      </c>
      <c r="M283" s="140">
        <f>((C283*366)-H283)/(E283+F283)</f>
        <v>6.7235772357723578</v>
      </c>
      <c r="N283" s="141">
        <f>(E283+F283)/C283</f>
        <v>26.258426966292134</v>
      </c>
      <c r="O283" s="139">
        <f>H283*100/(C283*366)</f>
        <v>51.762141585313444</v>
      </c>
      <c r="P283" s="142">
        <f t="shared" si="189"/>
        <v>1.7447035784226455</v>
      </c>
    </row>
    <row r="284" spans="1:16" x14ac:dyDescent="0.25">
      <c r="A284" s="235" t="s">
        <v>196</v>
      </c>
      <c r="B284" s="253">
        <f>B278+B281</f>
        <v>6</v>
      </c>
      <c r="C284" s="253">
        <f t="shared" ref="C284:J284" si="205">C278+C281</f>
        <v>20</v>
      </c>
      <c r="D284" s="253">
        <f t="shared" si="205"/>
        <v>1484</v>
      </c>
      <c r="E284" s="253">
        <f t="shared" si="205"/>
        <v>527</v>
      </c>
      <c r="F284" s="253">
        <f t="shared" si="205"/>
        <v>72</v>
      </c>
      <c r="G284" s="253">
        <f t="shared" si="205"/>
        <v>98</v>
      </c>
      <c r="H284" s="253">
        <f t="shared" si="205"/>
        <v>2188</v>
      </c>
      <c r="I284" s="253">
        <f>I278+I281</f>
        <v>1</v>
      </c>
      <c r="J284" s="253">
        <f t="shared" si="205"/>
        <v>882</v>
      </c>
      <c r="K284" s="236">
        <f>H284/366</f>
        <v>5.9781420765027322</v>
      </c>
      <c r="L284" s="237">
        <f>H284/(E284+F284)</f>
        <v>3.652754590984975</v>
      </c>
      <c r="M284" s="238">
        <f>((C284*366)-H284)/(E284+F284)</f>
        <v>8.5676126878130212</v>
      </c>
      <c r="N284" s="239">
        <f>(E284+F284)/C284</f>
        <v>29.95</v>
      </c>
      <c r="O284" s="237">
        <f>H284*100/(C284*366)</f>
        <v>29.89071038251366</v>
      </c>
      <c r="P284" s="240">
        <f>F284*100/(D284)</f>
        <v>4.8517520215633425</v>
      </c>
    </row>
    <row r="290" spans="3:3" x14ac:dyDescent="0.25">
      <c r="C290" s="72" t="s">
        <v>49</v>
      </c>
    </row>
  </sheetData>
  <mergeCells count="38">
    <mergeCell ref="A242:P242"/>
    <mergeCell ref="A256:P256"/>
    <mergeCell ref="A257:P257"/>
    <mergeCell ref="A271:P271"/>
    <mergeCell ref="A272:P272"/>
    <mergeCell ref="A211:P211"/>
    <mergeCell ref="A212:P212"/>
    <mergeCell ref="A226:P226"/>
    <mergeCell ref="A227:P227"/>
    <mergeCell ref="A241:P241"/>
    <mergeCell ref="A167:P167"/>
    <mergeCell ref="A181:P181"/>
    <mergeCell ref="A182:P182"/>
    <mergeCell ref="A196:P196"/>
    <mergeCell ref="A197:P197"/>
    <mergeCell ref="A136:P136"/>
    <mergeCell ref="A137:P137"/>
    <mergeCell ref="A151:P151"/>
    <mergeCell ref="A152:P152"/>
    <mergeCell ref="A166:P166"/>
    <mergeCell ref="A61:P61"/>
    <mergeCell ref="A62:P62"/>
    <mergeCell ref="A76:P76"/>
    <mergeCell ref="A77:P77"/>
    <mergeCell ref="A91:P91"/>
    <mergeCell ref="A92:P92"/>
    <mergeCell ref="A106:P106"/>
    <mergeCell ref="A107:P107"/>
    <mergeCell ref="A121:P121"/>
    <mergeCell ref="A122:P122"/>
    <mergeCell ref="A32:P32"/>
    <mergeCell ref="A46:P46"/>
    <mergeCell ref="A47:P47"/>
    <mergeCell ref="A1:P1"/>
    <mergeCell ref="A2:P2"/>
    <mergeCell ref="A16:P16"/>
    <mergeCell ref="A17:P17"/>
    <mergeCell ref="A31:P31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6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P12"/>
  <sheetViews>
    <sheetView workbookViewId="0">
      <selection activeCell="F16" sqref="F16"/>
    </sheetView>
  </sheetViews>
  <sheetFormatPr defaultRowHeight="15" x14ac:dyDescent="0.25"/>
  <sheetData>
    <row r="2" spans="1:16" ht="15.75" thickBot="1" x14ac:dyDescent="0.3"/>
    <row r="3" spans="1:16" ht="45.75" thickBot="1" x14ac:dyDescent="0.3">
      <c r="A3" s="176" t="s">
        <v>20</v>
      </c>
      <c r="B3" s="180" t="s">
        <v>22</v>
      </c>
      <c r="C3" s="178" t="s">
        <v>21</v>
      </c>
      <c r="D3" s="178" t="s">
        <v>9</v>
      </c>
      <c r="E3" s="178" t="s">
        <v>10</v>
      </c>
      <c r="F3" s="178" t="s">
        <v>11</v>
      </c>
      <c r="G3" s="178" t="s">
        <v>80</v>
      </c>
      <c r="H3" s="178" t="s">
        <v>25</v>
      </c>
      <c r="I3" s="178" t="s">
        <v>23</v>
      </c>
      <c r="J3" s="178" t="s">
        <v>24</v>
      </c>
      <c r="K3" s="178" t="s">
        <v>43</v>
      </c>
      <c r="L3" s="178" t="s">
        <v>44</v>
      </c>
      <c r="M3" s="181" t="s">
        <v>45</v>
      </c>
      <c r="N3" s="178" t="s">
        <v>46</v>
      </c>
      <c r="O3" s="178" t="s">
        <v>47</v>
      </c>
      <c r="P3" s="179" t="s">
        <v>48</v>
      </c>
    </row>
    <row r="4" spans="1:16" ht="15.75" x14ac:dyDescent="0.25">
      <c r="A4" s="83" t="s">
        <v>31</v>
      </c>
      <c r="B4" s="113">
        <v>3</v>
      </c>
      <c r="C4" s="85">
        <v>14</v>
      </c>
      <c r="D4" s="76">
        <v>964</v>
      </c>
      <c r="E4" s="76">
        <v>237</v>
      </c>
      <c r="F4" s="76">
        <v>1</v>
      </c>
      <c r="G4" s="76">
        <v>0</v>
      </c>
      <c r="H4" s="76">
        <v>2140</v>
      </c>
      <c r="I4" s="76">
        <v>0</v>
      </c>
      <c r="J4" s="76">
        <v>721</v>
      </c>
      <c r="K4" s="78">
        <f>H4/181</f>
        <v>11.823204419889503</v>
      </c>
      <c r="L4" s="79">
        <f>H4/(E4+F4)</f>
        <v>8.9915966386554622</v>
      </c>
      <c r="M4" s="80">
        <f>((C4*181)-H4)/(E4+F4)</f>
        <v>1.6554621848739495</v>
      </c>
      <c r="N4" s="81">
        <f>(E4+F4)/C4</f>
        <v>17</v>
      </c>
      <c r="O4" s="79">
        <f>H4*100/(C4*181)</f>
        <v>84.451460142067873</v>
      </c>
      <c r="P4" s="82">
        <f>F4*100/(E4+F4)</f>
        <v>0.42016806722689076</v>
      </c>
    </row>
    <row r="5" spans="1:16" ht="16.5" thickBot="1" x14ac:dyDescent="0.3">
      <c r="A5" s="83" t="s">
        <v>32</v>
      </c>
      <c r="B5" s="113">
        <v>7</v>
      </c>
      <c r="C5" s="85">
        <v>22</v>
      </c>
      <c r="D5" s="76">
        <v>446</v>
      </c>
      <c r="E5" s="76">
        <v>1168</v>
      </c>
      <c r="F5" s="76">
        <v>1</v>
      </c>
      <c r="G5" s="76">
        <v>0</v>
      </c>
      <c r="H5" s="76">
        <v>2044</v>
      </c>
      <c r="I5" s="76">
        <v>722</v>
      </c>
      <c r="J5" s="76">
        <v>1</v>
      </c>
      <c r="K5" s="78">
        <f>H5/181</f>
        <v>11.292817679558011</v>
      </c>
      <c r="L5" s="79">
        <f>H5/(E5+F5)</f>
        <v>1.7485029940119761</v>
      </c>
      <c r="M5" s="80">
        <f>((C5*181)-H5)/(E5+F5)</f>
        <v>1.6578272027373824</v>
      </c>
      <c r="N5" s="81">
        <f>(E5+F5)/C5</f>
        <v>53.136363636363633</v>
      </c>
      <c r="O5" s="79">
        <f>H5*100/(C5*181)</f>
        <v>51.330989452536414</v>
      </c>
      <c r="P5" s="82">
        <f>F5*100/(E5+F5)</f>
        <v>8.5543199315654406E-2</v>
      </c>
    </row>
    <row r="6" spans="1:16" ht="15.75" thickBot="1" x14ac:dyDescent="0.3">
      <c r="B6" s="136">
        <f>SUM(B4:B5)</f>
        <v>10</v>
      </c>
      <c r="C6" s="136">
        <f t="shared" ref="C6:J6" si="0">SUM(C4:C5)</f>
        <v>36</v>
      </c>
      <c r="D6" s="136">
        <f t="shared" si="0"/>
        <v>1410</v>
      </c>
      <c r="E6" s="136">
        <f t="shared" si="0"/>
        <v>1405</v>
      </c>
      <c r="F6" s="136">
        <f t="shared" si="0"/>
        <v>2</v>
      </c>
      <c r="G6" s="136">
        <f t="shared" si="0"/>
        <v>0</v>
      </c>
      <c r="H6" s="136">
        <f t="shared" si="0"/>
        <v>4184</v>
      </c>
      <c r="I6" s="136">
        <f t="shared" si="0"/>
        <v>722</v>
      </c>
      <c r="J6" s="136">
        <f t="shared" si="0"/>
        <v>722</v>
      </c>
      <c r="K6" s="138">
        <f>H6/181</f>
        <v>23.116022099447513</v>
      </c>
      <c r="L6" s="139">
        <f>H6/(E6+F6)</f>
        <v>2.9737029140014215</v>
      </c>
      <c r="M6" s="140">
        <f>((C6*181)-H6)/(E6+F6)</f>
        <v>1.6574271499644635</v>
      </c>
      <c r="N6" s="141">
        <f>(E6+F6)/C6</f>
        <v>39.083333333333336</v>
      </c>
      <c r="O6" s="139">
        <f>H6*100/(C6*181)</f>
        <v>64.211172498465316</v>
      </c>
      <c r="P6" s="142">
        <f>F6*100/(E6+F6)</f>
        <v>0.14214641080312723</v>
      </c>
    </row>
    <row r="8" spans="1:16" ht="15.75" thickBot="1" x14ac:dyDescent="0.3">
      <c r="A8" s="166"/>
    </row>
    <row r="9" spans="1:16" ht="45.75" thickBot="1" x14ac:dyDescent="0.3">
      <c r="A9" s="176" t="s">
        <v>20</v>
      </c>
      <c r="B9" s="180" t="s">
        <v>22</v>
      </c>
      <c r="C9" s="178" t="s">
        <v>21</v>
      </c>
      <c r="D9" s="178" t="s">
        <v>9</v>
      </c>
      <c r="E9" s="178" t="s">
        <v>10</v>
      </c>
      <c r="F9" s="178" t="s">
        <v>11</v>
      </c>
      <c r="G9" s="178" t="s">
        <v>80</v>
      </c>
      <c r="H9" s="178" t="s">
        <v>25</v>
      </c>
      <c r="I9" s="178" t="s">
        <v>23</v>
      </c>
      <c r="J9" s="178" t="s">
        <v>24</v>
      </c>
      <c r="K9" s="178" t="s">
        <v>43</v>
      </c>
      <c r="L9" s="178" t="s">
        <v>44</v>
      </c>
      <c r="M9" s="181" t="s">
        <v>45</v>
      </c>
      <c r="N9" s="178" t="s">
        <v>46</v>
      </c>
      <c r="O9" s="178" t="s">
        <v>47</v>
      </c>
      <c r="P9" s="179" t="s">
        <v>48</v>
      </c>
    </row>
    <row r="10" spans="1:16" ht="15.75" x14ac:dyDescent="0.25">
      <c r="A10" s="83" t="s">
        <v>30</v>
      </c>
      <c r="B10" s="113">
        <v>7</v>
      </c>
      <c r="C10" s="85">
        <v>10</v>
      </c>
      <c r="D10" s="76">
        <v>35</v>
      </c>
      <c r="E10" s="76">
        <v>16</v>
      </c>
      <c r="F10" s="76">
        <v>1</v>
      </c>
      <c r="G10" s="76">
        <v>3</v>
      </c>
      <c r="H10" s="76">
        <v>30</v>
      </c>
      <c r="I10" s="76">
        <v>0</v>
      </c>
      <c r="J10" s="76">
        <v>25</v>
      </c>
      <c r="K10" s="78">
        <f>H10/181</f>
        <v>0.16574585635359115</v>
      </c>
      <c r="L10" s="79">
        <f>H10/(E10+F10)</f>
        <v>1.7647058823529411</v>
      </c>
      <c r="M10" s="80">
        <f>((C10*181)-H10)/(E10+F10)</f>
        <v>104.70588235294117</v>
      </c>
      <c r="N10" s="81">
        <f>(E10+F10)/C10</f>
        <v>1.7</v>
      </c>
      <c r="O10" s="79">
        <f>H10*100/(C10*181)</f>
        <v>1.6574585635359116</v>
      </c>
      <c r="P10" s="82">
        <f>F10*100/(E10+F10)</f>
        <v>5.882352941176471</v>
      </c>
    </row>
    <row r="11" spans="1:16" ht="16.5" thickBot="1" x14ac:dyDescent="0.3">
      <c r="A11" s="83" t="s">
        <v>33</v>
      </c>
      <c r="B11" s="113">
        <v>11</v>
      </c>
      <c r="C11" s="85">
        <v>10</v>
      </c>
      <c r="D11" s="76">
        <v>44</v>
      </c>
      <c r="E11" s="76">
        <v>15</v>
      </c>
      <c r="F11" s="76">
        <v>3</v>
      </c>
      <c r="G11" s="76">
        <v>2</v>
      </c>
      <c r="H11" s="76">
        <v>419</v>
      </c>
      <c r="I11" s="76">
        <v>0</v>
      </c>
      <c r="J11" s="76">
        <v>20</v>
      </c>
      <c r="K11" s="78">
        <f>H11/181</f>
        <v>2.3149171270718232</v>
      </c>
      <c r="L11" s="79">
        <f>H11/(E11+F11)</f>
        <v>23.277777777777779</v>
      </c>
      <c r="M11" s="80">
        <f>((C11*181)-H11)/(E11+F11)</f>
        <v>77.277777777777771</v>
      </c>
      <c r="N11" s="81">
        <f>(E11+F11)/C11</f>
        <v>1.8</v>
      </c>
      <c r="O11" s="79">
        <f>H11*100/(C11*181)</f>
        <v>23.149171270718231</v>
      </c>
      <c r="P11" s="82">
        <f>F11*100/(E11+F11)</f>
        <v>16.666666666666668</v>
      </c>
    </row>
    <row r="12" spans="1:16" ht="15.75" thickBot="1" x14ac:dyDescent="0.3">
      <c r="B12" s="136">
        <f t="shared" ref="B12:J12" si="1">SUM(B10:B11)</f>
        <v>18</v>
      </c>
      <c r="C12" s="136">
        <f t="shared" si="1"/>
        <v>20</v>
      </c>
      <c r="D12" s="136">
        <f t="shared" si="1"/>
        <v>79</v>
      </c>
      <c r="E12" s="136">
        <f t="shared" si="1"/>
        <v>31</v>
      </c>
      <c r="F12" s="136">
        <f t="shared" si="1"/>
        <v>4</v>
      </c>
      <c r="G12" s="136">
        <f t="shared" si="1"/>
        <v>5</v>
      </c>
      <c r="H12" s="136">
        <f t="shared" si="1"/>
        <v>449</v>
      </c>
      <c r="I12" s="136">
        <f t="shared" si="1"/>
        <v>0</v>
      </c>
      <c r="J12" s="136">
        <f t="shared" si="1"/>
        <v>45</v>
      </c>
      <c r="K12" s="138">
        <f>H12/181</f>
        <v>2.4806629834254146</v>
      </c>
      <c r="L12" s="139">
        <f>H12/(E12+F12)</f>
        <v>12.828571428571429</v>
      </c>
      <c r="M12" s="140">
        <f>((C12*181)-H12)/(E12+F12)</f>
        <v>90.6</v>
      </c>
      <c r="N12" s="141">
        <f>(E12+F12)/C12</f>
        <v>1.75</v>
      </c>
      <c r="O12" s="139">
        <f>H12*100/(C12*181)</f>
        <v>12.403314917127071</v>
      </c>
      <c r="P12" s="142">
        <f>F12*100/(E12+F12)</f>
        <v>11.428571428571429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0000"/>
  </sheetPr>
  <dimension ref="A1:O472"/>
  <sheetViews>
    <sheetView zoomScale="80" zoomScaleNormal="80" workbookViewId="0">
      <selection activeCell="C10" sqref="C10"/>
    </sheetView>
  </sheetViews>
  <sheetFormatPr defaultRowHeight="15" x14ac:dyDescent="0.25"/>
  <cols>
    <col min="1" max="1" width="11.28515625" customWidth="1"/>
    <col min="2" max="3" width="12.28515625" customWidth="1"/>
    <col min="4" max="4" width="8.28515625" customWidth="1"/>
    <col min="5" max="5" width="9.5703125" customWidth="1"/>
    <col min="6" max="6" width="12.140625" customWidth="1"/>
    <col min="7" max="7" width="12" customWidth="1"/>
    <col min="8" max="8" width="14.28515625" bestFit="1" customWidth="1"/>
  </cols>
  <sheetData>
    <row r="1" spans="1:10" ht="36" x14ac:dyDescent="0.55000000000000004">
      <c r="A1" s="605" t="s">
        <v>1</v>
      </c>
      <c r="B1" s="605"/>
      <c r="C1" s="605"/>
      <c r="D1" s="605"/>
      <c r="E1" s="605"/>
      <c r="F1" s="605"/>
      <c r="G1" s="605"/>
      <c r="H1" s="605"/>
    </row>
    <row r="2" spans="1:10" ht="27" thickBot="1" x14ac:dyDescent="0.45">
      <c r="A2" s="606" t="s">
        <v>0</v>
      </c>
      <c r="B2" s="606"/>
      <c r="C2" s="606"/>
      <c r="D2" s="606"/>
      <c r="E2" s="606"/>
      <c r="F2" s="606"/>
      <c r="G2" s="606"/>
      <c r="H2" s="606"/>
    </row>
    <row r="3" spans="1:10" ht="15.75" x14ac:dyDescent="0.25">
      <c r="A3" s="39" t="s">
        <v>2</v>
      </c>
      <c r="B3" s="19" t="s">
        <v>557</v>
      </c>
      <c r="C3" s="20"/>
      <c r="D3" s="21" t="s">
        <v>4</v>
      </c>
      <c r="E3" s="21"/>
      <c r="F3" s="20" t="s">
        <v>5</v>
      </c>
      <c r="G3" s="19" t="s">
        <v>16</v>
      </c>
      <c r="H3" s="22" t="s">
        <v>17</v>
      </c>
    </row>
    <row r="4" spans="1:10" ht="15.75" x14ac:dyDescent="0.25">
      <c r="A4" s="609" t="s">
        <v>6</v>
      </c>
      <c r="B4" s="610"/>
      <c r="C4" s="610"/>
      <c r="D4" s="610"/>
      <c r="E4" s="610"/>
      <c r="F4" s="611"/>
      <c r="G4" s="1"/>
      <c r="H4" s="2">
        <v>18</v>
      </c>
    </row>
    <row r="5" spans="1:10" ht="15.75" x14ac:dyDescent="0.25">
      <c r="A5" s="3" t="s">
        <v>7</v>
      </c>
      <c r="B5" s="1"/>
      <c r="C5" s="1"/>
      <c r="D5" s="1"/>
      <c r="E5" s="1"/>
      <c r="F5" s="1"/>
      <c r="G5" s="1"/>
      <c r="H5" s="2">
        <v>32</v>
      </c>
    </row>
    <row r="6" spans="1:10" s="171" customFormat="1" ht="39" thickBot="1" x14ac:dyDescent="0.3">
      <c r="A6" s="40" t="s">
        <v>8</v>
      </c>
      <c r="B6" s="49" t="s">
        <v>9</v>
      </c>
      <c r="C6" s="49" t="s">
        <v>10</v>
      </c>
      <c r="D6" s="49" t="s">
        <v>11</v>
      </c>
      <c r="E6" s="49" t="s">
        <v>12</v>
      </c>
      <c r="F6" s="49" t="s">
        <v>13</v>
      </c>
      <c r="G6" s="49" t="s">
        <v>14</v>
      </c>
      <c r="H6" s="50" t="s">
        <v>15</v>
      </c>
      <c r="J6" s="172"/>
    </row>
    <row r="7" spans="1:10" x14ac:dyDescent="0.25">
      <c r="A7" s="36">
        <v>1</v>
      </c>
      <c r="B7" s="37"/>
      <c r="C7" s="37"/>
      <c r="D7" s="37"/>
      <c r="E7" s="37"/>
      <c r="F7" s="37"/>
      <c r="G7" s="37"/>
      <c r="H7" s="38">
        <f>H4+B7+F7-(C7+D7+G7)-E7</f>
        <v>18</v>
      </c>
    </row>
    <row r="8" spans="1:10" x14ac:dyDescent="0.25">
      <c r="A8" s="26">
        <v>2</v>
      </c>
      <c r="B8" s="5"/>
      <c r="C8" s="5"/>
      <c r="D8" s="5"/>
      <c r="E8" s="5"/>
      <c r="F8" s="5"/>
      <c r="G8" s="5"/>
      <c r="H8" s="2">
        <f>H7+B8+F8-(C8+D8+G8)-E8</f>
        <v>18</v>
      </c>
    </row>
    <row r="9" spans="1:10" x14ac:dyDescent="0.25">
      <c r="A9" s="26">
        <v>3</v>
      </c>
      <c r="B9" s="5"/>
      <c r="C9" s="5"/>
      <c r="D9" s="5"/>
      <c r="E9" s="5"/>
      <c r="F9" s="5"/>
      <c r="G9" s="5"/>
      <c r="H9" s="2">
        <f>H8+B9+F9-(C9+D9+G9)-E9</f>
        <v>18</v>
      </c>
    </row>
    <row r="10" spans="1:10" x14ac:dyDescent="0.25">
      <c r="A10" s="26">
        <v>4</v>
      </c>
      <c r="B10" s="5"/>
      <c r="C10" s="5"/>
      <c r="D10" s="5"/>
      <c r="E10" s="5"/>
      <c r="F10" s="5"/>
      <c r="G10" s="5"/>
      <c r="H10" s="2">
        <f t="shared" ref="H10:H37" si="0">H9+B10+F10-(C10+D10+G10)-E10</f>
        <v>18</v>
      </c>
    </row>
    <row r="11" spans="1:10" x14ac:dyDescent="0.25">
      <c r="A11" s="26">
        <v>5</v>
      </c>
      <c r="B11" s="5"/>
      <c r="C11" s="5"/>
      <c r="D11" s="5"/>
      <c r="E11" s="5"/>
      <c r="F11" s="5"/>
      <c r="G11" s="5"/>
      <c r="H11" s="2">
        <f t="shared" si="0"/>
        <v>18</v>
      </c>
    </row>
    <row r="12" spans="1:10" x14ac:dyDescent="0.25">
      <c r="A12" s="26">
        <v>6</v>
      </c>
      <c r="B12" s="5"/>
      <c r="C12" s="5"/>
      <c r="D12" s="5"/>
      <c r="E12" s="5"/>
      <c r="F12" s="5"/>
      <c r="G12" s="5"/>
      <c r="H12" s="2">
        <f t="shared" si="0"/>
        <v>18</v>
      </c>
    </row>
    <row r="13" spans="1:10" x14ac:dyDescent="0.25">
      <c r="A13" s="26">
        <v>7</v>
      </c>
      <c r="B13" s="5"/>
      <c r="C13" s="5"/>
      <c r="D13" s="5"/>
      <c r="E13" s="5"/>
      <c r="F13" s="5"/>
      <c r="G13" s="5"/>
      <c r="H13" s="2">
        <f t="shared" si="0"/>
        <v>18</v>
      </c>
    </row>
    <row r="14" spans="1:10" x14ac:dyDescent="0.25">
      <c r="A14" s="26">
        <v>8</v>
      </c>
      <c r="B14" s="5"/>
      <c r="C14" s="5"/>
      <c r="D14" s="5"/>
      <c r="E14" s="5"/>
      <c r="F14" s="5"/>
      <c r="G14" s="5"/>
      <c r="H14" s="2">
        <f t="shared" si="0"/>
        <v>18</v>
      </c>
    </row>
    <row r="15" spans="1:10" x14ac:dyDescent="0.25">
      <c r="A15" s="26">
        <v>9</v>
      </c>
      <c r="B15" s="5"/>
      <c r="C15" s="5"/>
      <c r="D15" s="5"/>
      <c r="E15" s="5"/>
      <c r="F15" s="5"/>
      <c r="G15" s="5"/>
      <c r="H15" s="2">
        <f t="shared" si="0"/>
        <v>18</v>
      </c>
    </row>
    <row r="16" spans="1:10" x14ac:dyDescent="0.25">
      <c r="A16" s="26">
        <v>10</v>
      </c>
      <c r="B16" s="5"/>
      <c r="C16" s="5"/>
      <c r="D16" s="5"/>
      <c r="E16" s="5"/>
      <c r="F16" s="5"/>
      <c r="G16" s="5"/>
      <c r="H16" s="2">
        <f t="shared" si="0"/>
        <v>18</v>
      </c>
    </row>
    <row r="17" spans="1:8" x14ac:dyDescent="0.25">
      <c r="A17" s="26">
        <v>11</v>
      </c>
      <c r="B17" s="5"/>
      <c r="C17" s="5"/>
      <c r="D17" s="5"/>
      <c r="E17" s="5"/>
      <c r="F17" s="5"/>
      <c r="G17" s="5"/>
      <c r="H17" s="2">
        <f t="shared" si="0"/>
        <v>18</v>
      </c>
    </row>
    <row r="18" spans="1:8" x14ac:dyDescent="0.25">
      <c r="A18" s="26">
        <v>12</v>
      </c>
      <c r="B18" s="5"/>
      <c r="C18" s="5"/>
      <c r="D18" s="5"/>
      <c r="E18" s="5"/>
      <c r="F18" s="5"/>
      <c r="G18" s="5"/>
      <c r="H18" s="2">
        <f t="shared" si="0"/>
        <v>18</v>
      </c>
    </row>
    <row r="19" spans="1:8" x14ac:dyDescent="0.25">
      <c r="A19" s="26">
        <v>13</v>
      </c>
      <c r="B19" s="5"/>
      <c r="C19" s="5"/>
      <c r="D19" s="5"/>
      <c r="E19" s="5"/>
      <c r="F19" s="5"/>
      <c r="G19" s="5"/>
      <c r="H19" s="2">
        <f t="shared" si="0"/>
        <v>18</v>
      </c>
    </row>
    <row r="20" spans="1:8" x14ac:dyDescent="0.25">
      <c r="A20" s="26">
        <v>14</v>
      </c>
      <c r="B20" s="5"/>
      <c r="C20" s="5"/>
      <c r="D20" s="5"/>
      <c r="E20" s="5"/>
      <c r="F20" s="5"/>
      <c r="G20" s="5"/>
      <c r="H20" s="2">
        <f t="shared" si="0"/>
        <v>18</v>
      </c>
    </row>
    <row r="21" spans="1:8" x14ac:dyDescent="0.25">
      <c r="A21" s="26">
        <v>15</v>
      </c>
      <c r="B21" s="5"/>
      <c r="C21" s="5"/>
      <c r="D21" s="5"/>
      <c r="E21" s="5"/>
      <c r="F21" s="5"/>
      <c r="G21" s="5"/>
      <c r="H21" s="2">
        <f t="shared" si="0"/>
        <v>18</v>
      </c>
    </row>
    <row r="22" spans="1:8" x14ac:dyDescent="0.25">
      <c r="A22" s="26">
        <v>16</v>
      </c>
      <c r="B22" s="5"/>
      <c r="C22" s="5"/>
      <c r="D22" s="5"/>
      <c r="E22" s="5"/>
      <c r="F22" s="5"/>
      <c r="G22" s="5"/>
      <c r="H22" s="2">
        <f t="shared" si="0"/>
        <v>18</v>
      </c>
    </row>
    <row r="23" spans="1:8" x14ac:dyDescent="0.25">
      <c r="A23" s="26">
        <v>17</v>
      </c>
      <c r="B23" s="5"/>
      <c r="C23" s="5"/>
      <c r="D23" s="5"/>
      <c r="E23" s="5"/>
      <c r="F23" s="5"/>
      <c r="G23" s="5"/>
      <c r="H23" s="2">
        <f t="shared" si="0"/>
        <v>18</v>
      </c>
    </row>
    <row r="24" spans="1:8" x14ac:dyDescent="0.25">
      <c r="A24" s="26">
        <v>18</v>
      </c>
      <c r="B24" s="5"/>
      <c r="C24" s="5"/>
      <c r="D24" s="5"/>
      <c r="E24" s="5"/>
      <c r="F24" s="5"/>
      <c r="G24" s="5"/>
      <c r="H24" s="2">
        <f t="shared" si="0"/>
        <v>18</v>
      </c>
    </row>
    <row r="25" spans="1:8" x14ac:dyDescent="0.25">
      <c r="A25" s="26">
        <v>19</v>
      </c>
      <c r="B25" s="5"/>
      <c r="C25" s="5"/>
      <c r="D25" s="5"/>
      <c r="E25" s="5"/>
      <c r="F25" s="5"/>
      <c r="G25" s="5"/>
      <c r="H25" s="2">
        <f t="shared" si="0"/>
        <v>18</v>
      </c>
    </row>
    <row r="26" spans="1:8" x14ac:dyDescent="0.25">
      <c r="A26" s="26">
        <v>20</v>
      </c>
      <c r="B26" s="5"/>
      <c r="C26" s="5"/>
      <c r="D26" s="5"/>
      <c r="E26" s="5"/>
      <c r="F26" s="5"/>
      <c r="G26" s="5"/>
      <c r="H26" s="2">
        <f t="shared" si="0"/>
        <v>18</v>
      </c>
    </row>
    <row r="27" spans="1:8" x14ac:dyDescent="0.25">
      <c r="A27" s="26">
        <v>21</v>
      </c>
      <c r="B27" s="5"/>
      <c r="C27" s="5"/>
      <c r="D27" s="5"/>
      <c r="E27" s="5"/>
      <c r="F27" s="5"/>
      <c r="G27" s="5"/>
      <c r="H27" s="2">
        <f t="shared" si="0"/>
        <v>18</v>
      </c>
    </row>
    <row r="28" spans="1:8" x14ac:dyDescent="0.25">
      <c r="A28" s="26">
        <v>22</v>
      </c>
      <c r="B28" s="5"/>
      <c r="C28" s="5"/>
      <c r="D28" s="5"/>
      <c r="E28" s="5"/>
      <c r="F28" s="5"/>
      <c r="G28" s="5"/>
      <c r="H28" s="2">
        <f t="shared" si="0"/>
        <v>18</v>
      </c>
    </row>
    <row r="29" spans="1:8" x14ac:dyDescent="0.25">
      <c r="A29" s="26">
        <v>23</v>
      </c>
      <c r="B29" s="5"/>
      <c r="C29" s="5"/>
      <c r="D29" s="5"/>
      <c r="E29" s="5"/>
      <c r="F29" s="5"/>
      <c r="G29" s="5"/>
      <c r="H29" s="2">
        <f t="shared" si="0"/>
        <v>18</v>
      </c>
    </row>
    <row r="30" spans="1:8" x14ac:dyDescent="0.25">
      <c r="A30" s="26">
        <v>24</v>
      </c>
      <c r="B30" s="5"/>
      <c r="C30" s="5"/>
      <c r="D30" s="5"/>
      <c r="E30" s="5"/>
      <c r="F30" s="5"/>
      <c r="G30" s="5"/>
      <c r="H30" s="2">
        <f t="shared" si="0"/>
        <v>18</v>
      </c>
    </row>
    <row r="31" spans="1:8" x14ac:dyDescent="0.25">
      <c r="A31" s="26">
        <v>25</v>
      </c>
      <c r="B31" s="5"/>
      <c r="C31" s="5"/>
      <c r="D31" s="5"/>
      <c r="E31" s="5"/>
      <c r="F31" s="5"/>
      <c r="G31" s="5"/>
      <c r="H31" s="2">
        <f t="shared" si="0"/>
        <v>18</v>
      </c>
    </row>
    <row r="32" spans="1:8" x14ac:dyDescent="0.25">
      <c r="A32" s="26">
        <v>26</v>
      </c>
      <c r="B32" s="5"/>
      <c r="C32" s="5"/>
      <c r="D32" s="5"/>
      <c r="E32" s="5"/>
      <c r="F32" s="5"/>
      <c r="G32" s="5"/>
      <c r="H32" s="2">
        <f t="shared" si="0"/>
        <v>18</v>
      </c>
    </row>
    <row r="33" spans="1:8" x14ac:dyDescent="0.25">
      <c r="A33" s="26">
        <v>27</v>
      </c>
      <c r="B33" s="5"/>
      <c r="C33" s="5"/>
      <c r="D33" s="5"/>
      <c r="E33" s="5"/>
      <c r="F33" s="5"/>
      <c r="G33" s="5"/>
      <c r="H33" s="2">
        <f t="shared" si="0"/>
        <v>18</v>
      </c>
    </row>
    <row r="34" spans="1:8" x14ac:dyDescent="0.25">
      <c r="A34" s="26">
        <v>28</v>
      </c>
      <c r="B34" s="5"/>
      <c r="C34" s="5"/>
      <c r="D34" s="5"/>
      <c r="E34" s="5"/>
      <c r="F34" s="5"/>
      <c r="G34" s="5"/>
      <c r="H34" s="2">
        <f t="shared" si="0"/>
        <v>18</v>
      </c>
    </row>
    <row r="35" spans="1:8" x14ac:dyDescent="0.25">
      <c r="A35" s="26">
        <v>29</v>
      </c>
      <c r="B35" s="5"/>
      <c r="C35" s="5"/>
      <c r="D35" s="5"/>
      <c r="E35" s="5"/>
      <c r="F35" s="5"/>
      <c r="G35" s="5"/>
      <c r="H35" s="2">
        <f t="shared" si="0"/>
        <v>18</v>
      </c>
    </row>
    <row r="36" spans="1:8" x14ac:dyDescent="0.25">
      <c r="A36" s="26">
        <v>30</v>
      </c>
      <c r="B36" s="5"/>
      <c r="C36" s="5"/>
      <c r="D36" s="5"/>
      <c r="E36" s="5"/>
      <c r="F36" s="5"/>
      <c r="G36" s="5"/>
      <c r="H36" s="2">
        <f t="shared" si="0"/>
        <v>18</v>
      </c>
    </row>
    <row r="37" spans="1:8" x14ac:dyDescent="0.25">
      <c r="A37" s="26">
        <v>31</v>
      </c>
      <c r="B37" s="5"/>
      <c r="C37" s="5"/>
      <c r="D37" s="5"/>
      <c r="E37" s="5"/>
      <c r="F37" s="5"/>
      <c r="G37" s="5"/>
      <c r="H37" s="2">
        <f t="shared" si="0"/>
        <v>18</v>
      </c>
    </row>
    <row r="38" spans="1:8" ht="15.75" thickBot="1" x14ac:dyDescent="0.3">
      <c r="A38" s="33" t="s">
        <v>35</v>
      </c>
      <c r="B38" s="34">
        <f>SUM(B7:B37)-E38</f>
        <v>0</v>
      </c>
      <c r="C38" s="34">
        <f t="shared" ref="C38:H38" si="1">SUM(C7:C37)</f>
        <v>0</v>
      </c>
      <c r="D38" s="34">
        <f t="shared" si="1"/>
        <v>0</v>
      </c>
      <c r="E38" s="34">
        <f t="shared" si="1"/>
        <v>0</v>
      </c>
      <c r="F38" s="34">
        <f t="shared" si="1"/>
        <v>0</v>
      </c>
      <c r="G38" s="34">
        <f t="shared" si="1"/>
        <v>0</v>
      </c>
      <c r="H38" s="35">
        <f t="shared" si="1"/>
        <v>558</v>
      </c>
    </row>
    <row r="41" spans="1:8" ht="36" x14ac:dyDescent="0.55000000000000004">
      <c r="A41" s="605" t="s">
        <v>1</v>
      </c>
      <c r="B41" s="605"/>
      <c r="C41" s="605"/>
      <c r="D41" s="605"/>
      <c r="E41" s="605"/>
      <c r="F41" s="605"/>
      <c r="G41" s="605"/>
      <c r="H41" s="605"/>
    </row>
    <row r="42" spans="1:8" ht="27" thickBot="1" x14ac:dyDescent="0.45">
      <c r="A42" s="606" t="s">
        <v>0</v>
      </c>
      <c r="B42" s="606"/>
      <c r="C42" s="606"/>
      <c r="D42" s="606"/>
      <c r="E42" s="606"/>
      <c r="F42" s="606"/>
      <c r="G42" s="606"/>
      <c r="H42" s="606"/>
    </row>
    <row r="43" spans="1:8" ht="15.75" x14ac:dyDescent="0.25">
      <c r="A43" s="39" t="s">
        <v>2</v>
      </c>
      <c r="B43" s="19" t="s">
        <v>557</v>
      </c>
      <c r="C43" s="20"/>
      <c r="D43" s="21" t="s">
        <v>4</v>
      </c>
      <c r="E43" s="21"/>
      <c r="F43" s="20" t="s">
        <v>5</v>
      </c>
      <c r="G43" s="19" t="s">
        <v>16</v>
      </c>
      <c r="H43" s="22" t="s">
        <v>41</v>
      </c>
    </row>
    <row r="44" spans="1:8" ht="15.75" x14ac:dyDescent="0.25">
      <c r="A44" s="609" t="s">
        <v>6</v>
      </c>
      <c r="B44" s="610"/>
      <c r="C44" s="610"/>
      <c r="D44" s="610"/>
      <c r="E44" s="610"/>
      <c r="F44" s="611"/>
      <c r="G44" s="1"/>
      <c r="H44" s="2">
        <f>H37</f>
        <v>18</v>
      </c>
    </row>
    <row r="45" spans="1:8" ht="15.75" x14ac:dyDescent="0.25">
      <c r="A45" s="3" t="s">
        <v>7</v>
      </c>
      <c r="B45" s="1"/>
      <c r="C45" s="1"/>
      <c r="D45" s="1"/>
      <c r="E45" s="1"/>
      <c r="F45" s="1"/>
      <c r="G45" s="1"/>
      <c r="H45" s="2">
        <v>32</v>
      </c>
    </row>
    <row r="46" spans="1:8" ht="39" thickBot="1" x14ac:dyDescent="0.3">
      <c r="A46" s="40" t="s">
        <v>8</v>
      </c>
      <c r="B46" s="41" t="s">
        <v>9</v>
      </c>
      <c r="C46" s="41" t="s">
        <v>10</v>
      </c>
      <c r="D46" s="41" t="s">
        <v>11</v>
      </c>
      <c r="E46" s="41" t="s">
        <v>12</v>
      </c>
      <c r="F46" s="41" t="s">
        <v>13</v>
      </c>
      <c r="G46" s="41" t="s">
        <v>14</v>
      </c>
      <c r="H46" s="42" t="s">
        <v>15</v>
      </c>
    </row>
    <row r="47" spans="1:8" x14ac:dyDescent="0.25">
      <c r="A47" s="36">
        <v>1</v>
      </c>
      <c r="B47" s="37"/>
      <c r="C47" s="37"/>
      <c r="D47" s="37"/>
      <c r="E47" s="37"/>
      <c r="F47" s="37"/>
      <c r="G47" s="37"/>
      <c r="H47" s="38">
        <f>H44+B47+F47-(C47+D47+G47)-E47</f>
        <v>18</v>
      </c>
    </row>
    <row r="48" spans="1:8" x14ac:dyDescent="0.25">
      <c r="A48" s="26">
        <v>2</v>
      </c>
      <c r="B48" s="5"/>
      <c r="C48" s="5"/>
      <c r="D48" s="5"/>
      <c r="E48" s="5"/>
      <c r="F48" s="5"/>
      <c r="G48" s="5"/>
      <c r="H48" s="2">
        <f>H47+B48+F48-(C48+D48+G48)-E48</f>
        <v>18</v>
      </c>
    </row>
    <row r="49" spans="1:8" x14ac:dyDescent="0.25">
      <c r="A49" s="26">
        <v>3</v>
      </c>
      <c r="B49" s="5"/>
      <c r="C49" s="5"/>
      <c r="D49" s="5"/>
      <c r="E49" s="5"/>
      <c r="F49" s="5"/>
      <c r="G49" s="5"/>
      <c r="H49" s="2">
        <f>H48+B49+F49-(C49+D49+G49)-E49</f>
        <v>18</v>
      </c>
    </row>
    <row r="50" spans="1:8" x14ac:dyDescent="0.25">
      <c r="A50" s="26">
        <v>4</v>
      </c>
      <c r="B50" s="5"/>
      <c r="C50" s="5"/>
      <c r="D50" s="5"/>
      <c r="E50" s="5"/>
      <c r="F50" s="5"/>
      <c r="G50" s="5"/>
      <c r="H50" s="2">
        <f t="shared" ref="H50:H75" si="2">H49+B50+F50-(C50+D50+G50)-E50</f>
        <v>18</v>
      </c>
    </row>
    <row r="51" spans="1:8" x14ac:dyDescent="0.25">
      <c r="A51" s="26">
        <v>5</v>
      </c>
      <c r="B51" s="5"/>
      <c r="C51" s="5"/>
      <c r="D51" s="5"/>
      <c r="E51" s="5"/>
      <c r="F51" s="5"/>
      <c r="G51" s="5"/>
      <c r="H51" s="2">
        <f t="shared" si="2"/>
        <v>18</v>
      </c>
    </row>
    <row r="52" spans="1:8" x14ac:dyDescent="0.25">
      <c r="A52" s="26">
        <v>6</v>
      </c>
      <c r="B52" s="5"/>
      <c r="C52" s="5"/>
      <c r="D52" s="5"/>
      <c r="E52" s="5"/>
      <c r="F52" s="5"/>
      <c r="G52" s="5"/>
      <c r="H52" s="2">
        <f t="shared" si="2"/>
        <v>18</v>
      </c>
    </row>
    <row r="53" spans="1:8" x14ac:dyDescent="0.25">
      <c r="A53" s="26">
        <v>7</v>
      </c>
      <c r="B53" s="5"/>
      <c r="C53" s="5"/>
      <c r="D53" s="5"/>
      <c r="E53" s="5"/>
      <c r="F53" s="5"/>
      <c r="G53" s="5"/>
      <c r="H53" s="2">
        <f t="shared" si="2"/>
        <v>18</v>
      </c>
    </row>
    <row r="54" spans="1:8" x14ac:dyDescent="0.25">
      <c r="A54" s="26">
        <v>8</v>
      </c>
      <c r="B54" s="5"/>
      <c r="C54" s="5"/>
      <c r="D54" s="5"/>
      <c r="E54" s="5"/>
      <c r="F54" s="5"/>
      <c r="G54" s="5"/>
      <c r="H54" s="2">
        <f t="shared" si="2"/>
        <v>18</v>
      </c>
    </row>
    <row r="55" spans="1:8" x14ac:dyDescent="0.25">
      <c r="A55" s="26">
        <v>9</v>
      </c>
      <c r="B55" s="5"/>
      <c r="C55" s="5"/>
      <c r="D55" s="5"/>
      <c r="E55" s="5"/>
      <c r="F55" s="5"/>
      <c r="G55" s="5"/>
      <c r="H55" s="2">
        <f t="shared" si="2"/>
        <v>18</v>
      </c>
    </row>
    <row r="56" spans="1:8" x14ac:dyDescent="0.25">
      <c r="A56" s="26">
        <v>10</v>
      </c>
      <c r="B56" s="5"/>
      <c r="C56" s="5"/>
      <c r="D56" s="5"/>
      <c r="E56" s="5"/>
      <c r="F56" s="5"/>
      <c r="G56" s="5"/>
      <c r="H56" s="2">
        <f t="shared" si="2"/>
        <v>18</v>
      </c>
    </row>
    <row r="57" spans="1:8" x14ac:dyDescent="0.25">
      <c r="A57" s="26">
        <v>11</v>
      </c>
      <c r="B57" s="5"/>
      <c r="C57" s="5"/>
      <c r="D57" s="5"/>
      <c r="E57" s="5"/>
      <c r="F57" s="5"/>
      <c r="G57" s="5"/>
      <c r="H57" s="2">
        <f t="shared" si="2"/>
        <v>18</v>
      </c>
    </row>
    <row r="58" spans="1:8" x14ac:dyDescent="0.25">
      <c r="A58" s="26">
        <v>12</v>
      </c>
      <c r="B58" s="5"/>
      <c r="C58" s="5"/>
      <c r="D58" s="5"/>
      <c r="E58" s="5"/>
      <c r="F58" s="5"/>
      <c r="G58" s="5"/>
      <c r="H58" s="2">
        <f t="shared" si="2"/>
        <v>18</v>
      </c>
    </row>
    <row r="59" spans="1:8" x14ac:dyDescent="0.25">
      <c r="A59" s="26">
        <v>13</v>
      </c>
      <c r="B59" s="5"/>
      <c r="C59" s="5"/>
      <c r="D59" s="5"/>
      <c r="E59" s="5"/>
      <c r="F59" s="5"/>
      <c r="G59" s="5"/>
      <c r="H59" s="2">
        <f t="shared" si="2"/>
        <v>18</v>
      </c>
    </row>
    <row r="60" spans="1:8" x14ac:dyDescent="0.25">
      <c r="A60" s="26">
        <v>14</v>
      </c>
      <c r="B60" s="5"/>
      <c r="C60" s="5"/>
      <c r="D60" s="5"/>
      <c r="E60" s="5"/>
      <c r="F60" s="5"/>
      <c r="G60" s="5"/>
      <c r="H60" s="2">
        <f t="shared" si="2"/>
        <v>18</v>
      </c>
    </row>
    <row r="61" spans="1:8" x14ac:dyDescent="0.25">
      <c r="A61" s="26">
        <v>15</v>
      </c>
      <c r="B61" s="5"/>
      <c r="C61" s="5"/>
      <c r="D61" s="5"/>
      <c r="E61" s="5"/>
      <c r="F61" s="5"/>
      <c r="G61" s="5"/>
      <c r="H61" s="2">
        <f t="shared" si="2"/>
        <v>18</v>
      </c>
    </row>
    <row r="62" spans="1:8" x14ac:dyDescent="0.25">
      <c r="A62" s="26">
        <v>16</v>
      </c>
      <c r="B62" s="258"/>
      <c r="C62" s="5"/>
      <c r="D62" s="5"/>
      <c r="E62" s="5"/>
      <c r="F62" s="5"/>
      <c r="G62" s="5"/>
      <c r="H62" s="2">
        <f t="shared" si="2"/>
        <v>18</v>
      </c>
    </row>
    <row r="63" spans="1:8" x14ac:dyDescent="0.25">
      <c r="A63" s="26">
        <v>17</v>
      </c>
      <c r="B63" s="5"/>
      <c r="C63" s="5"/>
      <c r="D63" s="5"/>
      <c r="E63" s="5"/>
      <c r="F63" s="5"/>
      <c r="G63" s="5"/>
      <c r="H63" s="2">
        <f t="shared" si="2"/>
        <v>18</v>
      </c>
    </row>
    <row r="64" spans="1:8" x14ac:dyDescent="0.25">
      <c r="A64" s="26">
        <v>18</v>
      </c>
      <c r="B64" s="5"/>
      <c r="C64" s="5"/>
      <c r="D64" s="5"/>
      <c r="E64" s="5"/>
      <c r="F64" s="5"/>
      <c r="G64" s="5"/>
      <c r="H64" s="2">
        <f t="shared" si="2"/>
        <v>18</v>
      </c>
    </row>
    <row r="65" spans="1:8" x14ac:dyDescent="0.25">
      <c r="A65" s="26">
        <v>19</v>
      </c>
      <c r="B65" s="5"/>
      <c r="C65" s="5"/>
      <c r="D65" s="5"/>
      <c r="E65" s="5"/>
      <c r="F65" s="5"/>
      <c r="G65" s="5"/>
      <c r="H65" s="2">
        <f t="shared" si="2"/>
        <v>18</v>
      </c>
    </row>
    <row r="66" spans="1:8" x14ac:dyDescent="0.25">
      <c r="A66" s="26">
        <v>20</v>
      </c>
      <c r="B66" s="5"/>
      <c r="C66" s="5"/>
      <c r="D66" s="5"/>
      <c r="E66" s="5"/>
      <c r="F66" s="5"/>
      <c r="G66" s="5"/>
      <c r="H66" s="2">
        <f t="shared" si="2"/>
        <v>18</v>
      </c>
    </row>
    <row r="67" spans="1:8" x14ac:dyDescent="0.25">
      <c r="A67" s="26">
        <v>21</v>
      </c>
      <c r="B67" s="5"/>
      <c r="C67" s="5"/>
      <c r="D67" s="5"/>
      <c r="E67" s="5"/>
      <c r="F67" s="5"/>
      <c r="G67" s="5"/>
      <c r="H67" s="2">
        <f t="shared" si="2"/>
        <v>18</v>
      </c>
    </row>
    <row r="68" spans="1:8" x14ac:dyDescent="0.25">
      <c r="A68" s="26">
        <v>22</v>
      </c>
      <c r="B68" s="5"/>
      <c r="C68" s="5"/>
      <c r="D68" s="5"/>
      <c r="E68" s="5"/>
      <c r="F68" s="5"/>
      <c r="G68" s="5"/>
      <c r="H68" s="2">
        <f t="shared" si="2"/>
        <v>18</v>
      </c>
    </row>
    <row r="69" spans="1:8" x14ac:dyDescent="0.25">
      <c r="A69" s="26">
        <v>23</v>
      </c>
      <c r="B69" s="5"/>
      <c r="C69" s="5"/>
      <c r="D69" s="5"/>
      <c r="E69" s="5"/>
      <c r="F69" s="5"/>
      <c r="G69" s="5"/>
      <c r="H69" s="2">
        <f t="shared" si="2"/>
        <v>18</v>
      </c>
    </row>
    <row r="70" spans="1:8" x14ac:dyDescent="0.25">
      <c r="A70" s="26">
        <v>24</v>
      </c>
      <c r="B70" s="5"/>
      <c r="C70" s="5"/>
      <c r="D70" s="5"/>
      <c r="E70" s="5"/>
      <c r="F70" s="5"/>
      <c r="G70" s="5"/>
      <c r="H70" s="2">
        <f t="shared" si="2"/>
        <v>18</v>
      </c>
    </row>
    <row r="71" spans="1:8" x14ac:dyDescent="0.25">
      <c r="A71" s="26">
        <v>25</v>
      </c>
      <c r="B71" s="5"/>
      <c r="C71" s="5"/>
      <c r="D71" s="5"/>
      <c r="E71" s="5"/>
      <c r="F71" s="5"/>
      <c r="G71" s="5"/>
      <c r="H71" s="2">
        <f t="shared" si="2"/>
        <v>18</v>
      </c>
    </row>
    <row r="72" spans="1:8" x14ac:dyDescent="0.25">
      <c r="A72" s="26">
        <v>26</v>
      </c>
      <c r="B72" s="5"/>
      <c r="C72" s="5"/>
      <c r="D72" s="5"/>
      <c r="E72" s="5"/>
      <c r="F72" s="5"/>
      <c r="G72" s="5"/>
      <c r="H72" s="2">
        <f t="shared" si="2"/>
        <v>18</v>
      </c>
    </row>
    <row r="73" spans="1:8" x14ac:dyDescent="0.25">
      <c r="A73" s="26">
        <v>27</v>
      </c>
      <c r="B73" s="5"/>
      <c r="C73" s="5"/>
      <c r="D73" s="5"/>
      <c r="E73" s="5"/>
      <c r="F73" s="5"/>
      <c r="G73" s="5"/>
      <c r="H73" s="2">
        <f t="shared" si="2"/>
        <v>18</v>
      </c>
    </row>
    <row r="74" spans="1:8" x14ac:dyDescent="0.25">
      <c r="A74" s="26">
        <v>28</v>
      </c>
      <c r="B74" s="5"/>
      <c r="C74" s="5"/>
      <c r="D74" s="5"/>
      <c r="E74" s="5"/>
      <c r="F74" s="5"/>
      <c r="G74" s="5"/>
      <c r="H74" s="2">
        <f t="shared" si="2"/>
        <v>18</v>
      </c>
    </row>
    <row r="75" spans="1:8" x14ac:dyDescent="0.25">
      <c r="A75" s="26">
        <v>29</v>
      </c>
      <c r="B75" s="5"/>
      <c r="C75" s="5"/>
      <c r="D75" s="5"/>
      <c r="E75" s="5"/>
      <c r="F75" s="5"/>
      <c r="G75" s="5"/>
      <c r="H75" s="2">
        <f t="shared" si="2"/>
        <v>18</v>
      </c>
    </row>
    <row r="76" spans="1:8" ht="15.75" thickBot="1" x14ac:dyDescent="0.3">
      <c r="A76" s="33" t="s">
        <v>35</v>
      </c>
      <c r="B76" s="34">
        <f>SUM(B47:B75)-E76</f>
        <v>0</v>
      </c>
      <c r="C76" s="34">
        <f t="shared" ref="C76:H76" si="3">SUM(C47:C75)</f>
        <v>0</v>
      </c>
      <c r="D76" s="34">
        <f t="shared" si="3"/>
        <v>0</v>
      </c>
      <c r="E76" s="34">
        <f t="shared" si="3"/>
        <v>0</v>
      </c>
      <c r="F76" s="34">
        <f t="shared" si="3"/>
        <v>0</v>
      </c>
      <c r="G76" s="34">
        <f t="shared" si="3"/>
        <v>0</v>
      </c>
      <c r="H76" s="35">
        <f t="shared" si="3"/>
        <v>522</v>
      </c>
    </row>
    <row r="79" spans="1:8" ht="36" x14ac:dyDescent="0.55000000000000004">
      <c r="A79" s="605" t="s">
        <v>1</v>
      </c>
      <c r="B79" s="605"/>
      <c r="C79" s="605"/>
      <c r="D79" s="605"/>
      <c r="E79" s="605"/>
      <c r="F79" s="605"/>
      <c r="G79" s="605"/>
      <c r="H79" s="605"/>
    </row>
    <row r="80" spans="1:8" ht="27" thickBot="1" x14ac:dyDescent="0.45">
      <c r="A80" s="606" t="s">
        <v>0</v>
      </c>
      <c r="B80" s="606"/>
      <c r="C80" s="606"/>
      <c r="D80" s="606"/>
      <c r="E80" s="606"/>
      <c r="F80" s="606"/>
      <c r="G80" s="606"/>
      <c r="H80" s="606"/>
    </row>
    <row r="81" spans="1:15" ht="15.75" x14ac:dyDescent="0.25">
      <c r="A81" s="39" t="s">
        <v>2</v>
      </c>
      <c r="B81" s="19" t="s">
        <v>3</v>
      </c>
      <c r="C81" s="20"/>
      <c r="D81" s="21" t="s">
        <v>4</v>
      </c>
      <c r="E81" s="21"/>
      <c r="F81" s="20" t="s">
        <v>5</v>
      </c>
      <c r="G81" s="19" t="s">
        <v>16</v>
      </c>
      <c r="H81" s="22" t="s">
        <v>42</v>
      </c>
    </row>
    <row r="82" spans="1:15" ht="15.75" x14ac:dyDescent="0.25">
      <c r="A82" s="609" t="s">
        <v>6</v>
      </c>
      <c r="B82" s="610"/>
      <c r="C82" s="610"/>
      <c r="D82" s="610"/>
      <c r="E82" s="610"/>
      <c r="F82" s="611"/>
      <c r="G82" s="1"/>
      <c r="H82" s="2">
        <f>H75</f>
        <v>18</v>
      </c>
    </row>
    <row r="83" spans="1:15" ht="15.75" x14ac:dyDescent="0.25">
      <c r="A83" s="3" t="s">
        <v>7</v>
      </c>
      <c r="B83" s="1"/>
      <c r="C83" s="1"/>
      <c r="D83" s="1"/>
      <c r="E83" s="1"/>
      <c r="F83" s="1"/>
      <c r="G83" s="1"/>
      <c r="H83" s="2">
        <v>32</v>
      </c>
    </row>
    <row r="84" spans="1:15" ht="39" thickBot="1" x14ac:dyDescent="0.3">
      <c r="A84" s="40" t="s">
        <v>8</v>
      </c>
      <c r="B84" s="41" t="s">
        <v>9</v>
      </c>
      <c r="C84" s="41" t="s">
        <v>10</v>
      </c>
      <c r="D84" s="41" t="s">
        <v>11</v>
      </c>
      <c r="E84" s="41" t="s">
        <v>12</v>
      </c>
      <c r="F84" s="41" t="s">
        <v>13</v>
      </c>
      <c r="G84" s="41" t="s">
        <v>14</v>
      </c>
      <c r="H84" s="42" t="s">
        <v>15</v>
      </c>
    </row>
    <row r="85" spans="1:15" x14ac:dyDescent="0.25">
      <c r="A85" s="36">
        <v>1</v>
      </c>
      <c r="B85" s="37"/>
      <c r="C85" s="37"/>
      <c r="D85" s="37"/>
      <c r="E85" s="37"/>
      <c r="F85" s="37"/>
      <c r="G85" s="37"/>
      <c r="H85" s="38">
        <f>H82+B85+F85-(C85+D85+G85)-E85</f>
        <v>18</v>
      </c>
    </row>
    <row r="86" spans="1:15" x14ac:dyDescent="0.25">
      <c r="A86" s="26">
        <v>2</v>
      </c>
      <c r="B86" s="5"/>
      <c r="C86" s="5"/>
      <c r="D86" s="5"/>
      <c r="E86" s="5"/>
      <c r="F86" s="5"/>
      <c r="G86" s="5"/>
      <c r="H86" s="2">
        <f>H85+B86+F86-(C86+D86+G86)-E86</f>
        <v>18</v>
      </c>
    </row>
    <row r="87" spans="1:15" x14ac:dyDescent="0.25">
      <c r="A87" s="26">
        <v>3</v>
      </c>
      <c r="B87" s="5"/>
      <c r="C87" s="5"/>
      <c r="D87" s="5"/>
      <c r="E87" s="5"/>
      <c r="F87" s="5"/>
      <c r="G87" s="5"/>
      <c r="H87" s="2">
        <f>H86+B87+F87-(C87+D87+G87)-E87</f>
        <v>18</v>
      </c>
    </row>
    <row r="88" spans="1:15" x14ac:dyDescent="0.25">
      <c r="A88" s="26">
        <v>4</v>
      </c>
      <c r="B88" s="5"/>
      <c r="C88" s="5"/>
      <c r="D88" s="5"/>
      <c r="E88" s="5"/>
      <c r="F88" s="5"/>
      <c r="G88" s="5"/>
      <c r="H88" s="2">
        <f t="shared" ref="H88:H115" si="4">H87+B88+F88-(C88+D88+G88)-E88</f>
        <v>18</v>
      </c>
    </row>
    <row r="89" spans="1:15" x14ac:dyDescent="0.25">
      <c r="A89" s="26">
        <v>5</v>
      </c>
      <c r="B89" s="5"/>
      <c r="C89" s="5"/>
      <c r="D89" s="5"/>
      <c r="E89" s="5"/>
      <c r="F89" s="5"/>
      <c r="G89" s="5"/>
      <c r="H89" s="2">
        <f t="shared" si="4"/>
        <v>18</v>
      </c>
    </row>
    <row r="90" spans="1:15" x14ac:dyDescent="0.25">
      <c r="A90" s="26">
        <v>6</v>
      </c>
      <c r="B90" s="5"/>
      <c r="C90" s="5"/>
      <c r="D90" s="5"/>
      <c r="E90" s="5"/>
      <c r="F90" s="5"/>
      <c r="G90" s="5"/>
      <c r="H90" s="2">
        <f t="shared" si="4"/>
        <v>18</v>
      </c>
    </row>
    <row r="91" spans="1:15" x14ac:dyDescent="0.25">
      <c r="A91" s="26">
        <v>7</v>
      </c>
      <c r="B91" s="5"/>
      <c r="C91" s="5"/>
      <c r="D91" s="5"/>
      <c r="E91" s="5"/>
      <c r="F91" s="5"/>
      <c r="G91" s="5"/>
      <c r="H91" s="2">
        <f t="shared" si="4"/>
        <v>18</v>
      </c>
    </row>
    <row r="92" spans="1:15" x14ac:dyDescent="0.25">
      <c r="A92" s="26">
        <v>8</v>
      </c>
      <c r="B92" s="5"/>
      <c r="C92" s="5"/>
      <c r="D92" s="5"/>
      <c r="E92" s="5"/>
      <c r="F92" s="5"/>
      <c r="G92" s="5"/>
      <c r="H92" s="2">
        <f t="shared" si="4"/>
        <v>18</v>
      </c>
    </row>
    <row r="93" spans="1:15" x14ac:dyDescent="0.25">
      <c r="A93" s="26">
        <v>9</v>
      </c>
      <c r="B93" s="5"/>
      <c r="C93" s="5"/>
      <c r="D93" s="5"/>
      <c r="E93" s="5"/>
      <c r="F93" s="5"/>
      <c r="G93" s="5"/>
      <c r="H93" s="2">
        <f t="shared" si="4"/>
        <v>18</v>
      </c>
    </row>
    <row r="94" spans="1:15" x14ac:dyDescent="0.25">
      <c r="A94" s="26">
        <v>10</v>
      </c>
      <c r="B94" s="5"/>
      <c r="C94" s="5"/>
      <c r="D94" s="5"/>
      <c r="E94" s="5"/>
      <c r="F94" s="5"/>
      <c r="G94" s="5"/>
      <c r="H94" s="2">
        <f t="shared" si="4"/>
        <v>18</v>
      </c>
    </row>
    <row r="95" spans="1:15" x14ac:dyDescent="0.25">
      <c r="A95" s="26">
        <v>11</v>
      </c>
      <c r="B95" s="5"/>
      <c r="C95" s="5"/>
      <c r="D95" s="5"/>
      <c r="E95" s="5"/>
      <c r="F95" s="5"/>
      <c r="G95" s="5"/>
      <c r="H95" s="2">
        <f t="shared" si="4"/>
        <v>18</v>
      </c>
    </row>
    <row r="96" spans="1:15" x14ac:dyDescent="0.25">
      <c r="A96" s="26">
        <v>12</v>
      </c>
      <c r="B96" s="5"/>
      <c r="C96" s="5"/>
      <c r="D96" s="5"/>
      <c r="E96" s="5"/>
      <c r="F96" s="5"/>
      <c r="G96" s="5"/>
      <c r="H96" s="2">
        <f t="shared" si="4"/>
        <v>18</v>
      </c>
      <c r="O96" t="s">
        <v>49</v>
      </c>
    </row>
    <row r="97" spans="1:8" x14ac:dyDescent="0.25">
      <c r="A97" s="26">
        <v>13</v>
      </c>
      <c r="B97" s="5"/>
      <c r="C97" s="5"/>
      <c r="D97" s="5"/>
      <c r="E97" s="5"/>
      <c r="F97" s="5"/>
      <c r="G97" s="5"/>
      <c r="H97" s="2">
        <f t="shared" si="4"/>
        <v>18</v>
      </c>
    </row>
    <row r="98" spans="1:8" x14ac:dyDescent="0.25">
      <c r="A98" s="26">
        <v>14</v>
      </c>
      <c r="B98" s="5"/>
      <c r="C98" s="5"/>
      <c r="D98" s="5"/>
      <c r="E98" s="5"/>
      <c r="F98" s="5"/>
      <c r="G98" s="5"/>
      <c r="H98" s="2">
        <f t="shared" si="4"/>
        <v>18</v>
      </c>
    </row>
    <row r="99" spans="1:8" x14ac:dyDescent="0.25">
      <c r="A99" s="26">
        <v>15</v>
      </c>
      <c r="B99" s="5"/>
      <c r="C99" s="5"/>
      <c r="D99" s="5"/>
      <c r="E99" s="5"/>
      <c r="F99" s="5"/>
      <c r="G99" s="5"/>
      <c r="H99" s="2">
        <f t="shared" si="4"/>
        <v>18</v>
      </c>
    </row>
    <row r="100" spans="1:8" x14ac:dyDescent="0.25">
      <c r="A100" s="26">
        <v>16</v>
      </c>
      <c r="B100" s="5"/>
      <c r="C100" s="5"/>
      <c r="D100" s="5"/>
      <c r="E100" s="5"/>
      <c r="F100" s="5"/>
      <c r="G100" s="5"/>
      <c r="H100" s="2">
        <f t="shared" si="4"/>
        <v>18</v>
      </c>
    </row>
    <row r="101" spans="1:8" x14ac:dyDescent="0.25">
      <c r="A101" s="26">
        <v>17</v>
      </c>
      <c r="B101" s="5"/>
      <c r="C101" s="5"/>
      <c r="D101" s="5"/>
      <c r="E101" s="5"/>
      <c r="F101" s="5"/>
      <c r="G101" s="5"/>
      <c r="H101" s="2">
        <f t="shared" si="4"/>
        <v>18</v>
      </c>
    </row>
    <row r="102" spans="1:8" x14ac:dyDescent="0.25">
      <c r="A102" s="26">
        <v>18</v>
      </c>
      <c r="B102" s="5"/>
      <c r="C102" s="5"/>
      <c r="D102" s="5"/>
      <c r="E102" s="5"/>
      <c r="F102" s="5"/>
      <c r="G102" s="5"/>
      <c r="H102" s="2">
        <f t="shared" si="4"/>
        <v>18</v>
      </c>
    </row>
    <row r="103" spans="1:8" x14ac:dyDescent="0.25">
      <c r="A103" s="26">
        <v>19</v>
      </c>
      <c r="B103" s="5"/>
      <c r="C103" s="5"/>
      <c r="D103" s="5"/>
      <c r="E103" s="5"/>
      <c r="F103" s="5"/>
      <c r="G103" s="5"/>
      <c r="H103" s="2">
        <f t="shared" si="4"/>
        <v>18</v>
      </c>
    </row>
    <row r="104" spans="1:8" x14ac:dyDescent="0.25">
      <c r="A104" s="26">
        <v>20</v>
      </c>
      <c r="B104" s="5"/>
      <c r="C104" s="5"/>
      <c r="D104" s="5"/>
      <c r="E104" s="5"/>
      <c r="F104" s="5"/>
      <c r="G104" s="5"/>
      <c r="H104" s="2">
        <f t="shared" si="4"/>
        <v>18</v>
      </c>
    </row>
    <row r="105" spans="1:8" x14ac:dyDescent="0.25">
      <c r="A105" s="26">
        <v>21</v>
      </c>
      <c r="B105" s="5"/>
      <c r="C105" s="5"/>
      <c r="D105" s="5"/>
      <c r="E105" s="5"/>
      <c r="F105" s="5"/>
      <c r="G105" s="5"/>
      <c r="H105" s="2">
        <f t="shared" si="4"/>
        <v>18</v>
      </c>
    </row>
    <row r="106" spans="1:8" x14ac:dyDescent="0.25">
      <c r="A106" s="26">
        <v>22</v>
      </c>
      <c r="B106" s="5"/>
      <c r="C106" s="5"/>
      <c r="D106" s="5"/>
      <c r="E106" s="5"/>
      <c r="F106" s="5"/>
      <c r="G106" s="5"/>
      <c r="H106" s="2">
        <f t="shared" si="4"/>
        <v>18</v>
      </c>
    </row>
    <row r="107" spans="1:8" x14ac:dyDescent="0.25">
      <c r="A107" s="26">
        <v>23</v>
      </c>
      <c r="B107" s="5"/>
      <c r="C107" s="5"/>
      <c r="D107" s="5"/>
      <c r="E107" s="5"/>
      <c r="F107" s="5"/>
      <c r="G107" s="5"/>
      <c r="H107" s="2">
        <f t="shared" si="4"/>
        <v>18</v>
      </c>
    </row>
    <row r="108" spans="1:8" x14ac:dyDescent="0.25">
      <c r="A108" s="26">
        <v>24</v>
      </c>
      <c r="B108" s="5"/>
      <c r="C108" s="5"/>
      <c r="D108" s="5"/>
      <c r="E108" s="5"/>
      <c r="F108" s="5"/>
      <c r="G108" s="5"/>
      <c r="H108" s="2">
        <f t="shared" si="4"/>
        <v>18</v>
      </c>
    </row>
    <row r="109" spans="1:8" x14ac:dyDescent="0.25">
      <c r="A109" s="26">
        <v>25</v>
      </c>
      <c r="B109" s="5"/>
      <c r="C109" s="5"/>
      <c r="D109" s="5"/>
      <c r="E109" s="5"/>
      <c r="F109" s="5"/>
      <c r="G109" s="5"/>
      <c r="H109" s="2">
        <f t="shared" si="4"/>
        <v>18</v>
      </c>
    </row>
    <row r="110" spans="1:8" x14ac:dyDescent="0.25">
      <c r="A110" s="26">
        <v>26</v>
      </c>
      <c r="B110" s="5"/>
      <c r="C110" s="5"/>
      <c r="D110" s="5"/>
      <c r="E110" s="5"/>
      <c r="F110" s="5"/>
      <c r="G110" s="5"/>
      <c r="H110" s="2">
        <f t="shared" si="4"/>
        <v>18</v>
      </c>
    </row>
    <row r="111" spans="1:8" x14ac:dyDescent="0.25">
      <c r="A111" s="26">
        <v>27</v>
      </c>
      <c r="B111" s="5"/>
      <c r="C111" s="5"/>
      <c r="D111" s="5"/>
      <c r="E111" s="5"/>
      <c r="F111" s="5"/>
      <c r="G111" s="5"/>
      <c r="H111" s="2">
        <f t="shared" si="4"/>
        <v>18</v>
      </c>
    </row>
    <row r="112" spans="1:8" x14ac:dyDescent="0.25">
      <c r="A112" s="26">
        <v>28</v>
      </c>
      <c r="B112" s="5"/>
      <c r="C112" s="5"/>
      <c r="D112" s="5"/>
      <c r="E112" s="5"/>
      <c r="F112" s="5"/>
      <c r="G112" s="5"/>
      <c r="H112" s="2">
        <f t="shared" si="4"/>
        <v>18</v>
      </c>
    </row>
    <row r="113" spans="1:8" x14ac:dyDescent="0.25">
      <c r="A113" s="26">
        <v>29</v>
      </c>
      <c r="B113" s="5"/>
      <c r="C113" s="5"/>
      <c r="D113" s="5"/>
      <c r="E113" s="5"/>
      <c r="F113" s="5"/>
      <c r="G113" s="5"/>
      <c r="H113" s="2">
        <f t="shared" si="4"/>
        <v>18</v>
      </c>
    </row>
    <row r="114" spans="1:8" x14ac:dyDescent="0.25">
      <c r="A114" s="26">
        <v>30</v>
      </c>
      <c r="B114" s="5"/>
      <c r="C114" s="5"/>
      <c r="D114" s="5"/>
      <c r="E114" s="5"/>
      <c r="F114" s="5"/>
      <c r="G114" s="5"/>
      <c r="H114" s="2">
        <f t="shared" si="4"/>
        <v>18</v>
      </c>
    </row>
    <row r="115" spans="1:8" x14ac:dyDescent="0.25">
      <c r="A115" s="26">
        <v>31</v>
      </c>
      <c r="B115" s="5"/>
      <c r="C115" s="5"/>
      <c r="D115" s="5"/>
      <c r="E115" s="5"/>
      <c r="F115" s="5"/>
      <c r="G115" s="5"/>
      <c r="H115" s="2">
        <f t="shared" si="4"/>
        <v>18</v>
      </c>
    </row>
    <row r="116" spans="1:8" ht="15.75" thickBot="1" x14ac:dyDescent="0.3">
      <c r="A116" s="33" t="s">
        <v>35</v>
      </c>
      <c r="B116" s="34">
        <f>SUM(B85:B115)-E116</f>
        <v>0</v>
      </c>
      <c r="C116" s="34">
        <f t="shared" ref="C116:H116" si="5">SUM(C85:C115)</f>
        <v>0</v>
      </c>
      <c r="D116" s="34">
        <f t="shared" si="5"/>
        <v>0</v>
      </c>
      <c r="E116" s="34">
        <f t="shared" si="5"/>
        <v>0</v>
      </c>
      <c r="F116" s="34">
        <f t="shared" si="5"/>
        <v>0</v>
      </c>
      <c r="G116" s="34">
        <f t="shared" si="5"/>
        <v>0</v>
      </c>
      <c r="H116" s="35">
        <f t="shared" si="5"/>
        <v>558</v>
      </c>
    </row>
    <row r="119" spans="1:8" ht="27.75" customHeight="1" x14ac:dyDescent="0.55000000000000004">
      <c r="A119" s="605" t="s">
        <v>1</v>
      </c>
      <c r="B119" s="605"/>
      <c r="C119" s="605"/>
      <c r="D119" s="605"/>
      <c r="E119" s="605"/>
      <c r="F119" s="605"/>
      <c r="G119" s="605"/>
      <c r="H119" s="605"/>
    </row>
    <row r="120" spans="1:8" ht="27" thickBot="1" x14ac:dyDescent="0.45">
      <c r="A120" s="606" t="s">
        <v>0</v>
      </c>
      <c r="B120" s="606"/>
      <c r="C120" s="606"/>
      <c r="D120" s="606"/>
      <c r="E120" s="606"/>
      <c r="F120" s="606"/>
      <c r="G120" s="606"/>
      <c r="H120" s="606"/>
    </row>
    <row r="121" spans="1:8" ht="15.75" x14ac:dyDescent="0.25">
      <c r="A121" s="39" t="s">
        <v>2</v>
      </c>
      <c r="B121" s="19" t="s">
        <v>3</v>
      </c>
      <c r="C121" s="20"/>
      <c r="D121" s="21" t="s">
        <v>52</v>
      </c>
      <c r="E121" s="607" t="s">
        <v>5</v>
      </c>
      <c r="F121" s="608"/>
      <c r="G121" s="19" t="s">
        <v>16</v>
      </c>
      <c r="H121" s="32" t="s">
        <v>50</v>
      </c>
    </row>
    <row r="122" spans="1:8" ht="15.75" x14ac:dyDescent="0.25">
      <c r="A122" s="609" t="s">
        <v>6</v>
      </c>
      <c r="B122" s="610"/>
      <c r="C122" s="610"/>
      <c r="D122" s="610"/>
      <c r="E122" s="610"/>
      <c r="F122" s="610"/>
      <c r="G122" s="611"/>
      <c r="H122" s="27">
        <f>H115</f>
        <v>18</v>
      </c>
    </row>
    <row r="123" spans="1:8" ht="16.5" thickBot="1" x14ac:dyDescent="0.3">
      <c r="A123" s="23" t="s">
        <v>7</v>
      </c>
      <c r="B123" s="24"/>
      <c r="C123" s="24"/>
      <c r="D123" s="24"/>
      <c r="E123" s="24"/>
      <c r="F123" s="24"/>
      <c r="G123" s="24"/>
      <c r="H123" s="25">
        <v>32</v>
      </c>
    </row>
    <row r="124" spans="1:8" ht="39" thickBot="1" x14ac:dyDescent="0.3">
      <c r="A124" s="53" t="s">
        <v>8</v>
      </c>
      <c r="B124" s="185" t="s">
        <v>9</v>
      </c>
      <c r="C124" s="185" t="s">
        <v>10</v>
      </c>
      <c r="D124" s="185" t="s">
        <v>11</v>
      </c>
      <c r="E124" s="185" t="s">
        <v>12</v>
      </c>
      <c r="F124" s="185" t="s">
        <v>13</v>
      </c>
      <c r="G124" s="185" t="s">
        <v>14</v>
      </c>
      <c r="H124" s="186" t="s">
        <v>15</v>
      </c>
    </row>
    <row r="125" spans="1:8" x14ac:dyDescent="0.25">
      <c r="A125" s="43">
        <v>1</v>
      </c>
      <c r="B125" s="37"/>
      <c r="C125" s="37"/>
      <c r="D125" s="37"/>
      <c r="E125" s="37"/>
      <c r="F125" s="37"/>
      <c r="G125" s="37"/>
      <c r="H125" s="51">
        <f>H122+B125+F125-(C125+D125+G125)-E125</f>
        <v>18</v>
      </c>
    </row>
    <row r="126" spans="1:8" x14ac:dyDescent="0.25">
      <c r="A126" s="26">
        <v>2</v>
      </c>
      <c r="B126" s="5"/>
      <c r="C126" s="5"/>
      <c r="D126" s="5"/>
      <c r="E126" s="5"/>
      <c r="F126" s="5"/>
      <c r="G126" s="5"/>
      <c r="H126" s="2">
        <f>H125+B126+F126-(C126+D126+G126)-E126</f>
        <v>18</v>
      </c>
    </row>
    <row r="127" spans="1:8" x14ac:dyDescent="0.25">
      <c r="A127" s="26">
        <v>3</v>
      </c>
      <c r="B127" s="5"/>
      <c r="C127" s="5"/>
      <c r="D127" s="5"/>
      <c r="E127" s="5"/>
      <c r="F127" s="5"/>
      <c r="G127" s="5"/>
      <c r="H127" s="2">
        <f>H126+B127+F127-(C127+D127+G127)-E127</f>
        <v>18</v>
      </c>
    </row>
    <row r="128" spans="1:8" x14ac:dyDescent="0.25">
      <c r="A128" s="26">
        <v>4</v>
      </c>
      <c r="B128" s="5"/>
      <c r="C128" s="5"/>
      <c r="D128" s="5"/>
      <c r="E128" s="5"/>
      <c r="F128" s="5"/>
      <c r="G128" s="5"/>
      <c r="H128" s="2">
        <f t="shared" ref="H128:H153" si="6">H127+B128+F128-(C128+D128+G128)-E128</f>
        <v>18</v>
      </c>
    </row>
    <row r="129" spans="1:8" x14ac:dyDescent="0.25">
      <c r="A129" s="26">
        <v>5</v>
      </c>
      <c r="B129" s="5"/>
      <c r="C129" s="5"/>
      <c r="D129" s="5"/>
      <c r="E129" s="5"/>
      <c r="F129" s="5"/>
      <c r="G129" s="5"/>
      <c r="H129" s="2">
        <f t="shared" si="6"/>
        <v>18</v>
      </c>
    </row>
    <row r="130" spans="1:8" x14ac:dyDescent="0.25">
      <c r="A130" s="26">
        <v>6</v>
      </c>
      <c r="B130" s="5"/>
      <c r="C130" s="5"/>
      <c r="D130" s="5"/>
      <c r="E130" s="5"/>
      <c r="F130" s="5"/>
      <c r="G130" s="5"/>
      <c r="H130" s="2">
        <f t="shared" si="6"/>
        <v>18</v>
      </c>
    </row>
    <row r="131" spans="1:8" x14ac:dyDescent="0.25">
      <c r="A131" s="26">
        <v>7</v>
      </c>
      <c r="B131" s="5"/>
      <c r="C131" s="5"/>
      <c r="D131" s="5"/>
      <c r="E131" s="5"/>
      <c r="F131" s="5"/>
      <c r="G131" s="5"/>
      <c r="H131" s="2">
        <f t="shared" si="6"/>
        <v>18</v>
      </c>
    </row>
    <row r="132" spans="1:8" x14ac:dyDescent="0.25">
      <c r="A132" s="26">
        <v>8</v>
      </c>
      <c r="B132" s="5"/>
      <c r="C132" s="5"/>
      <c r="D132" s="5"/>
      <c r="E132" s="5"/>
      <c r="F132" s="5"/>
      <c r="G132" s="5"/>
      <c r="H132" s="2">
        <f t="shared" si="6"/>
        <v>18</v>
      </c>
    </row>
    <row r="133" spans="1:8" x14ac:dyDescent="0.25">
      <c r="A133" s="26">
        <v>9</v>
      </c>
      <c r="B133" s="5"/>
      <c r="C133" s="5"/>
      <c r="D133" s="5"/>
      <c r="E133" s="5"/>
      <c r="F133" s="5"/>
      <c r="G133" s="5"/>
      <c r="H133" s="2">
        <f t="shared" si="6"/>
        <v>18</v>
      </c>
    </row>
    <row r="134" spans="1:8" x14ac:dyDescent="0.25">
      <c r="A134" s="26">
        <v>10</v>
      </c>
      <c r="B134" s="5"/>
      <c r="C134" s="5"/>
      <c r="D134" s="5"/>
      <c r="E134" s="5"/>
      <c r="F134" s="5"/>
      <c r="G134" s="5"/>
      <c r="H134" s="2">
        <f t="shared" si="6"/>
        <v>18</v>
      </c>
    </row>
    <row r="135" spans="1:8" x14ac:dyDescent="0.25">
      <c r="A135" s="26">
        <v>11</v>
      </c>
      <c r="B135" s="5"/>
      <c r="C135" s="5"/>
      <c r="D135" s="5"/>
      <c r="E135" s="5"/>
      <c r="F135" s="5"/>
      <c r="G135" s="5"/>
      <c r="H135" s="2">
        <f t="shared" si="6"/>
        <v>18</v>
      </c>
    </row>
    <row r="136" spans="1:8" x14ac:dyDescent="0.25">
      <c r="A136" s="26">
        <v>12</v>
      </c>
      <c r="B136" s="5"/>
      <c r="C136" s="5"/>
      <c r="D136" s="5"/>
      <c r="E136" s="5"/>
      <c r="F136" s="5"/>
      <c r="G136" s="5"/>
      <c r="H136" s="2">
        <f t="shared" si="6"/>
        <v>18</v>
      </c>
    </row>
    <row r="137" spans="1:8" x14ac:dyDescent="0.25">
      <c r="A137" s="26">
        <v>13</v>
      </c>
      <c r="B137" s="5"/>
      <c r="C137" s="5"/>
      <c r="D137" s="5"/>
      <c r="E137" s="5"/>
      <c r="F137" s="5"/>
      <c r="G137" s="5"/>
      <c r="H137" s="2">
        <f t="shared" si="6"/>
        <v>18</v>
      </c>
    </row>
    <row r="138" spans="1:8" x14ac:dyDescent="0.25">
      <c r="A138" s="26">
        <v>14</v>
      </c>
      <c r="B138" s="5"/>
      <c r="C138" s="5"/>
      <c r="D138" s="5"/>
      <c r="E138" s="5"/>
      <c r="F138" s="5"/>
      <c r="G138" s="5"/>
      <c r="H138" s="2">
        <f t="shared" si="6"/>
        <v>18</v>
      </c>
    </row>
    <row r="139" spans="1:8" x14ac:dyDescent="0.25">
      <c r="A139" s="26">
        <v>15</v>
      </c>
      <c r="B139" s="5"/>
      <c r="C139" s="5"/>
      <c r="D139" s="5"/>
      <c r="E139" s="5"/>
      <c r="F139" s="5"/>
      <c r="G139" s="5"/>
      <c r="H139" s="2">
        <f t="shared" si="6"/>
        <v>18</v>
      </c>
    </row>
    <row r="140" spans="1:8" x14ac:dyDescent="0.25">
      <c r="A140" s="26">
        <v>16</v>
      </c>
      <c r="B140" s="5"/>
      <c r="C140" s="5"/>
      <c r="D140" s="5"/>
      <c r="E140" s="5"/>
      <c r="F140" s="5"/>
      <c r="G140" s="5"/>
      <c r="H140" s="2">
        <f t="shared" si="6"/>
        <v>18</v>
      </c>
    </row>
    <row r="141" spans="1:8" x14ac:dyDescent="0.25">
      <c r="A141" s="26">
        <v>17</v>
      </c>
      <c r="B141" s="5"/>
      <c r="C141" s="5"/>
      <c r="D141" s="5"/>
      <c r="E141" s="5"/>
      <c r="F141" s="5"/>
      <c r="G141" s="5"/>
      <c r="H141" s="2">
        <f t="shared" si="6"/>
        <v>18</v>
      </c>
    </row>
    <row r="142" spans="1:8" x14ac:dyDescent="0.25">
      <c r="A142" s="26">
        <v>18</v>
      </c>
      <c r="B142" s="5"/>
      <c r="C142" s="5"/>
      <c r="D142" s="5"/>
      <c r="E142" s="5"/>
      <c r="F142" s="5"/>
      <c r="G142" s="5"/>
      <c r="H142" s="2">
        <f t="shared" si="6"/>
        <v>18</v>
      </c>
    </row>
    <row r="143" spans="1:8" x14ac:dyDescent="0.25">
      <c r="A143" s="26">
        <v>19</v>
      </c>
      <c r="B143" s="5"/>
      <c r="C143" s="5"/>
      <c r="D143" s="5"/>
      <c r="E143" s="5"/>
      <c r="F143" s="5"/>
      <c r="G143" s="5"/>
      <c r="H143" s="2">
        <f t="shared" si="6"/>
        <v>18</v>
      </c>
    </row>
    <row r="144" spans="1:8" x14ac:dyDescent="0.25">
      <c r="A144" s="26">
        <v>20</v>
      </c>
      <c r="B144" s="5"/>
      <c r="C144" s="5"/>
      <c r="D144" s="5"/>
      <c r="E144" s="5"/>
      <c r="F144" s="5"/>
      <c r="G144" s="5"/>
      <c r="H144" s="2">
        <f t="shared" si="6"/>
        <v>18</v>
      </c>
    </row>
    <row r="145" spans="1:8" x14ac:dyDescent="0.25">
      <c r="A145" s="26">
        <v>21</v>
      </c>
      <c r="B145" s="5"/>
      <c r="C145" s="5"/>
      <c r="D145" s="5"/>
      <c r="E145" s="5"/>
      <c r="F145" s="5"/>
      <c r="G145" s="5"/>
      <c r="H145" s="2">
        <f t="shared" si="6"/>
        <v>18</v>
      </c>
    </row>
    <row r="146" spans="1:8" x14ac:dyDescent="0.25">
      <c r="A146" s="26">
        <v>22</v>
      </c>
      <c r="B146" s="5"/>
      <c r="C146" s="5"/>
      <c r="D146" s="5"/>
      <c r="E146" s="5"/>
      <c r="F146" s="5"/>
      <c r="G146" s="5"/>
      <c r="H146" s="2">
        <f t="shared" si="6"/>
        <v>18</v>
      </c>
    </row>
    <row r="147" spans="1:8" x14ac:dyDescent="0.25">
      <c r="A147" s="26">
        <v>23</v>
      </c>
      <c r="B147" s="5"/>
      <c r="C147" s="5"/>
      <c r="D147" s="5"/>
      <c r="E147" s="5"/>
      <c r="F147" s="5"/>
      <c r="G147" s="5"/>
      <c r="H147" s="2">
        <f t="shared" si="6"/>
        <v>18</v>
      </c>
    </row>
    <row r="148" spans="1:8" x14ac:dyDescent="0.25">
      <c r="A148" s="26">
        <v>24</v>
      </c>
      <c r="B148" s="5"/>
      <c r="C148" s="5"/>
      <c r="D148" s="5"/>
      <c r="E148" s="5"/>
      <c r="F148" s="5"/>
      <c r="G148" s="5"/>
      <c r="H148" s="2">
        <f t="shared" si="6"/>
        <v>18</v>
      </c>
    </row>
    <row r="149" spans="1:8" x14ac:dyDescent="0.25">
      <c r="A149" s="26">
        <v>25</v>
      </c>
      <c r="B149" s="5"/>
      <c r="C149" s="5"/>
      <c r="D149" s="5"/>
      <c r="E149" s="5"/>
      <c r="F149" s="5"/>
      <c r="G149" s="5"/>
      <c r="H149" s="2">
        <f t="shared" si="6"/>
        <v>18</v>
      </c>
    </row>
    <row r="150" spans="1:8" x14ac:dyDescent="0.25">
      <c r="A150" s="26">
        <v>26</v>
      </c>
      <c r="B150" s="5"/>
      <c r="C150" s="5"/>
      <c r="D150" s="5"/>
      <c r="E150" s="5"/>
      <c r="F150" s="5"/>
      <c r="G150" s="5"/>
      <c r="H150" s="2">
        <f t="shared" si="6"/>
        <v>18</v>
      </c>
    </row>
    <row r="151" spans="1:8" x14ac:dyDescent="0.25">
      <c r="A151" s="26">
        <v>27</v>
      </c>
      <c r="B151" s="5"/>
      <c r="C151" s="5"/>
      <c r="D151" s="5"/>
      <c r="E151" s="5"/>
      <c r="F151" s="5"/>
      <c r="G151" s="5"/>
      <c r="H151" s="2">
        <f t="shared" si="6"/>
        <v>18</v>
      </c>
    </row>
    <row r="152" spans="1:8" x14ac:dyDescent="0.25">
      <c r="A152" s="26">
        <v>28</v>
      </c>
      <c r="B152" s="5"/>
      <c r="C152" s="5"/>
      <c r="D152" s="5"/>
      <c r="E152" s="5"/>
      <c r="F152" s="5"/>
      <c r="G152" s="5"/>
      <c r="H152" s="2">
        <f t="shared" si="6"/>
        <v>18</v>
      </c>
    </row>
    <row r="153" spans="1:8" x14ac:dyDescent="0.25">
      <c r="A153" s="26">
        <v>29</v>
      </c>
      <c r="B153" s="5"/>
      <c r="C153" s="5"/>
      <c r="D153" s="5"/>
      <c r="E153" s="5"/>
      <c r="F153" s="5"/>
      <c r="G153" s="5"/>
      <c r="H153" s="2">
        <f t="shared" si="6"/>
        <v>18</v>
      </c>
    </row>
    <row r="154" spans="1:8" ht="15.75" thickBot="1" x14ac:dyDescent="0.3">
      <c r="A154" s="26">
        <v>30</v>
      </c>
      <c r="B154" s="29"/>
      <c r="C154" s="29"/>
      <c r="D154" s="29"/>
      <c r="E154" s="29"/>
      <c r="F154" s="29"/>
      <c r="G154" s="29"/>
      <c r="H154" s="2">
        <f>H153+B154+F154-(C154+D154+G154)-E154</f>
        <v>18</v>
      </c>
    </row>
    <row r="155" spans="1:8" ht="15.75" thickBot="1" x14ac:dyDescent="0.3">
      <c r="A155" s="60" t="s">
        <v>35</v>
      </c>
      <c r="B155" s="58">
        <f>SUM(B125:B154)-E155</f>
        <v>0</v>
      </c>
      <c r="C155" s="58">
        <f t="shared" ref="C155:H155" si="7">SUM(C125:C154)</f>
        <v>0</v>
      </c>
      <c r="D155" s="58">
        <f t="shared" si="7"/>
        <v>0</v>
      </c>
      <c r="E155" s="58">
        <f t="shared" si="7"/>
        <v>0</v>
      </c>
      <c r="F155" s="58">
        <f t="shared" si="7"/>
        <v>0</v>
      </c>
      <c r="G155" s="58">
        <f t="shared" si="7"/>
        <v>0</v>
      </c>
      <c r="H155" s="59">
        <f t="shared" si="7"/>
        <v>540</v>
      </c>
    </row>
    <row r="158" spans="1:8" ht="36" x14ac:dyDescent="0.55000000000000004">
      <c r="A158" s="605" t="s">
        <v>1</v>
      </c>
      <c r="B158" s="605"/>
      <c r="C158" s="605"/>
      <c r="D158" s="605"/>
      <c r="E158" s="605"/>
      <c r="F158" s="605"/>
      <c r="G158" s="605"/>
      <c r="H158" s="605"/>
    </row>
    <row r="159" spans="1:8" ht="27" thickBot="1" x14ac:dyDescent="0.45">
      <c r="A159" s="606" t="s">
        <v>0</v>
      </c>
      <c r="B159" s="606"/>
      <c r="C159" s="606"/>
      <c r="D159" s="606"/>
      <c r="E159" s="606"/>
      <c r="F159" s="606"/>
      <c r="G159" s="606"/>
      <c r="H159" s="606"/>
    </row>
    <row r="160" spans="1:8" ht="15.75" x14ac:dyDescent="0.25">
      <c r="A160" s="39" t="s">
        <v>2</v>
      </c>
      <c r="B160" s="19" t="s">
        <v>3</v>
      </c>
      <c r="C160" s="20"/>
      <c r="D160" s="21" t="s">
        <v>52</v>
      </c>
      <c r="E160" s="607" t="s">
        <v>5</v>
      </c>
      <c r="F160" s="608"/>
      <c r="G160" s="19" t="s">
        <v>16</v>
      </c>
      <c r="H160" s="32" t="s">
        <v>58</v>
      </c>
    </row>
    <row r="161" spans="1:8" ht="15.75" x14ac:dyDescent="0.25">
      <c r="A161" s="609" t="s">
        <v>6</v>
      </c>
      <c r="B161" s="610"/>
      <c r="C161" s="610"/>
      <c r="D161" s="610"/>
      <c r="E161" s="610"/>
      <c r="F161" s="611"/>
      <c r="G161" s="1"/>
      <c r="H161" s="2">
        <f>H154</f>
        <v>18</v>
      </c>
    </row>
    <row r="162" spans="1:8" ht="15.75" x14ac:dyDescent="0.25">
      <c r="A162" s="3" t="s">
        <v>7</v>
      </c>
      <c r="B162" s="1"/>
      <c r="C162" s="1"/>
      <c r="D162" s="1"/>
      <c r="E162" s="1"/>
      <c r="F162" s="1"/>
      <c r="G162" s="1"/>
      <c r="H162" s="2">
        <v>32</v>
      </c>
    </row>
    <row r="163" spans="1:8" ht="50.25" customHeight="1" thickBot="1" x14ac:dyDescent="0.3">
      <c r="A163" s="40" t="s">
        <v>8</v>
      </c>
      <c r="B163" s="41" t="s">
        <v>9</v>
      </c>
      <c r="C163" s="41" t="s">
        <v>10</v>
      </c>
      <c r="D163" s="41" t="s">
        <v>11</v>
      </c>
      <c r="E163" s="41" t="s">
        <v>12</v>
      </c>
      <c r="F163" s="41" t="s">
        <v>13</v>
      </c>
      <c r="G163" s="41" t="s">
        <v>14</v>
      </c>
      <c r="H163" s="42" t="s">
        <v>15</v>
      </c>
    </row>
    <row r="164" spans="1:8" x14ac:dyDescent="0.25">
      <c r="A164" s="36">
        <v>1</v>
      </c>
      <c r="B164" s="37"/>
      <c r="C164" s="37"/>
      <c r="D164" s="37"/>
      <c r="E164" s="37"/>
      <c r="F164" s="37"/>
      <c r="G164" s="37"/>
      <c r="H164" s="38">
        <f>H161+B164+F164-(C164+D164+G164)-E164</f>
        <v>18</v>
      </c>
    </row>
    <row r="165" spans="1:8" x14ac:dyDescent="0.25">
      <c r="A165" s="26">
        <v>2</v>
      </c>
      <c r="B165" s="5"/>
      <c r="C165" s="5"/>
      <c r="D165" s="5"/>
      <c r="E165" s="5"/>
      <c r="F165" s="5"/>
      <c r="G165" s="5"/>
      <c r="H165" s="2">
        <f>H164+B165+F165-(C165+D165+G165)-E165</f>
        <v>18</v>
      </c>
    </row>
    <row r="166" spans="1:8" x14ac:dyDescent="0.25">
      <c r="A166" s="26">
        <v>3</v>
      </c>
      <c r="B166" s="5"/>
      <c r="C166" s="5"/>
      <c r="D166" s="5"/>
      <c r="E166" s="5"/>
      <c r="F166" s="5"/>
      <c r="G166" s="5"/>
      <c r="H166" s="2">
        <f>H165+B166+F166-(C166+D166+G166)-E166</f>
        <v>18</v>
      </c>
    </row>
    <row r="167" spans="1:8" x14ac:dyDescent="0.25">
      <c r="A167" s="26">
        <v>4</v>
      </c>
      <c r="B167" s="5"/>
      <c r="C167" s="5"/>
      <c r="D167" s="5"/>
      <c r="E167" s="5"/>
      <c r="F167" s="5"/>
      <c r="G167" s="5"/>
      <c r="H167" s="2">
        <f t="shared" ref="H167:H194" si="8">H166+B167+F167-(C167+D167+G167)-E167</f>
        <v>18</v>
      </c>
    </row>
    <row r="168" spans="1:8" x14ac:dyDescent="0.25">
      <c r="A168" s="26">
        <v>5</v>
      </c>
      <c r="B168" s="5"/>
      <c r="C168" s="5"/>
      <c r="D168" s="5"/>
      <c r="E168" s="5"/>
      <c r="F168" s="5"/>
      <c r="G168" s="5"/>
      <c r="H168" s="2">
        <f t="shared" si="8"/>
        <v>18</v>
      </c>
    </row>
    <row r="169" spans="1:8" x14ac:dyDescent="0.25">
      <c r="A169" s="26">
        <v>6</v>
      </c>
      <c r="B169" s="5"/>
      <c r="C169" s="5"/>
      <c r="D169" s="5"/>
      <c r="E169" s="5"/>
      <c r="F169" s="5"/>
      <c r="G169" s="5"/>
      <c r="H169" s="2">
        <f t="shared" si="8"/>
        <v>18</v>
      </c>
    </row>
    <row r="170" spans="1:8" x14ac:dyDescent="0.25">
      <c r="A170" s="26">
        <v>7</v>
      </c>
      <c r="B170" s="5"/>
      <c r="C170" s="5"/>
      <c r="D170" s="5"/>
      <c r="E170" s="5"/>
      <c r="F170" s="5"/>
      <c r="G170" s="5"/>
      <c r="H170" s="2">
        <f t="shared" si="8"/>
        <v>18</v>
      </c>
    </row>
    <row r="171" spans="1:8" x14ac:dyDescent="0.25">
      <c r="A171" s="26">
        <v>8</v>
      </c>
      <c r="B171" s="5"/>
      <c r="C171" s="5"/>
      <c r="D171" s="5"/>
      <c r="E171" s="5"/>
      <c r="F171" s="5"/>
      <c r="G171" s="5"/>
      <c r="H171" s="2">
        <f t="shared" si="8"/>
        <v>18</v>
      </c>
    </row>
    <row r="172" spans="1:8" x14ac:dyDescent="0.25">
      <c r="A172" s="26">
        <v>9</v>
      </c>
      <c r="B172" s="5"/>
      <c r="C172" s="5"/>
      <c r="D172" s="5"/>
      <c r="E172" s="5"/>
      <c r="F172" s="5"/>
      <c r="G172" s="5"/>
      <c r="H172" s="2">
        <f t="shared" si="8"/>
        <v>18</v>
      </c>
    </row>
    <row r="173" spans="1:8" x14ac:dyDescent="0.25">
      <c r="A173" s="26">
        <v>10</v>
      </c>
      <c r="B173" s="5"/>
      <c r="C173" s="5"/>
      <c r="D173" s="5"/>
      <c r="E173" s="5"/>
      <c r="F173" s="5"/>
      <c r="G173" s="5"/>
      <c r="H173" s="2">
        <f t="shared" si="8"/>
        <v>18</v>
      </c>
    </row>
    <row r="174" spans="1:8" x14ac:dyDescent="0.25">
      <c r="A174" s="26">
        <v>11</v>
      </c>
      <c r="B174" s="5"/>
      <c r="C174" s="5"/>
      <c r="D174" s="5"/>
      <c r="E174" s="5"/>
      <c r="F174" s="5"/>
      <c r="G174" s="5"/>
      <c r="H174" s="2">
        <f t="shared" si="8"/>
        <v>18</v>
      </c>
    </row>
    <row r="175" spans="1:8" x14ac:dyDescent="0.25">
      <c r="A175" s="26">
        <v>12</v>
      </c>
      <c r="B175" s="5"/>
      <c r="C175" s="5"/>
      <c r="D175" s="5"/>
      <c r="E175" s="5"/>
      <c r="F175" s="5"/>
      <c r="G175" s="5"/>
      <c r="H175" s="2">
        <f t="shared" si="8"/>
        <v>18</v>
      </c>
    </row>
    <row r="176" spans="1:8" x14ac:dyDescent="0.25">
      <c r="A176" s="26">
        <v>13</v>
      </c>
      <c r="B176" s="5"/>
      <c r="C176" s="5"/>
      <c r="D176" s="5"/>
      <c r="E176" s="5"/>
      <c r="F176" s="5"/>
      <c r="G176" s="5"/>
      <c r="H176" s="2">
        <f t="shared" si="8"/>
        <v>18</v>
      </c>
    </row>
    <row r="177" spans="1:8" x14ac:dyDescent="0.25">
      <c r="A177" s="26">
        <v>14</v>
      </c>
      <c r="B177" s="5"/>
      <c r="C177" s="5"/>
      <c r="D177" s="5"/>
      <c r="E177" s="5"/>
      <c r="F177" s="5"/>
      <c r="G177" s="5"/>
      <c r="H177" s="2">
        <f t="shared" si="8"/>
        <v>18</v>
      </c>
    </row>
    <row r="178" spans="1:8" x14ac:dyDescent="0.25">
      <c r="A178" s="26">
        <v>15</v>
      </c>
      <c r="B178" s="5"/>
      <c r="C178" s="5"/>
      <c r="D178" s="5"/>
      <c r="E178" s="5"/>
      <c r="F178" s="5"/>
      <c r="G178" s="5"/>
      <c r="H178" s="2">
        <f t="shared" si="8"/>
        <v>18</v>
      </c>
    </row>
    <row r="179" spans="1:8" x14ac:dyDescent="0.25">
      <c r="A179" s="26">
        <v>16</v>
      </c>
      <c r="B179" s="5"/>
      <c r="C179" s="5"/>
      <c r="D179" s="5"/>
      <c r="E179" s="5"/>
      <c r="F179" s="5"/>
      <c r="G179" s="5"/>
      <c r="H179" s="2">
        <f t="shared" si="8"/>
        <v>18</v>
      </c>
    </row>
    <row r="180" spans="1:8" x14ac:dyDescent="0.25">
      <c r="A180" s="26">
        <v>17</v>
      </c>
      <c r="B180" s="5"/>
      <c r="C180" s="5"/>
      <c r="D180" s="5"/>
      <c r="E180" s="5"/>
      <c r="F180" s="5"/>
      <c r="G180" s="5"/>
      <c r="H180" s="2">
        <f t="shared" si="8"/>
        <v>18</v>
      </c>
    </row>
    <row r="181" spans="1:8" x14ac:dyDescent="0.25">
      <c r="A181" s="26">
        <v>18</v>
      </c>
      <c r="B181" s="5"/>
      <c r="C181" s="5"/>
      <c r="D181" s="5"/>
      <c r="E181" s="5"/>
      <c r="F181" s="5"/>
      <c r="G181" s="5"/>
      <c r="H181" s="2">
        <f t="shared" si="8"/>
        <v>18</v>
      </c>
    </row>
    <row r="182" spans="1:8" x14ac:dyDescent="0.25">
      <c r="A182" s="26">
        <v>19</v>
      </c>
      <c r="B182" s="5"/>
      <c r="C182" s="5"/>
      <c r="D182" s="5"/>
      <c r="E182" s="5"/>
      <c r="F182" s="5"/>
      <c r="G182" s="5"/>
      <c r="H182" s="2">
        <f t="shared" si="8"/>
        <v>18</v>
      </c>
    </row>
    <row r="183" spans="1:8" x14ac:dyDescent="0.25">
      <c r="A183" s="26">
        <v>20</v>
      </c>
      <c r="B183" s="5"/>
      <c r="C183" s="5"/>
      <c r="D183" s="5"/>
      <c r="E183" s="5"/>
      <c r="F183" s="5"/>
      <c r="G183" s="5"/>
      <c r="H183" s="2">
        <f t="shared" si="8"/>
        <v>18</v>
      </c>
    </row>
    <row r="184" spans="1:8" x14ac:dyDescent="0.25">
      <c r="A184" s="26">
        <v>21</v>
      </c>
      <c r="B184" s="5"/>
      <c r="C184" s="5"/>
      <c r="D184" s="5"/>
      <c r="E184" s="5"/>
      <c r="F184" s="5"/>
      <c r="G184" s="5"/>
      <c r="H184" s="2">
        <f t="shared" si="8"/>
        <v>18</v>
      </c>
    </row>
    <row r="185" spans="1:8" x14ac:dyDescent="0.25">
      <c r="A185" s="26">
        <v>22</v>
      </c>
      <c r="B185" s="5"/>
      <c r="C185" s="5"/>
      <c r="D185" s="5"/>
      <c r="E185" s="5"/>
      <c r="F185" s="5"/>
      <c r="G185" s="5"/>
      <c r="H185" s="2">
        <f t="shared" si="8"/>
        <v>18</v>
      </c>
    </row>
    <row r="186" spans="1:8" x14ac:dyDescent="0.25">
      <c r="A186" s="26">
        <v>23</v>
      </c>
      <c r="B186" s="5"/>
      <c r="C186" s="5"/>
      <c r="D186" s="5"/>
      <c r="E186" s="5"/>
      <c r="F186" s="5"/>
      <c r="G186" s="5"/>
      <c r="H186" s="2">
        <f t="shared" si="8"/>
        <v>18</v>
      </c>
    </row>
    <row r="187" spans="1:8" x14ac:dyDescent="0.25">
      <c r="A187" s="26">
        <v>24</v>
      </c>
      <c r="B187" s="5"/>
      <c r="C187" s="5"/>
      <c r="D187" s="5"/>
      <c r="E187" s="5"/>
      <c r="F187" s="5"/>
      <c r="G187" s="5"/>
      <c r="H187" s="2">
        <f t="shared" si="8"/>
        <v>18</v>
      </c>
    </row>
    <row r="188" spans="1:8" x14ac:dyDescent="0.25">
      <c r="A188" s="26">
        <v>25</v>
      </c>
      <c r="B188" s="5"/>
      <c r="C188" s="5"/>
      <c r="D188" s="5"/>
      <c r="E188" s="5"/>
      <c r="F188" s="5"/>
      <c r="G188" s="5"/>
      <c r="H188" s="2">
        <f t="shared" si="8"/>
        <v>18</v>
      </c>
    </row>
    <row r="189" spans="1:8" x14ac:dyDescent="0.25">
      <c r="A189" s="26">
        <v>26</v>
      </c>
      <c r="B189" s="5"/>
      <c r="C189" s="5"/>
      <c r="D189" s="5"/>
      <c r="E189" s="5"/>
      <c r="F189" s="5"/>
      <c r="G189" s="5"/>
      <c r="H189" s="2">
        <f t="shared" si="8"/>
        <v>18</v>
      </c>
    </row>
    <row r="190" spans="1:8" x14ac:dyDescent="0.25">
      <c r="A190" s="26">
        <v>27</v>
      </c>
      <c r="B190" s="5"/>
      <c r="C190" s="5"/>
      <c r="D190" s="5"/>
      <c r="E190" s="5"/>
      <c r="F190" s="5"/>
      <c r="G190" s="5"/>
      <c r="H190" s="2">
        <f t="shared" si="8"/>
        <v>18</v>
      </c>
    </row>
    <row r="191" spans="1:8" x14ac:dyDescent="0.25">
      <c r="A191" s="26">
        <v>28</v>
      </c>
      <c r="B191" s="5"/>
      <c r="C191" s="5"/>
      <c r="D191" s="5"/>
      <c r="E191" s="5"/>
      <c r="F191" s="5"/>
      <c r="G191" s="5"/>
      <c r="H191" s="2">
        <f t="shared" si="8"/>
        <v>18</v>
      </c>
    </row>
    <row r="192" spans="1:8" x14ac:dyDescent="0.25">
      <c r="A192" s="26">
        <v>29</v>
      </c>
      <c r="B192" s="5"/>
      <c r="C192" s="5"/>
      <c r="D192" s="5"/>
      <c r="E192" s="5"/>
      <c r="F192" s="5"/>
      <c r="G192" s="5"/>
      <c r="H192" s="2">
        <f t="shared" si="8"/>
        <v>18</v>
      </c>
    </row>
    <row r="193" spans="1:8" x14ac:dyDescent="0.25">
      <c r="A193" s="28">
        <v>30</v>
      </c>
      <c r="B193" s="29"/>
      <c r="C193" s="29"/>
      <c r="D193" s="29"/>
      <c r="E193" s="29"/>
      <c r="F193" s="29"/>
      <c r="G193" s="29"/>
      <c r="H193" s="57">
        <f t="shared" si="8"/>
        <v>18</v>
      </c>
    </row>
    <row r="194" spans="1:8" ht="15.75" thickBot="1" x14ac:dyDescent="0.3">
      <c r="A194" s="63">
        <v>31</v>
      </c>
      <c r="B194" s="29"/>
      <c r="C194" s="29"/>
      <c r="D194" s="29"/>
      <c r="E194" s="29"/>
      <c r="F194" s="29"/>
      <c r="G194" s="29"/>
      <c r="H194" s="29">
        <f t="shared" si="8"/>
        <v>18</v>
      </c>
    </row>
    <row r="195" spans="1:8" ht="15.75" thickBot="1" x14ac:dyDescent="0.3">
      <c r="A195" s="60" t="s">
        <v>35</v>
      </c>
      <c r="B195" s="58">
        <f>SUM(B164:B194)-E195</f>
        <v>0</v>
      </c>
      <c r="C195" s="58">
        <f t="shared" ref="C195:H195" si="9">SUM(C164:C194)</f>
        <v>0</v>
      </c>
      <c r="D195" s="58">
        <f t="shared" si="9"/>
        <v>0</v>
      </c>
      <c r="E195" s="58">
        <f t="shared" si="9"/>
        <v>0</v>
      </c>
      <c r="F195" s="58">
        <f t="shared" si="9"/>
        <v>0</v>
      </c>
      <c r="G195" s="58">
        <f t="shared" si="9"/>
        <v>0</v>
      </c>
      <c r="H195" s="59">
        <f t="shared" si="9"/>
        <v>558</v>
      </c>
    </row>
    <row r="198" spans="1:8" ht="36" x14ac:dyDescent="0.55000000000000004">
      <c r="A198" s="605" t="s">
        <v>1</v>
      </c>
      <c r="B198" s="605"/>
      <c r="C198" s="605"/>
      <c r="D198" s="605"/>
      <c r="E198" s="605"/>
      <c r="F198" s="605"/>
      <c r="G198" s="605"/>
      <c r="H198" s="605"/>
    </row>
    <row r="199" spans="1:8" ht="27" thickBot="1" x14ac:dyDescent="0.45">
      <c r="A199" s="606" t="s">
        <v>0</v>
      </c>
      <c r="B199" s="606"/>
      <c r="C199" s="606"/>
      <c r="D199" s="606"/>
      <c r="E199" s="606"/>
      <c r="F199" s="606"/>
      <c r="G199" s="606"/>
      <c r="H199" s="606"/>
    </row>
    <row r="200" spans="1:8" ht="15.75" x14ac:dyDescent="0.25">
      <c r="A200" s="39" t="s">
        <v>2</v>
      </c>
      <c r="B200" s="21" t="s">
        <v>3</v>
      </c>
      <c r="C200" s="20"/>
      <c r="D200" s="21" t="s">
        <v>52</v>
      </c>
      <c r="E200" s="607" t="s">
        <v>5</v>
      </c>
      <c r="F200" s="608"/>
      <c r="G200" s="19" t="s">
        <v>16</v>
      </c>
      <c r="H200" s="32" t="s">
        <v>60</v>
      </c>
    </row>
    <row r="201" spans="1:8" ht="15.75" x14ac:dyDescent="0.25">
      <c r="A201" s="609" t="s">
        <v>6</v>
      </c>
      <c r="B201" s="610"/>
      <c r="C201" s="610"/>
      <c r="D201" s="610"/>
      <c r="E201" s="610"/>
      <c r="F201" s="611"/>
      <c r="G201" s="1"/>
      <c r="H201" s="2">
        <f>H194</f>
        <v>18</v>
      </c>
    </row>
    <row r="202" spans="1:8" ht="15.75" x14ac:dyDescent="0.25">
      <c r="A202" s="3" t="s">
        <v>7</v>
      </c>
      <c r="B202" s="1"/>
      <c r="C202" s="1"/>
      <c r="D202" s="1"/>
      <c r="E202" s="1"/>
      <c r="F202" s="1"/>
      <c r="G202" s="1"/>
      <c r="H202" s="2">
        <v>32</v>
      </c>
    </row>
    <row r="203" spans="1:8" ht="39" thickBot="1" x14ac:dyDescent="0.3">
      <c r="A203" s="40" t="s">
        <v>8</v>
      </c>
      <c r="B203" s="41" t="s">
        <v>9</v>
      </c>
      <c r="C203" s="41" t="s">
        <v>10</v>
      </c>
      <c r="D203" s="41" t="s">
        <v>11</v>
      </c>
      <c r="E203" s="41" t="s">
        <v>12</v>
      </c>
      <c r="F203" s="41" t="s">
        <v>13</v>
      </c>
      <c r="G203" s="41" t="s">
        <v>14</v>
      </c>
      <c r="H203" s="42" t="s">
        <v>15</v>
      </c>
    </row>
    <row r="204" spans="1:8" x14ac:dyDescent="0.25">
      <c r="A204" s="36">
        <v>1</v>
      </c>
      <c r="B204" s="37"/>
      <c r="C204" s="37"/>
      <c r="D204" s="37"/>
      <c r="E204" s="37"/>
      <c r="F204" s="37"/>
      <c r="G204" s="37"/>
      <c r="H204" s="38">
        <f>H201+B204+F204-(C204+D204+G204)-E204</f>
        <v>18</v>
      </c>
    </row>
    <row r="205" spans="1:8" x14ac:dyDescent="0.25">
      <c r="A205" s="26">
        <v>2</v>
      </c>
      <c r="B205" s="5"/>
      <c r="C205" s="5"/>
      <c r="D205" s="5"/>
      <c r="E205" s="5"/>
      <c r="F205" s="5"/>
      <c r="G205" s="5"/>
      <c r="H205" s="2">
        <f>H204+B205+F205-(C205+D205+G205)-E205</f>
        <v>18</v>
      </c>
    </row>
    <row r="206" spans="1:8" x14ac:dyDescent="0.25">
      <c r="A206" s="26">
        <v>3</v>
      </c>
      <c r="B206" s="5"/>
      <c r="C206" s="5"/>
      <c r="D206" s="5"/>
      <c r="E206" s="5"/>
      <c r="F206" s="5"/>
      <c r="G206" s="5"/>
      <c r="H206" s="2">
        <f>H205+B206+F206-(C206+D206+G206)-E206</f>
        <v>18</v>
      </c>
    </row>
    <row r="207" spans="1:8" x14ac:dyDescent="0.25">
      <c r="A207" s="26">
        <v>4</v>
      </c>
      <c r="B207" s="5"/>
      <c r="C207" s="5"/>
      <c r="D207" s="5"/>
      <c r="E207" s="5"/>
      <c r="F207" s="5"/>
      <c r="G207" s="5"/>
      <c r="H207" s="2">
        <f t="shared" ref="H207:H233" si="10">H206+B207+F207-(C207+D207+G207)-E207</f>
        <v>18</v>
      </c>
    </row>
    <row r="208" spans="1:8" x14ac:dyDescent="0.25">
      <c r="A208" s="26">
        <v>5</v>
      </c>
      <c r="B208" s="5"/>
      <c r="C208" s="5"/>
      <c r="D208" s="5"/>
      <c r="E208" s="5"/>
      <c r="F208" s="5"/>
      <c r="G208" s="5"/>
      <c r="H208" s="2">
        <f t="shared" si="10"/>
        <v>18</v>
      </c>
    </row>
    <row r="209" spans="1:8" x14ac:dyDescent="0.25">
      <c r="A209" s="26">
        <v>6</v>
      </c>
      <c r="B209" s="5"/>
      <c r="C209" s="5"/>
      <c r="D209" s="5"/>
      <c r="E209" s="5"/>
      <c r="F209" s="5"/>
      <c r="G209" s="5"/>
      <c r="H209" s="2">
        <f t="shared" si="10"/>
        <v>18</v>
      </c>
    </row>
    <row r="210" spans="1:8" x14ac:dyDescent="0.25">
      <c r="A210" s="26">
        <v>7</v>
      </c>
      <c r="B210" s="5"/>
      <c r="C210" s="5"/>
      <c r="D210" s="5"/>
      <c r="E210" s="5"/>
      <c r="F210" s="5"/>
      <c r="G210" s="5"/>
      <c r="H210" s="2">
        <f t="shared" si="10"/>
        <v>18</v>
      </c>
    </row>
    <row r="211" spans="1:8" x14ac:dyDescent="0.25">
      <c r="A211" s="26">
        <v>8</v>
      </c>
      <c r="B211" s="5"/>
      <c r="C211" s="5"/>
      <c r="D211" s="5"/>
      <c r="E211" s="5"/>
      <c r="F211" s="5"/>
      <c r="G211" s="5"/>
      <c r="H211" s="2">
        <f t="shared" si="10"/>
        <v>18</v>
      </c>
    </row>
    <row r="212" spans="1:8" x14ac:dyDescent="0.25">
      <c r="A212" s="26">
        <v>9</v>
      </c>
      <c r="B212" s="5"/>
      <c r="C212" s="5"/>
      <c r="D212" s="5"/>
      <c r="E212" s="5"/>
      <c r="F212" s="5"/>
      <c r="G212" s="5"/>
      <c r="H212" s="2">
        <f t="shared" si="10"/>
        <v>18</v>
      </c>
    </row>
    <row r="213" spans="1:8" x14ac:dyDescent="0.25">
      <c r="A213" s="26">
        <v>10</v>
      </c>
      <c r="B213" s="5"/>
      <c r="C213" s="5"/>
      <c r="D213" s="5"/>
      <c r="E213" s="5"/>
      <c r="F213" s="5"/>
      <c r="G213" s="5"/>
      <c r="H213" s="2">
        <f t="shared" si="10"/>
        <v>18</v>
      </c>
    </row>
    <row r="214" spans="1:8" x14ac:dyDescent="0.25">
      <c r="A214" s="26">
        <v>11</v>
      </c>
      <c r="B214" s="5"/>
      <c r="C214" s="5"/>
      <c r="D214" s="5"/>
      <c r="E214" s="5"/>
      <c r="F214" s="5"/>
      <c r="G214" s="5"/>
      <c r="H214" s="2">
        <f t="shared" si="10"/>
        <v>18</v>
      </c>
    </row>
    <row r="215" spans="1:8" x14ac:dyDescent="0.25">
      <c r="A215" s="26">
        <v>12</v>
      </c>
      <c r="B215" s="5"/>
      <c r="C215" s="5"/>
      <c r="D215" s="5"/>
      <c r="E215" s="5"/>
      <c r="F215" s="5"/>
      <c r="G215" s="5"/>
      <c r="H215" s="2">
        <f t="shared" si="10"/>
        <v>18</v>
      </c>
    </row>
    <row r="216" spans="1:8" x14ac:dyDescent="0.25">
      <c r="A216" s="26">
        <v>13</v>
      </c>
      <c r="B216" s="5"/>
      <c r="C216" s="5"/>
      <c r="D216" s="5"/>
      <c r="E216" s="5"/>
      <c r="F216" s="5"/>
      <c r="G216" s="5"/>
      <c r="H216" s="2">
        <f t="shared" si="10"/>
        <v>18</v>
      </c>
    </row>
    <row r="217" spans="1:8" x14ac:dyDescent="0.25">
      <c r="A217" s="26">
        <v>14</v>
      </c>
      <c r="B217" s="5"/>
      <c r="C217" s="5"/>
      <c r="D217" s="5"/>
      <c r="E217" s="5"/>
      <c r="F217" s="5"/>
      <c r="G217" s="5"/>
      <c r="H217" s="2">
        <f t="shared" si="10"/>
        <v>18</v>
      </c>
    </row>
    <row r="218" spans="1:8" x14ac:dyDescent="0.25">
      <c r="A218" s="26">
        <v>15</v>
      </c>
      <c r="B218" s="5"/>
      <c r="C218" s="5"/>
      <c r="D218" s="5"/>
      <c r="E218" s="5"/>
      <c r="F218" s="5"/>
      <c r="G218" s="5"/>
      <c r="H218" s="2">
        <f t="shared" si="10"/>
        <v>18</v>
      </c>
    </row>
    <row r="219" spans="1:8" x14ac:dyDescent="0.25">
      <c r="A219" s="26">
        <v>16</v>
      </c>
      <c r="B219" s="5"/>
      <c r="C219" s="5"/>
      <c r="D219" s="5"/>
      <c r="E219" s="5"/>
      <c r="F219" s="5"/>
      <c r="G219" s="5"/>
      <c r="H219" s="2">
        <f t="shared" si="10"/>
        <v>18</v>
      </c>
    </row>
    <row r="220" spans="1:8" x14ac:dyDescent="0.25">
      <c r="A220" s="26">
        <v>17</v>
      </c>
      <c r="B220" s="5"/>
      <c r="C220" s="5"/>
      <c r="D220" s="5"/>
      <c r="E220" s="5"/>
      <c r="F220" s="5"/>
      <c r="G220" s="5"/>
      <c r="H220" s="2">
        <f t="shared" si="10"/>
        <v>18</v>
      </c>
    </row>
    <row r="221" spans="1:8" x14ac:dyDescent="0.25">
      <c r="A221" s="26">
        <v>18</v>
      </c>
      <c r="B221" s="5"/>
      <c r="C221" s="5"/>
      <c r="D221" s="5"/>
      <c r="E221" s="5"/>
      <c r="F221" s="5"/>
      <c r="G221" s="5"/>
      <c r="H221" s="2">
        <f t="shared" si="10"/>
        <v>18</v>
      </c>
    </row>
    <row r="222" spans="1:8" x14ac:dyDescent="0.25">
      <c r="A222" s="26">
        <v>19</v>
      </c>
      <c r="B222" s="5"/>
      <c r="C222" s="5"/>
      <c r="D222" s="5"/>
      <c r="E222" s="5"/>
      <c r="F222" s="5"/>
      <c r="G222" s="5"/>
      <c r="H222" s="2">
        <f t="shared" si="10"/>
        <v>18</v>
      </c>
    </row>
    <row r="223" spans="1:8" x14ac:dyDescent="0.25">
      <c r="A223" s="26">
        <v>20</v>
      </c>
      <c r="B223" s="5"/>
      <c r="C223" s="5"/>
      <c r="D223" s="5"/>
      <c r="E223" s="5"/>
      <c r="F223" s="5"/>
      <c r="G223" s="5"/>
      <c r="H223" s="2">
        <f t="shared" si="10"/>
        <v>18</v>
      </c>
    </row>
    <row r="224" spans="1:8" x14ac:dyDescent="0.25">
      <c r="A224" s="26">
        <v>21</v>
      </c>
      <c r="B224" s="5"/>
      <c r="C224" s="5"/>
      <c r="D224" s="5"/>
      <c r="E224" s="5"/>
      <c r="F224" s="5"/>
      <c r="G224" s="5"/>
      <c r="H224" s="2">
        <f t="shared" si="10"/>
        <v>18</v>
      </c>
    </row>
    <row r="225" spans="1:8" x14ac:dyDescent="0.25">
      <c r="A225" s="26">
        <v>22</v>
      </c>
      <c r="B225" s="5"/>
      <c r="C225" s="5"/>
      <c r="D225" s="5"/>
      <c r="E225" s="5"/>
      <c r="F225" s="5"/>
      <c r="G225" s="5"/>
      <c r="H225" s="2">
        <f t="shared" si="10"/>
        <v>18</v>
      </c>
    </row>
    <row r="226" spans="1:8" x14ac:dyDescent="0.25">
      <c r="A226" s="26">
        <v>23</v>
      </c>
      <c r="B226" s="5"/>
      <c r="C226" s="5"/>
      <c r="D226" s="5"/>
      <c r="E226" s="5"/>
      <c r="F226" s="5"/>
      <c r="G226" s="5"/>
      <c r="H226" s="2">
        <f t="shared" si="10"/>
        <v>18</v>
      </c>
    </row>
    <row r="227" spans="1:8" x14ac:dyDescent="0.25">
      <c r="A227" s="26">
        <v>24</v>
      </c>
      <c r="B227" s="5"/>
      <c r="C227" s="5"/>
      <c r="D227" s="5"/>
      <c r="E227" s="5"/>
      <c r="F227" s="5"/>
      <c r="G227" s="5"/>
      <c r="H227" s="2">
        <f t="shared" si="10"/>
        <v>18</v>
      </c>
    </row>
    <row r="228" spans="1:8" x14ac:dyDescent="0.25">
      <c r="A228" s="26">
        <v>25</v>
      </c>
      <c r="B228" s="5"/>
      <c r="C228" s="5"/>
      <c r="D228" s="5"/>
      <c r="E228" s="5"/>
      <c r="F228" s="5"/>
      <c r="G228" s="5"/>
      <c r="H228" s="2">
        <f t="shared" si="10"/>
        <v>18</v>
      </c>
    </row>
    <row r="229" spans="1:8" x14ac:dyDescent="0.25">
      <c r="A229" s="26">
        <v>26</v>
      </c>
      <c r="B229" s="5"/>
      <c r="C229" s="5"/>
      <c r="D229" s="5"/>
      <c r="E229" s="5"/>
      <c r="F229" s="5"/>
      <c r="G229" s="5"/>
      <c r="H229" s="2">
        <f t="shared" si="10"/>
        <v>18</v>
      </c>
    </row>
    <row r="230" spans="1:8" x14ac:dyDescent="0.25">
      <c r="A230" s="26">
        <v>27</v>
      </c>
      <c r="B230" s="5"/>
      <c r="C230" s="5"/>
      <c r="D230" s="5"/>
      <c r="E230" s="5"/>
      <c r="F230" s="5"/>
      <c r="G230" s="5"/>
      <c r="H230" s="2">
        <f t="shared" si="10"/>
        <v>18</v>
      </c>
    </row>
    <row r="231" spans="1:8" x14ac:dyDescent="0.25">
      <c r="A231" s="26">
        <v>28</v>
      </c>
      <c r="B231" s="5"/>
      <c r="C231" s="5"/>
      <c r="D231" s="5"/>
      <c r="E231" s="5"/>
      <c r="F231" s="5"/>
      <c r="G231" s="5"/>
      <c r="H231" s="2">
        <f t="shared" si="10"/>
        <v>18</v>
      </c>
    </row>
    <row r="232" spans="1:8" x14ac:dyDescent="0.25">
      <c r="A232" s="26">
        <v>29</v>
      </c>
      <c r="B232" s="5"/>
      <c r="C232" s="5"/>
      <c r="D232" s="5"/>
      <c r="E232" s="5"/>
      <c r="F232" s="5"/>
      <c r="G232" s="5"/>
      <c r="H232" s="2">
        <f t="shared" si="10"/>
        <v>18</v>
      </c>
    </row>
    <row r="233" spans="1:8" ht="15.75" thickBot="1" x14ac:dyDescent="0.3">
      <c r="A233" s="28">
        <v>30</v>
      </c>
      <c r="B233" s="29"/>
      <c r="C233" s="29"/>
      <c r="D233" s="29"/>
      <c r="E233" s="29"/>
      <c r="F233" s="29"/>
      <c r="G233" s="29"/>
      <c r="H233" s="57">
        <f t="shared" si="10"/>
        <v>18</v>
      </c>
    </row>
    <row r="234" spans="1:8" ht="15.75" thickBot="1" x14ac:dyDescent="0.3">
      <c r="A234" s="60" t="s">
        <v>35</v>
      </c>
      <c r="B234" s="58">
        <f>SUM(B204:B233)-E234</f>
        <v>0</v>
      </c>
      <c r="C234" s="58">
        <f t="shared" ref="C234:H234" si="11">SUM(C204:C233)</f>
        <v>0</v>
      </c>
      <c r="D234" s="58">
        <f t="shared" si="11"/>
        <v>0</v>
      </c>
      <c r="E234" s="58">
        <f t="shared" si="11"/>
        <v>0</v>
      </c>
      <c r="F234" s="58">
        <f t="shared" si="11"/>
        <v>0</v>
      </c>
      <c r="G234" s="58">
        <f t="shared" si="11"/>
        <v>0</v>
      </c>
      <c r="H234" s="59">
        <f t="shared" si="11"/>
        <v>540</v>
      </c>
    </row>
    <row r="237" spans="1:8" ht="36" x14ac:dyDescent="0.55000000000000004">
      <c r="A237" s="605" t="s">
        <v>1</v>
      </c>
      <c r="B237" s="605"/>
      <c r="C237" s="605"/>
      <c r="D237" s="605"/>
      <c r="E237" s="605"/>
      <c r="F237" s="605"/>
      <c r="G237" s="605"/>
      <c r="H237" s="605"/>
    </row>
    <row r="238" spans="1:8" ht="27" thickBot="1" x14ac:dyDescent="0.45">
      <c r="A238" s="606" t="s">
        <v>0</v>
      </c>
      <c r="B238" s="606"/>
      <c r="C238" s="606"/>
      <c r="D238" s="606"/>
      <c r="E238" s="606"/>
      <c r="F238" s="606"/>
      <c r="G238" s="606"/>
      <c r="H238" s="606"/>
    </row>
    <row r="239" spans="1:8" ht="15.75" x14ac:dyDescent="0.25">
      <c r="A239" s="39" t="s">
        <v>2</v>
      </c>
      <c r="B239" s="19" t="s">
        <v>3</v>
      </c>
      <c r="C239" s="20"/>
      <c r="D239" s="21" t="s">
        <v>52</v>
      </c>
      <c r="E239" s="607" t="s">
        <v>5</v>
      </c>
      <c r="F239" s="608"/>
      <c r="G239" s="19" t="s">
        <v>16</v>
      </c>
      <c r="H239" s="32" t="s">
        <v>61</v>
      </c>
    </row>
    <row r="240" spans="1:8" ht="15.75" x14ac:dyDescent="0.25">
      <c r="A240" s="609" t="s">
        <v>6</v>
      </c>
      <c r="B240" s="610"/>
      <c r="C240" s="610"/>
      <c r="D240" s="610"/>
      <c r="E240" s="610"/>
      <c r="F240" s="611"/>
      <c r="G240" s="1"/>
      <c r="H240" s="2">
        <f>H233</f>
        <v>18</v>
      </c>
    </row>
    <row r="241" spans="1:8" ht="15.75" x14ac:dyDescent="0.25">
      <c r="A241" s="3" t="s">
        <v>7</v>
      </c>
      <c r="B241" s="1"/>
      <c r="C241" s="1"/>
      <c r="D241" s="1"/>
      <c r="E241" s="1"/>
      <c r="F241" s="1"/>
      <c r="G241" s="1"/>
      <c r="H241" s="2">
        <v>32</v>
      </c>
    </row>
    <row r="242" spans="1:8" ht="39" thickBot="1" x14ac:dyDescent="0.3">
      <c r="A242" s="40" t="s">
        <v>8</v>
      </c>
      <c r="B242" s="41" t="s">
        <v>9</v>
      </c>
      <c r="C242" s="41" t="s">
        <v>10</v>
      </c>
      <c r="D242" s="41" t="s">
        <v>11</v>
      </c>
      <c r="E242" s="41" t="s">
        <v>12</v>
      </c>
      <c r="F242" s="41" t="s">
        <v>13</v>
      </c>
      <c r="G242" s="41" t="s">
        <v>14</v>
      </c>
      <c r="H242" s="42" t="s">
        <v>15</v>
      </c>
    </row>
    <row r="243" spans="1:8" x14ac:dyDescent="0.25">
      <c r="A243" s="36">
        <v>1</v>
      </c>
      <c r="B243" s="37"/>
      <c r="C243" s="37"/>
      <c r="D243" s="37"/>
      <c r="E243" s="37"/>
      <c r="F243" s="37"/>
      <c r="G243" s="37"/>
      <c r="H243" s="38">
        <f>H240+B243+F243-(C243+D243+G243)-E243</f>
        <v>18</v>
      </c>
    </row>
    <row r="244" spans="1:8" x14ac:dyDescent="0.25">
      <c r="A244" s="26">
        <v>2</v>
      </c>
      <c r="B244" s="5"/>
      <c r="C244" s="5"/>
      <c r="D244" s="5"/>
      <c r="E244" s="5"/>
      <c r="F244" s="5"/>
      <c r="G244" s="5"/>
      <c r="H244" s="2">
        <f>H243+B244+F244-(C244+D244+G244)-E244</f>
        <v>18</v>
      </c>
    </row>
    <row r="245" spans="1:8" x14ac:dyDescent="0.25">
      <c r="A245" s="26">
        <v>3</v>
      </c>
      <c r="B245" s="5"/>
      <c r="C245" s="5"/>
      <c r="D245" s="5"/>
      <c r="E245" s="5"/>
      <c r="F245" s="5"/>
      <c r="G245" s="5"/>
      <c r="H245" s="2">
        <f>H244+B245+F245-(C245+D245+G245)-E245</f>
        <v>18</v>
      </c>
    </row>
    <row r="246" spans="1:8" x14ac:dyDescent="0.25">
      <c r="A246" s="26">
        <v>4</v>
      </c>
      <c r="B246" s="5"/>
      <c r="C246" s="5"/>
      <c r="D246" s="5"/>
      <c r="E246" s="5"/>
      <c r="F246" s="5"/>
      <c r="G246" s="5"/>
      <c r="H246" s="2">
        <f t="shared" ref="H246:H273" si="12">H245+B246+F246-(C246+D246+G246)-E246</f>
        <v>18</v>
      </c>
    </row>
    <row r="247" spans="1:8" x14ac:dyDescent="0.25">
      <c r="A247" s="26">
        <v>5</v>
      </c>
      <c r="B247" s="5"/>
      <c r="C247" s="5"/>
      <c r="D247" s="5"/>
      <c r="E247" s="5"/>
      <c r="F247" s="5"/>
      <c r="G247" s="5"/>
      <c r="H247" s="2">
        <f t="shared" si="12"/>
        <v>18</v>
      </c>
    </row>
    <row r="248" spans="1:8" x14ac:dyDescent="0.25">
      <c r="A248" s="26">
        <v>6</v>
      </c>
      <c r="B248" s="5"/>
      <c r="C248" s="5"/>
      <c r="D248" s="5"/>
      <c r="E248" s="5"/>
      <c r="F248" s="5"/>
      <c r="G248" s="5"/>
      <c r="H248" s="2">
        <f t="shared" si="12"/>
        <v>18</v>
      </c>
    </row>
    <row r="249" spans="1:8" x14ac:dyDescent="0.25">
      <c r="A249" s="26">
        <v>7</v>
      </c>
      <c r="B249" s="5"/>
      <c r="C249" s="5"/>
      <c r="D249" s="5"/>
      <c r="E249" s="5"/>
      <c r="F249" s="5"/>
      <c r="G249" s="5"/>
      <c r="H249" s="2">
        <f t="shared" si="12"/>
        <v>18</v>
      </c>
    </row>
    <row r="250" spans="1:8" x14ac:dyDescent="0.25">
      <c r="A250" s="26">
        <v>8</v>
      </c>
      <c r="B250" s="5"/>
      <c r="C250" s="5"/>
      <c r="D250" s="5"/>
      <c r="E250" s="5"/>
      <c r="F250" s="5"/>
      <c r="G250" s="5"/>
      <c r="H250" s="2">
        <f t="shared" si="12"/>
        <v>18</v>
      </c>
    </row>
    <row r="251" spans="1:8" x14ac:dyDescent="0.25">
      <c r="A251" s="26">
        <v>9</v>
      </c>
      <c r="B251" s="5"/>
      <c r="C251" s="5"/>
      <c r="D251" s="5"/>
      <c r="E251" s="5"/>
      <c r="F251" s="5"/>
      <c r="G251" s="5"/>
      <c r="H251" s="2">
        <f t="shared" si="12"/>
        <v>18</v>
      </c>
    </row>
    <row r="252" spans="1:8" x14ac:dyDescent="0.25">
      <c r="A252" s="26">
        <v>10</v>
      </c>
      <c r="B252" s="5"/>
      <c r="C252" s="5"/>
      <c r="D252" s="5"/>
      <c r="E252" s="5"/>
      <c r="F252" s="5"/>
      <c r="G252" s="5"/>
      <c r="H252" s="2">
        <f t="shared" si="12"/>
        <v>18</v>
      </c>
    </row>
    <row r="253" spans="1:8" x14ac:dyDescent="0.25">
      <c r="A253" s="26">
        <v>11</v>
      </c>
      <c r="B253" s="5"/>
      <c r="C253" s="5"/>
      <c r="D253" s="5"/>
      <c r="E253" s="5"/>
      <c r="F253" s="5"/>
      <c r="G253" s="5"/>
      <c r="H253" s="2">
        <f t="shared" si="12"/>
        <v>18</v>
      </c>
    </row>
    <row r="254" spans="1:8" x14ac:dyDescent="0.25">
      <c r="A254" s="26">
        <v>12</v>
      </c>
      <c r="B254" s="5"/>
      <c r="C254" s="5"/>
      <c r="D254" s="5"/>
      <c r="E254" s="5"/>
      <c r="F254" s="5"/>
      <c r="G254" s="5"/>
      <c r="H254" s="2">
        <f t="shared" si="12"/>
        <v>18</v>
      </c>
    </row>
    <row r="255" spans="1:8" x14ac:dyDescent="0.25">
      <c r="A255" s="26">
        <v>13</v>
      </c>
      <c r="B255" s="5"/>
      <c r="C255" s="5"/>
      <c r="D255" s="5"/>
      <c r="E255" s="5"/>
      <c r="F255" s="5"/>
      <c r="G255" s="5"/>
      <c r="H255" s="2">
        <f t="shared" si="12"/>
        <v>18</v>
      </c>
    </row>
    <row r="256" spans="1:8" x14ac:dyDescent="0.25">
      <c r="A256" s="26">
        <v>14</v>
      </c>
      <c r="B256" s="5"/>
      <c r="C256" s="5"/>
      <c r="D256" s="5"/>
      <c r="E256" s="5"/>
      <c r="F256" s="5"/>
      <c r="G256" s="5"/>
      <c r="H256" s="2">
        <f t="shared" si="12"/>
        <v>18</v>
      </c>
    </row>
    <row r="257" spans="1:11" x14ac:dyDescent="0.25">
      <c r="A257" s="26">
        <v>15</v>
      </c>
      <c r="B257" s="5"/>
      <c r="C257" s="5"/>
      <c r="D257" s="5"/>
      <c r="E257" s="5"/>
      <c r="F257" s="5"/>
      <c r="G257" s="5"/>
      <c r="H257" s="2">
        <f t="shared" si="12"/>
        <v>18</v>
      </c>
    </row>
    <row r="258" spans="1:11" x14ac:dyDescent="0.25">
      <c r="A258" s="26">
        <v>16</v>
      </c>
      <c r="B258" s="5"/>
      <c r="C258" s="5"/>
      <c r="D258" s="5"/>
      <c r="E258" s="5"/>
      <c r="F258" s="5"/>
      <c r="G258" s="5"/>
      <c r="H258" s="2">
        <f t="shared" si="12"/>
        <v>18</v>
      </c>
    </row>
    <row r="259" spans="1:11" x14ac:dyDescent="0.25">
      <c r="A259" s="26">
        <v>17</v>
      </c>
      <c r="B259" s="5"/>
      <c r="C259" s="5"/>
      <c r="D259" s="5"/>
      <c r="E259" s="5"/>
      <c r="F259" s="5"/>
      <c r="G259" s="5"/>
      <c r="H259" s="2">
        <f t="shared" si="12"/>
        <v>18</v>
      </c>
    </row>
    <row r="260" spans="1:11" x14ac:dyDescent="0.25">
      <c r="A260" s="26">
        <v>18</v>
      </c>
      <c r="B260" s="5"/>
      <c r="C260" s="5"/>
      <c r="D260" s="5"/>
      <c r="E260" s="5"/>
      <c r="F260" s="5"/>
      <c r="G260" s="5"/>
      <c r="H260" s="2">
        <f t="shared" si="12"/>
        <v>18</v>
      </c>
    </row>
    <row r="261" spans="1:11" x14ac:dyDescent="0.25">
      <c r="A261" s="26">
        <v>19</v>
      </c>
      <c r="B261" s="5"/>
      <c r="C261" s="5"/>
      <c r="D261" s="5"/>
      <c r="E261" s="5"/>
      <c r="F261" s="5"/>
      <c r="G261" s="5"/>
      <c r="H261" s="2">
        <f t="shared" si="12"/>
        <v>18</v>
      </c>
    </row>
    <row r="262" spans="1:11" x14ac:dyDescent="0.25">
      <c r="A262" s="26">
        <v>20</v>
      </c>
      <c r="B262" s="5"/>
      <c r="C262" s="5"/>
      <c r="D262" s="5"/>
      <c r="E262" s="5"/>
      <c r="F262" s="5"/>
      <c r="G262" s="5"/>
      <c r="H262" s="2">
        <f t="shared" si="12"/>
        <v>18</v>
      </c>
    </row>
    <row r="263" spans="1:11" x14ac:dyDescent="0.25">
      <c r="A263" s="26">
        <v>21</v>
      </c>
      <c r="B263" s="5"/>
      <c r="C263" s="5"/>
      <c r="D263" s="5"/>
      <c r="E263" s="5"/>
      <c r="F263" s="5"/>
      <c r="G263" s="5"/>
      <c r="H263" s="2">
        <f t="shared" si="12"/>
        <v>18</v>
      </c>
    </row>
    <row r="264" spans="1:11" x14ac:dyDescent="0.25">
      <c r="A264" s="26">
        <v>22</v>
      </c>
      <c r="B264" s="5"/>
      <c r="C264" s="5"/>
      <c r="D264" s="5"/>
      <c r="E264" s="5"/>
      <c r="F264" s="5"/>
      <c r="G264" s="5"/>
      <c r="H264" s="2">
        <f t="shared" si="12"/>
        <v>18</v>
      </c>
    </row>
    <row r="265" spans="1:11" x14ac:dyDescent="0.25">
      <c r="A265" s="26">
        <v>23</v>
      </c>
      <c r="B265" s="5"/>
      <c r="C265" s="5"/>
      <c r="D265" s="5"/>
      <c r="E265" s="5"/>
      <c r="F265" s="5"/>
      <c r="G265" s="5"/>
      <c r="H265" s="2">
        <f t="shared" si="12"/>
        <v>18</v>
      </c>
    </row>
    <row r="266" spans="1:11" x14ac:dyDescent="0.25">
      <c r="A266" s="26">
        <v>24</v>
      </c>
      <c r="B266" s="5"/>
      <c r="C266" s="5"/>
      <c r="D266" s="5"/>
      <c r="E266" s="5"/>
      <c r="F266" s="5"/>
      <c r="G266" s="5"/>
      <c r="H266" s="2">
        <f t="shared" si="12"/>
        <v>18</v>
      </c>
    </row>
    <row r="267" spans="1:11" x14ac:dyDescent="0.25">
      <c r="A267" s="26">
        <v>25</v>
      </c>
      <c r="B267" s="5"/>
      <c r="C267" s="5"/>
      <c r="D267" s="5"/>
      <c r="E267" s="5"/>
      <c r="F267" s="5"/>
      <c r="G267" s="5"/>
      <c r="H267" s="2">
        <f t="shared" si="12"/>
        <v>18</v>
      </c>
      <c r="K267" t="s">
        <v>49</v>
      </c>
    </row>
    <row r="268" spans="1:11" x14ac:dyDescent="0.25">
      <c r="A268" s="26">
        <v>26</v>
      </c>
      <c r="B268" s="5"/>
      <c r="C268" s="5"/>
      <c r="D268" s="5"/>
      <c r="E268" s="5"/>
      <c r="F268" s="5"/>
      <c r="G268" s="5"/>
      <c r="H268" s="2">
        <f t="shared" si="12"/>
        <v>18</v>
      </c>
    </row>
    <row r="269" spans="1:11" x14ac:dyDescent="0.25">
      <c r="A269" s="26">
        <v>27</v>
      </c>
      <c r="B269" s="5"/>
      <c r="C269" s="5"/>
      <c r="D269" s="5"/>
      <c r="E269" s="5"/>
      <c r="F269" s="5"/>
      <c r="G269" s="5"/>
      <c r="H269" s="2">
        <f t="shared" si="12"/>
        <v>18</v>
      </c>
    </row>
    <row r="270" spans="1:11" x14ac:dyDescent="0.25">
      <c r="A270" s="26">
        <v>28</v>
      </c>
      <c r="B270" s="5"/>
      <c r="C270" s="5"/>
      <c r="D270" s="5"/>
      <c r="E270" s="5"/>
      <c r="F270" s="5"/>
      <c r="G270" s="5"/>
      <c r="H270" s="2">
        <f t="shared" si="12"/>
        <v>18</v>
      </c>
    </row>
    <row r="271" spans="1:11" x14ac:dyDescent="0.25">
      <c r="A271" s="26">
        <v>29</v>
      </c>
      <c r="B271" s="5"/>
      <c r="C271" s="5"/>
      <c r="D271" s="5"/>
      <c r="E271" s="5"/>
      <c r="F271" s="5"/>
      <c r="G271" s="5"/>
      <c r="H271" s="2">
        <f t="shared" si="12"/>
        <v>18</v>
      </c>
    </row>
    <row r="272" spans="1:11" x14ac:dyDescent="0.25">
      <c r="A272" s="11">
        <v>30</v>
      </c>
      <c r="B272" s="5"/>
      <c r="C272" s="5"/>
      <c r="D272" s="5"/>
      <c r="E272" s="5"/>
      <c r="F272" s="5"/>
      <c r="G272" s="5"/>
      <c r="H272" s="5">
        <f t="shared" si="12"/>
        <v>18</v>
      </c>
    </row>
    <row r="273" spans="1:8" ht="15.75" thickBot="1" x14ac:dyDescent="0.3">
      <c r="A273" s="63">
        <v>31</v>
      </c>
      <c r="B273" s="29"/>
      <c r="C273" s="29"/>
      <c r="D273" s="29"/>
      <c r="E273" s="29"/>
      <c r="F273" s="29"/>
      <c r="G273" s="29"/>
      <c r="H273" s="5">
        <f t="shared" si="12"/>
        <v>18</v>
      </c>
    </row>
    <row r="274" spans="1:8" ht="15.75" thickBot="1" x14ac:dyDescent="0.3">
      <c r="A274" s="60" t="s">
        <v>35</v>
      </c>
      <c r="B274" s="58">
        <f>SUM(B243:B273)-E274</f>
        <v>0</v>
      </c>
      <c r="C274" s="58">
        <f t="shared" ref="C274:H274" si="13">SUM(C243:C273)</f>
        <v>0</v>
      </c>
      <c r="D274" s="58">
        <f t="shared" si="13"/>
        <v>0</v>
      </c>
      <c r="E274" s="58">
        <f t="shared" si="13"/>
        <v>0</v>
      </c>
      <c r="F274" s="58">
        <f t="shared" si="13"/>
        <v>0</v>
      </c>
      <c r="G274" s="58">
        <f t="shared" si="13"/>
        <v>0</v>
      </c>
      <c r="H274" s="58">
        <f t="shared" si="13"/>
        <v>558</v>
      </c>
    </row>
    <row r="277" spans="1:8" ht="36" x14ac:dyDescent="0.55000000000000004">
      <c r="A277" s="605" t="s">
        <v>1</v>
      </c>
      <c r="B277" s="605"/>
      <c r="C277" s="605"/>
      <c r="D277" s="605"/>
      <c r="E277" s="605"/>
      <c r="F277" s="605"/>
      <c r="G277" s="605"/>
      <c r="H277" s="605"/>
    </row>
    <row r="278" spans="1:8" ht="27" thickBot="1" x14ac:dyDescent="0.45">
      <c r="A278" s="606" t="s">
        <v>0</v>
      </c>
      <c r="B278" s="606"/>
      <c r="C278" s="606"/>
      <c r="D278" s="606"/>
      <c r="E278" s="606"/>
      <c r="F278" s="606"/>
      <c r="G278" s="606"/>
      <c r="H278" s="606"/>
    </row>
    <row r="279" spans="1:8" ht="15.75" x14ac:dyDescent="0.25">
      <c r="A279" s="39" t="s">
        <v>2</v>
      </c>
      <c r="B279" s="19" t="s">
        <v>3</v>
      </c>
      <c r="C279" s="20"/>
      <c r="D279" s="21" t="s">
        <v>52</v>
      </c>
      <c r="E279" s="607" t="s">
        <v>5</v>
      </c>
      <c r="F279" s="608"/>
      <c r="G279" s="19" t="s">
        <v>16</v>
      </c>
      <c r="H279" s="32" t="s">
        <v>62</v>
      </c>
    </row>
    <row r="280" spans="1:8" ht="15.75" x14ac:dyDescent="0.25">
      <c r="A280" s="609" t="s">
        <v>6</v>
      </c>
      <c r="B280" s="610"/>
      <c r="C280" s="610"/>
      <c r="D280" s="610"/>
      <c r="E280" s="610"/>
      <c r="F280" s="611"/>
      <c r="G280" s="1"/>
      <c r="H280" s="2">
        <f>H273</f>
        <v>18</v>
      </c>
    </row>
    <row r="281" spans="1:8" ht="15.75" x14ac:dyDescent="0.25">
      <c r="A281" s="3" t="s">
        <v>7</v>
      </c>
      <c r="B281" s="1"/>
      <c r="C281" s="1"/>
      <c r="D281" s="1"/>
      <c r="E281" s="1"/>
      <c r="F281" s="1"/>
      <c r="G281" s="1"/>
      <c r="H281" s="2">
        <v>32</v>
      </c>
    </row>
    <row r="282" spans="1:8" ht="39" thickBot="1" x14ac:dyDescent="0.3">
      <c r="A282" s="40" t="s">
        <v>8</v>
      </c>
      <c r="B282" s="41" t="s">
        <v>9</v>
      </c>
      <c r="C282" s="41" t="s">
        <v>10</v>
      </c>
      <c r="D282" s="41" t="s">
        <v>11</v>
      </c>
      <c r="E282" s="41" t="s">
        <v>12</v>
      </c>
      <c r="F282" s="41" t="s">
        <v>13</v>
      </c>
      <c r="G282" s="41" t="s">
        <v>14</v>
      </c>
      <c r="H282" s="42" t="s">
        <v>15</v>
      </c>
    </row>
    <row r="283" spans="1:8" x14ac:dyDescent="0.25">
      <c r="A283" s="36">
        <v>1</v>
      </c>
      <c r="B283" s="37"/>
      <c r="C283" s="37"/>
      <c r="D283" s="37"/>
      <c r="E283" s="37"/>
      <c r="F283" s="37"/>
      <c r="G283" s="37"/>
      <c r="H283" s="38">
        <f>H280+B283+F283-(C283+D283+G283)-E283</f>
        <v>18</v>
      </c>
    </row>
    <row r="284" spans="1:8" x14ac:dyDescent="0.25">
      <c r="A284" s="26">
        <v>2</v>
      </c>
      <c r="B284" s="5"/>
      <c r="C284" s="5"/>
      <c r="D284" s="5"/>
      <c r="E284" s="5"/>
      <c r="F284" s="5"/>
      <c r="G284" s="5"/>
      <c r="H284" s="2">
        <f>H283+B284+F284-(C284+D284+G284)-E284</f>
        <v>18</v>
      </c>
    </row>
    <row r="285" spans="1:8" x14ac:dyDescent="0.25">
      <c r="A285" s="26">
        <v>3</v>
      </c>
      <c r="B285" s="5"/>
      <c r="C285" s="5"/>
      <c r="D285" s="5"/>
      <c r="E285" s="5"/>
      <c r="F285" s="5"/>
      <c r="G285" s="5"/>
      <c r="H285" s="2">
        <f>H284+B285+F285-(C285+D285+G285)-E285</f>
        <v>18</v>
      </c>
    </row>
    <row r="286" spans="1:8" x14ac:dyDescent="0.25">
      <c r="A286" s="26">
        <v>4</v>
      </c>
      <c r="B286" s="5"/>
      <c r="C286" s="5"/>
      <c r="D286" s="5"/>
      <c r="E286" s="5"/>
      <c r="F286" s="5"/>
      <c r="G286" s="5"/>
      <c r="H286" s="2">
        <f t="shared" ref="H286:H313" si="14">H285+B286+F286-(C286+D286+G286)-E286</f>
        <v>18</v>
      </c>
    </row>
    <row r="287" spans="1:8" x14ac:dyDescent="0.25">
      <c r="A287" s="26">
        <v>5</v>
      </c>
      <c r="B287" s="5"/>
      <c r="C287" s="5"/>
      <c r="D287" s="5"/>
      <c r="E287" s="5"/>
      <c r="F287" s="5"/>
      <c r="G287" s="5"/>
      <c r="H287" s="2">
        <f t="shared" si="14"/>
        <v>18</v>
      </c>
    </row>
    <row r="288" spans="1:8" x14ac:dyDescent="0.25">
      <c r="A288" s="26">
        <v>6</v>
      </c>
      <c r="B288" s="5"/>
      <c r="C288" s="5"/>
      <c r="D288" s="5"/>
      <c r="E288" s="5"/>
      <c r="F288" s="5"/>
      <c r="G288" s="5"/>
      <c r="H288" s="2">
        <f t="shared" si="14"/>
        <v>18</v>
      </c>
    </row>
    <row r="289" spans="1:8" x14ac:dyDescent="0.25">
      <c r="A289" s="26">
        <v>7</v>
      </c>
      <c r="B289" s="5"/>
      <c r="C289" s="5"/>
      <c r="D289" s="5"/>
      <c r="E289" s="5"/>
      <c r="F289" s="5"/>
      <c r="G289" s="5"/>
      <c r="H289" s="2">
        <f t="shared" si="14"/>
        <v>18</v>
      </c>
    </row>
    <row r="290" spans="1:8" x14ac:dyDescent="0.25">
      <c r="A290" s="26">
        <v>8</v>
      </c>
      <c r="B290" s="5"/>
      <c r="C290" s="5"/>
      <c r="D290" s="5"/>
      <c r="E290" s="5"/>
      <c r="F290" s="5"/>
      <c r="G290" s="5"/>
      <c r="H290" s="2">
        <f t="shared" si="14"/>
        <v>18</v>
      </c>
    </row>
    <row r="291" spans="1:8" x14ac:dyDescent="0.25">
      <c r="A291" s="26">
        <v>9</v>
      </c>
      <c r="B291" s="5"/>
      <c r="C291" s="5"/>
      <c r="D291" s="5"/>
      <c r="E291" s="5"/>
      <c r="F291" s="5"/>
      <c r="G291" s="5"/>
      <c r="H291" s="2">
        <f t="shared" si="14"/>
        <v>18</v>
      </c>
    </row>
    <row r="292" spans="1:8" x14ac:dyDescent="0.25">
      <c r="A292" s="26">
        <v>10</v>
      </c>
      <c r="B292" s="5"/>
      <c r="C292" s="5"/>
      <c r="D292" s="5"/>
      <c r="E292" s="5"/>
      <c r="F292" s="5"/>
      <c r="G292" s="5"/>
      <c r="H292" s="2">
        <f t="shared" si="14"/>
        <v>18</v>
      </c>
    </row>
    <row r="293" spans="1:8" x14ac:dyDescent="0.25">
      <c r="A293" s="26">
        <v>11</v>
      </c>
      <c r="B293" s="5"/>
      <c r="C293" s="5"/>
      <c r="D293" s="5"/>
      <c r="E293" s="5"/>
      <c r="F293" s="5"/>
      <c r="G293" s="5"/>
      <c r="H293" s="2">
        <f t="shared" si="14"/>
        <v>18</v>
      </c>
    </row>
    <row r="294" spans="1:8" x14ac:dyDescent="0.25">
      <c r="A294" s="26">
        <v>12</v>
      </c>
      <c r="B294" s="5"/>
      <c r="C294" s="5"/>
      <c r="D294" s="5"/>
      <c r="E294" s="5"/>
      <c r="F294" s="5"/>
      <c r="G294" s="5"/>
      <c r="H294" s="2">
        <f t="shared" si="14"/>
        <v>18</v>
      </c>
    </row>
    <row r="295" spans="1:8" x14ac:dyDescent="0.25">
      <c r="A295" s="26">
        <v>13</v>
      </c>
      <c r="B295" s="5"/>
      <c r="C295" s="5"/>
      <c r="D295" s="5"/>
      <c r="E295" s="5"/>
      <c r="F295" s="5"/>
      <c r="G295" s="5"/>
      <c r="H295" s="2">
        <f t="shared" si="14"/>
        <v>18</v>
      </c>
    </row>
    <row r="296" spans="1:8" x14ac:dyDescent="0.25">
      <c r="A296" s="26">
        <v>14</v>
      </c>
      <c r="B296" s="5"/>
      <c r="C296" s="5"/>
      <c r="D296" s="5"/>
      <c r="E296" s="5"/>
      <c r="F296" s="5"/>
      <c r="G296" s="5"/>
      <c r="H296" s="2">
        <f t="shared" si="14"/>
        <v>18</v>
      </c>
    </row>
    <row r="297" spans="1:8" x14ac:dyDescent="0.25">
      <c r="A297" s="26">
        <v>15</v>
      </c>
      <c r="B297" s="5"/>
      <c r="C297" s="5"/>
      <c r="D297" s="5"/>
      <c r="E297" s="5"/>
      <c r="F297" s="5"/>
      <c r="G297" s="5"/>
      <c r="H297" s="2">
        <f t="shared" si="14"/>
        <v>18</v>
      </c>
    </row>
    <row r="298" spans="1:8" x14ac:dyDescent="0.25">
      <c r="A298" s="26">
        <v>16</v>
      </c>
      <c r="B298" s="5"/>
      <c r="C298" s="5"/>
      <c r="D298" s="5"/>
      <c r="E298" s="5"/>
      <c r="F298" s="5"/>
      <c r="G298" s="5"/>
      <c r="H298" s="2">
        <f t="shared" si="14"/>
        <v>18</v>
      </c>
    </row>
    <row r="299" spans="1:8" x14ac:dyDescent="0.25">
      <c r="A299" s="26">
        <v>17</v>
      </c>
      <c r="B299" s="5"/>
      <c r="C299" s="5"/>
      <c r="D299" s="5"/>
      <c r="E299" s="5"/>
      <c r="F299" s="5"/>
      <c r="G299" s="5"/>
      <c r="H299" s="2">
        <f t="shared" si="14"/>
        <v>18</v>
      </c>
    </row>
    <row r="300" spans="1:8" x14ac:dyDescent="0.25">
      <c r="A300" s="26">
        <v>18</v>
      </c>
      <c r="B300" s="5"/>
      <c r="C300" s="5"/>
      <c r="D300" s="5"/>
      <c r="E300" s="5"/>
      <c r="F300" s="5"/>
      <c r="G300" s="5"/>
      <c r="H300" s="2">
        <f t="shared" si="14"/>
        <v>18</v>
      </c>
    </row>
    <row r="301" spans="1:8" x14ac:dyDescent="0.25">
      <c r="A301" s="26">
        <v>19</v>
      </c>
      <c r="B301" s="5"/>
      <c r="C301" s="5"/>
      <c r="D301" s="5"/>
      <c r="E301" s="5"/>
      <c r="F301" s="5"/>
      <c r="G301" s="5"/>
      <c r="H301" s="2">
        <f t="shared" si="14"/>
        <v>18</v>
      </c>
    </row>
    <row r="302" spans="1:8" x14ac:dyDescent="0.25">
      <c r="A302" s="26">
        <v>20</v>
      </c>
      <c r="B302" s="5"/>
      <c r="C302" s="5"/>
      <c r="D302" s="5"/>
      <c r="E302" s="5"/>
      <c r="F302" s="5"/>
      <c r="G302" s="5"/>
      <c r="H302" s="2">
        <f t="shared" si="14"/>
        <v>18</v>
      </c>
    </row>
    <row r="303" spans="1:8" x14ac:dyDescent="0.25">
      <c r="A303" s="26">
        <v>21</v>
      </c>
      <c r="B303" s="5"/>
      <c r="C303" s="5"/>
      <c r="D303" s="5"/>
      <c r="E303" s="5"/>
      <c r="F303" s="5"/>
      <c r="G303" s="5"/>
      <c r="H303" s="2">
        <f t="shared" si="14"/>
        <v>18</v>
      </c>
    </row>
    <row r="304" spans="1:8" x14ac:dyDescent="0.25">
      <c r="A304" s="26">
        <v>22</v>
      </c>
      <c r="B304" s="5"/>
      <c r="C304" s="5"/>
      <c r="D304" s="5"/>
      <c r="E304" s="5"/>
      <c r="F304" s="5"/>
      <c r="G304" s="5"/>
      <c r="H304" s="2">
        <f t="shared" si="14"/>
        <v>18</v>
      </c>
    </row>
    <row r="305" spans="1:8" x14ac:dyDescent="0.25">
      <c r="A305" s="26">
        <v>23</v>
      </c>
      <c r="B305" s="5"/>
      <c r="C305" s="5"/>
      <c r="D305" s="5"/>
      <c r="E305" s="5"/>
      <c r="F305" s="5"/>
      <c r="G305" s="5"/>
      <c r="H305" s="2">
        <f t="shared" si="14"/>
        <v>18</v>
      </c>
    </row>
    <row r="306" spans="1:8" x14ac:dyDescent="0.25">
      <c r="A306" s="26">
        <v>24</v>
      </c>
      <c r="B306" s="5"/>
      <c r="C306" s="5"/>
      <c r="D306" s="5"/>
      <c r="E306" s="5"/>
      <c r="F306" s="5"/>
      <c r="G306" s="5"/>
      <c r="H306" s="2">
        <f t="shared" si="14"/>
        <v>18</v>
      </c>
    </row>
    <row r="307" spans="1:8" x14ac:dyDescent="0.25">
      <c r="A307" s="26">
        <v>25</v>
      </c>
      <c r="B307" s="5"/>
      <c r="C307" s="5"/>
      <c r="D307" s="5"/>
      <c r="E307" s="5"/>
      <c r="F307" s="5"/>
      <c r="G307" s="5"/>
      <c r="H307" s="2">
        <f t="shared" si="14"/>
        <v>18</v>
      </c>
    </row>
    <row r="308" spans="1:8" x14ac:dyDescent="0.25">
      <c r="A308" s="26">
        <v>26</v>
      </c>
      <c r="B308" s="5"/>
      <c r="C308" s="5"/>
      <c r="D308" s="5"/>
      <c r="E308" s="5"/>
      <c r="F308" s="5"/>
      <c r="G308" s="5"/>
      <c r="H308" s="2">
        <f t="shared" si="14"/>
        <v>18</v>
      </c>
    </row>
    <row r="309" spans="1:8" x14ac:dyDescent="0.25">
      <c r="A309" s="26">
        <v>27</v>
      </c>
      <c r="B309" s="5"/>
      <c r="C309" s="5"/>
      <c r="D309" s="5"/>
      <c r="E309" s="5"/>
      <c r="F309" s="5"/>
      <c r="G309" s="5"/>
      <c r="H309" s="2">
        <f t="shared" si="14"/>
        <v>18</v>
      </c>
    </row>
    <row r="310" spans="1:8" x14ac:dyDescent="0.25">
      <c r="A310" s="26">
        <v>28</v>
      </c>
      <c r="B310" s="5"/>
      <c r="C310" s="5"/>
      <c r="D310" s="5"/>
      <c r="E310" s="5"/>
      <c r="F310" s="5"/>
      <c r="G310" s="5"/>
      <c r="H310" s="2">
        <f t="shared" si="14"/>
        <v>18</v>
      </c>
    </row>
    <row r="311" spans="1:8" x14ac:dyDescent="0.25">
      <c r="A311" s="26">
        <v>29</v>
      </c>
      <c r="B311" s="5"/>
      <c r="C311" s="5"/>
      <c r="D311" s="5"/>
      <c r="E311" s="5"/>
      <c r="F311" s="5"/>
      <c r="G311" s="5"/>
      <c r="H311" s="2">
        <f t="shared" si="14"/>
        <v>18</v>
      </c>
    </row>
    <row r="312" spans="1:8" x14ac:dyDescent="0.25">
      <c r="A312" s="26">
        <v>30</v>
      </c>
      <c r="B312" s="5"/>
      <c r="C312" s="5"/>
      <c r="D312" s="5"/>
      <c r="E312" s="5"/>
      <c r="F312" s="5"/>
      <c r="G312" s="5"/>
      <c r="H312" s="2">
        <f t="shared" si="14"/>
        <v>18</v>
      </c>
    </row>
    <row r="313" spans="1:8" ht="15.75" thickBot="1" x14ac:dyDescent="0.3">
      <c r="A313" s="28">
        <v>31</v>
      </c>
      <c r="B313" s="29"/>
      <c r="C313" s="29"/>
      <c r="D313" s="29"/>
      <c r="E313" s="29"/>
      <c r="F313" s="29"/>
      <c r="G313" s="29"/>
      <c r="H313" s="2">
        <f t="shared" si="14"/>
        <v>18</v>
      </c>
    </row>
    <row r="314" spans="1:8" ht="15.75" thickBot="1" x14ac:dyDescent="0.3">
      <c r="A314" s="60" t="s">
        <v>35</v>
      </c>
      <c r="B314" s="58">
        <f>SUM(B283:B313)-E314</f>
        <v>0</v>
      </c>
      <c r="C314" s="58">
        <f t="shared" ref="C314:H314" si="15">SUM(C283:C313)</f>
        <v>0</v>
      </c>
      <c r="D314" s="58">
        <f t="shared" si="15"/>
        <v>0</v>
      </c>
      <c r="E314" s="58">
        <f t="shared" si="15"/>
        <v>0</v>
      </c>
      <c r="F314" s="58">
        <f t="shared" si="15"/>
        <v>0</v>
      </c>
      <c r="G314" s="58">
        <f t="shared" si="15"/>
        <v>0</v>
      </c>
      <c r="H314" s="59">
        <f t="shared" si="15"/>
        <v>558</v>
      </c>
    </row>
    <row r="317" spans="1:8" ht="36" x14ac:dyDescent="0.55000000000000004">
      <c r="A317" s="605" t="s">
        <v>1</v>
      </c>
      <c r="B317" s="605"/>
      <c r="C317" s="605"/>
      <c r="D317" s="605"/>
      <c r="E317" s="605"/>
      <c r="F317" s="605"/>
      <c r="G317" s="605"/>
      <c r="H317" s="605"/>
    </row>
    <row r="318" spans="1:8" ht="27" thickBot="1" x14ac:dyDescent="0.45">
      <c r="A318" s="606" t="s">
        <v>0</v>
      </c>
      <c r="B318" s="606"/>
      <c r="C318" s="606"/>
      <c r="D318" s="606"/>
      <c r="E318" s="606"/>
      <c r="F318" s="606"/>
      <c r="G318" s="606"/>
      <c r="H318" s="606"/>
    </row>
    <row r="319" spans="1:8" ht="15.75" x14ac:dyDescent="0.25">
      <c r="A319" s="39" t="s">
        <v>2</v>
      </c>
      <c r="B319" s="19" t="s">
        <v>3</v>
      </c>
      <c r="C319" s="20"/>
      <c r="D319" s="21" t="s">
        <v>52</v>
      </c>
      <c r="E319" s="607" t="s">
        <v>5</v>
      </c>
      <c r="F319" s="608"/>
      <c r="G319" s="19" t="s">
        <v>16</v>
      </c>
      <c r="H319" s="161" t="s">
        <v>63</v>
      </c>
    </row>
    <row r="320" spans="1:8" ht="15.75" x14ac:dyDescent="0.25">
      <c r="A320" s="609" t="s">
        <v>6</v>
      </c>
      <c r="B320" s="610"/>
      <c r="C320" s="610"/>
      <c r="D320" s="610"/>
      <c r="E320" s="610"/>
      <c r="F320" s="611"/>
      <c r="G320" s="1"/>
      <c r="H320" s="2">
        <f>H313</f>
        <v>18</v>
      </c>
    </row>
    <row r="321" spans="1:8" ht="15.75" x14ac:dyDescent="0.25">
      <c r="A321" s="3" t="s">
        <v>7</v>
      </c>
      <c r="B321" s="1"/>
      <c r="C321" s="1"/>
      <c r="D321" s="1"/>
      <c r="E321" s="1"/>
      <c r="F321" s="1"/>
      <c r="G321" s="1"/>
      <c r="H321" s="2">
        <v>32</v>
      </c>
    </row>
    <row r="322" spans="1:8" ht="39" thickBot="1" x14ac:dyDescent="0.3">
      <c r="A322" s="40" t="s">
        <v>8</v>
      </c>
      <c r="B322" s="41" t="s">
        <v>9</v>
      </c>
      <c r="C322" s="41" t="s">
        <v>10</v>
      </c>
      <c r="D322" s="41" t="s">
        <v>11</v>
      </c>
      <c r="E322" s="41" t="s">
        <v>12</v>
      </c>
      <c r="F322" s="41" t="s">
        <v>13</v>
      </c>
      <c r="G322" s="41" t="s">
        <v>14</v>
      </c>
      <c r="H322" s="42" t="s">
        <v>15</v>
      </c>
    </row>
    <row r="323" spans="1:8" x14ac:dyDescent="0.25">
      <c r="A323" s="36">
        <v>1</v>
      </c>
      <c r="B323" s="37"/>
      <c r="C323" s="37"/>
      <c r="D323" s="37"/>
      <c r="E323" s="37"/>
      <c r="F323" s="37"/>
      <c r="G323" s="37"/>
      <c r="H323" s="38">
        <f>H320+B323+F323-(C323+D323+G323)-E323</f>
        <v>18</v>
      </c>
    </row>
    <row r="324" spans="1:8" x14ac:dyDescent="0.25">
      <c r="A324" s="26">
        <v>2</v>
      </c>
      <c r="B324" s="5"/>
      <c r="C324" s="5"/>
      <c r="D324" s="5"/>
      <c r="E324" s="5"/>
      <c r="F324" s="5"/>
      <c r="G324" s="5"/>
      <c r="H324" s="2">
        <f>H323+B324+F324-(C324+D324+G324)-E324</f>
        <v>18</v>
      </c>
    </row>
    <row r="325" spans="1:8" x14ac:dyDescent="0.25">
      <c r="A325" s="26">
        <v>3</v>
      </c>
      <c r="B325" s="5"/>
      <c r="C325" s="5"/>
      <c r="D325" s="5"/>
      <c r="E325" s="5"/>
      <c r="F325" s="5"/>
      <c r="G325" s="5"/>
      <c r="H325" s="2">
        <f>H324+B325+F325-(C325+D325+G325)-E325</f>
        <v>18</v>
      </c>
    </row>
    <row r="326" spans="1:8" x14ac:dyDescent="0.25">
      <c r="A326" s="26">
        <v>4</v>
      </c>
      <c r="B326" s="5"/>
      <c r="C326" s="5"/>
      <c r="D326" s="5"/>
      <c r="E326" s="5"/>
      <c r="F326" s="5"/>
      <c r="G326" s="5"/>
      <c r="H326" s="2">
        <f t="shared" ref="H326:H352" si="16">H325+B326+F326-(C326+D326+G326)-E326</f>
        <v>18</v>
      </c>
    </row>
    <row r="327" spans="1:8" x14ac:dyDescent="0.25">
      <c r="A327" s="26">
        <v>5</v>
      </c>
      <c r="B327" s="5"/>
      <c r="C327" s="5"/>
      <c r="D327" s="5"/>
      <c r="E327" s="5"/>
      <c r="F327" s="5"/>
      <c r="G327" s="5"/>
      <c r="H327" s="2">
        <f t="shared" si="16"/>
        <v>18</v>
      </c>
    </row>
    <row r="328" spans="1:8" x14ac:dyDescent="0.25">
      <c r="A328" s="26">
        <v>6</v>
      </c>
      <c r="B328" s="5"/>
      <c r="C328" s="5"/>
      <c r="D328" s="5"/>
      <c r="E328" s="5"/>
      <c r="F328" s="5"/>
      <c r="G328" s="5"/>
      <c r="H328" s="2">
        <f t="shared" si="16"/>
        <v>18</v>
      </c>
    </row>
    <row r="329" spans="1:8" x14ac:dyDescent="0.25">
      <c r="A329" s="26">
        <v>7</v>
      </c>
      <c r="B329" s="5"/>
      <c r="C329" s="5"/>
      <c r="D329" s="5"/>
      <c r="E329" s="5"/>
      <c r="F329" s="5"/>
      <c r="G329" s="5"/>
      <c r="H329" s="2">
        <f t="shared" si="16"/>
        <v>18</v>
      </c>
    </row>
    <row r="330" spans="1:8" x14ac:dyDescent="0.25">
      <c r="A330" s="26">
        <v>8</v>
      </c>
      <c r="B330" s="5"/>
      <c r="C330" s="5"/>
      <c r="D330" s="5"/>
      <c r="E330" s="5"/>
      <c r="F330" s="5"/>
      <c r="G330" s="5"/>
      <c r="H330" s="2">
        <f t="shared" si="16"/>
        <v>18</v>
      </c>
    </row>
    <row r="331" spans="1:8" x14ac:dyDescent="0.25">
      <c r="A331" s="26">
        <v>9</v>
      </c>
      <c r="B331" s="5"/>
      <c r="C331" s="5"/>
      <c r="D331" s="5"/>
      <c r="E331" s="5"/>
      <c r="F331" s="5"/>
      <c r="G331" s="5"/>
      <c r="H331" s="2">
        <f t="shared" si="16"/>
        <v>18</v>
      </c>
    </row>
    <row r="332" spans="1:8" x14ac:dyDescent="0.25">
      <c r="A332" s="26">
        <v>10</v>
      </c>
      <c r="B332" s="5"/>
      <c r="C332" s="5"/>
      <c r="D332" s="5"/>
      <c r="E332" s="5"/>
      <c r="F332" s="5"/>
      <c r="G332" s="5"/>
      <c r="H332" s="2">
        <f t="shared" si="16"/>
        <v>18</v>
      </c>
    </row>
    <row r="333" spans="1:8" x14ac:dyDescent="0.25">
      <c r="A333" s="26">
        <v>11</v>
      </c>
      <c r="B333" s="5"/>
      <c r="C333" s="5"/>
      <c r="D333" s="5"/>
      <c r="E333" s="5"/>
      <c r="F333" s="5"/>
      <c r="G333" s="5"/>
      <c r="H333" s="2">
        <f t="shared" si="16"/>
        <v>18</v>
      </c>
    </row>
    <row r="334" spans="1:8" x14ac:dyDescent="0.25">
      <c r="A334" s="26">
        <v>12</v>
      </c>
      <c r="B334" s="5"/>
      <c r="C334" s="5"/>
      <c r="D334" s="5"/>
      <c r="E334" s="5"/>
      <c r="F334" s="5"/>
      <c r="G334" s="5"/>
      <c r="H334" s="2">
        <f t="shared" si="16"/>
        <v>18</v>
      </c>
    </row>
    <row r="335" spans="1:8" x14ac:dyDescent="0.25">
      <c r="A335" s="26">
        <v>13</v>
      </c>
      <c r="B335" s="5"/>
      <c r="C335" s="5"/>
      <c r="D335" s="5"/>
      <c r="E335" s="5"/>
      <c r="F335" s="5"/>
      <c r="G335" s="5"/>
      <c r="H335" s="2">
        <f t="shared" si="16"/>
        <v>18</v>
      </c>
    </row>
    <row r="336" spans="1:8" x14ac:dyDescent="0.25">
      <c r="A336" s="26">
        <v>14</v>
      </c>
      <c r="B336" s="5"/>
      <c r="C336" s="5"/>
      <c r="D336" s="5"/>
      <c r="E336" s="5"/>
      <c r="F336" s="5"/>
      <c r="G336" s="5"/>
      <c r="H336" s="2">
        <f t="shared" si="16"/>
        <v>18</v>
      </c>
    </row>
    <row r="337" spans="1:8" x14ac:dyDescent="0.25">
      <c r="A337" s="26">
        <v>15</v>
      </c>
      <c r="B337" s="5"/>
      <c r="C337" s="5"/>
      <c r="D337" s="5"/>
      <c r="E337" s="5"/>
      <c r="F337" s="5"/>
      <c r="G337" s="5"/>
      <c r="H337" s="2">
        <f t="shared" si="16"/>
        <v>18</v>
      </c>
    </row>
    <row r="338" spans="1:8" x14ac:dyDescent="0.25">
      <c r="A338" s="26">
        <v>16</v>
      </c>
      <c r="B338" s="5"/>
      <c r="C338" s="5"/>
      <c r="D338" s="5"/>
      <c r="E338" s="5"/>
      <c r="F338" s="5"/>
      <c r="G338" s="5"/>
      <c r="H338" s="2">
        <f t="shared" si="16"/>
        <v>18</v>
      </c>
    </row>
    <row r="339" spans="1:8" x14ac:dyDescent="0.25">
      <c r="A339" s="26">
        <v>17</v>
      </c>
      <c r="B339" s="5"/>
      <c r="C339" s="5"/>
      <c r="D339" s="5"/>
      <c r="E339" s="5"/>
      <c r="F339" s="5"/>
      <c r="G339" s="5"/>
      <c r="H339" s="2">
        <f t="shared" si="16"/>
        <v>18</v>
      </c>
    </row>
    <row r="340" spans="1:8" x14ac:dyDescent="0.25">
      <c r="A340" s="26">
        <v>18</v>
      </c>
      <c r="B340" s="5"/>
      <c r="C340" s="5"/>
      <c r="D340" s="5"/>
      <c r="E340" s="5"/>
      <c r="F340" s="5"/>
      <c r="G340" s="5"/>
      <c r="H340" s="2">
        <f t="shared" si="16"/>
        <v>18</v>
      </c>
    </row>
    <row r="341" spans="1:8" x14ac:dyDescent="0.25">
      <c r="A341" s="26">
        <v>19</v>
      </c>
      <c r="B341" s="5"/>
      <c r="C341" s="5"/>
      <c r="D341" s="5"/>
      <c r="E341" s="5"/>
      <c r="F341" s="5"/>
      <c r="G341" s="5"/>
      <c r="H341" s="2">
        <f t="shared" si="16"/>
        <v>18</v>
      </c>
    </row>
    <row r="342" spans="1:8" x14ac:dyDescent="0.25">
      <c r="A342" s="26">
        <v>20</v>
      </c>
      <c r="B342" s="5"/>
      <c r="C342" s="5"/>
      <c r="D342" s="5"/>
      <c r="E342" s="5"/>
      <c r="F342" s="5"/>
      <c r="G342" s="5"/>
      <c r="H342" s="2">
        <f t="shared" si="16"/>
        <v>18</v>
      </c>
    </row>
    <row r="343" spans="1:8" x14ac:dyDescent="0.25">
      <c r="A343" s="26">
        <v>21</v>
      </c>
      <c r="B343" s="5"/>
      <c r="C343" s="5"/>
      <c r="D343" s="5"/>
      <c r="E343" s="5"/>
      <c r="F343" s="5"/>
      <c r="G343" s="5"/>
      <c r="H343" s="2">
        <f t="shared" si="16"/>
        <v>18</v>
      </c>
    </row>
    <row r="344" spans="1:8" x14ac:dyDescent="0.25">
      <c r="A344" s="26">
        <v>22</v>
      </c>
      <c r="B344" s="5"/>
      <c r="C344" s="5"/>
      <c r="D344" s="5"/>
      <c r="E344" s="5"/>
      <c r="F344" s="5"/>
      <c r="G344" s="5"/>
      <c r="H344" s="2">
        <f t="shared" si="16"/>
        <v>18</v>
      </c>
    </row>
    <row r="345" spans="1:8" x14ac:dyDescent="0.25">
      <c r="A345" s="26">
        <v>23</v>
      </c>
      <c r="B345" s="5"/>
      <c r="C345" s="5"/>
      <c r="D345" s="5"/>
      <c r="E345" s="5"/>
      <c r="F345" s="5"/>
      <c r="G345" s="5"/>
      <c r="H345" s="2">
        <f t="shared" si="16"/>
        <v>18</v>
      </c>
    </row>
    <row r="346" spans="1:8" x14ac:dyDescent="0.25">
      <c r="A346" s="26">
        <v>24</v>
      </c>
      <c r="B346" s="5"/>
      <c r="C346" s="5"/>
      <c r="D346" s="5"/>
      <c r="E346" s="5"/>
      <c r="F346" s="5"/>
      <c r="G346" s="5"/>
      <c r="H346" s="2">
        <f t="shared" si="16"/>
        <v>18</v>
      </c>
    </row>
    <row r="347" spans="1:8" x14ac:dyDescent="0.25">
      <c r="A347" s="26">
        <v>25</v>
      </c>
      <c r="B347" s="5"/>
      <c r="C347" s="5"/>
      <c r="D347" s="5"/>
      <c r="E347" s="5"/>
      <c r="F347" s="5"/>
      <c r="G347" s="5"/>
      <c r="H347" s="2">
        <f t="shared" si="16"/>
        <v>18</v>
      </c>
    </row>
    <row r="348" spans="1:8" x14ac:dyDescent="0.25">
      <c r="A348" s="26">
        <v>26</v>
      </c>
      <c r="B348" s="5"/>
      <c r="C348" s="5"/>
      <c r="D348" s="5"/>
      <c r="E348" s="5"/>
      <c r="F348" s="5"/>
      <c r="G348" s="5"/>
      <c r="H348" s="2">
        <f t="shared" si="16"/>
        <v>18</v>
      </c>
    </row>
    <row r="349" spans="1:8" x14ac:dyDescent="0.25">
      <c r="A349" s="26">
        <v>27</v>
      </c>
      <c r="B349" s="5"/>
      <c r="C349" s="5"/>
      <c r="D349" s="5"/>
      <c r="E349" s="5"/>
      <c r="F349" s="5"/>
      <c r="G349" s="5"/>
      <c r="H349" s="2">
        <f t="shared" si="16"/>
        <v>18</v>
      </c>
    </row>
    <row r="350" spans="1:8" x14ac:dyDescent="0.25">
      <c r="A350" s="26">
        <v>28</v>
      </c>
      <c r="B350" s="5"/>
      <c r="C350" s="5"/>
      <c r="D350" s="5"/>
      <c r="E350" s="5"/>
      <c r="F350" s="5"/>
      <c r="G350" s="5"/>
      <c r="H350" s="2">
        <f t="shared" si="16"/>
        <v>18</v>
      </c>
    </row>
    <row r="351" spans="1:8" x14ac:dyDescent="0.25">
      <c r="A351" s="26">
        <v>29</v>
      </c>
      <c r="B351" s="5"/>
      <c r="C351" s="5"/>
      <c r="D351" s="5"/>
      <c r="E351" s="5"/>
      <c r="F351" s="5"/>
      <c r="G351" s="5"/>
      <c r="H351" s="2">
        <f t="shared" si="16"/>
        <v>18</v>
      </c>
    </row>
    <row r="352" spans="1:8" ht="15.75" thickBot="1" x14ac:dyDescent="0.3">
      <c r="A352" s="26">
        <v>30</v>
      </c>
      <c r="B352" s="5"/>
      <c r="C352" s="5"/>
      <c r="D352" s="5"/>
      <c r="E352" s="5"/>
      <c r="F352" s="5"/>
      <c r="G352" s="5"/>
      <c r="H352" s="2">
        <f t="shared" si="16"/>
        <v>18</v>
      </c>
    </row>
    <row r="353" spans="1:8" ht="15.75" thickBot="1" x14ac:dyDescent="0.3">
      <c r="A353" s="60" t="s">
        <v>35</v>
      </c>
      <c r="B353" s="58">
        <f>SUM(B323:B352)-E353</f>
        <v>0</v>
      </c>
      <c r="C353" s="58">
        <f t="shared" ref="C353:H353" si="17">SUM(C323:C352)</f>
        <v>0</v>
      </c>
      <c r="D353" s="58">
        <f t="shared" si="17"/>
        <v>0</v>
      </c>
      <c r="E353" s="58">
        <f t="shared" si="17"/>
        <v>0</v>
      </c>
      <c r="F353" s="58">
        <f t="shared" si="17"/>
        <v>0</v>
      </c>
      <c r="G353" s="58">
        <f t="shared" si="17"/>
        <v>0</v>
      </c>
      <c r="H353" s="59">
        <f t="shared" si="17"/>
        <v>540</v>
      </c>
    </row>
    <row r="356" spans="1:8" ht="36" x14ac:dyDescent="0.55000000000000004">
      <c r="A356" s="605" t="s">
        <v>1</v>
      </c>
      <c r="B356" s="605"/>
      <c r="C356" s="605"/>
      <c r="D356" s="605"/>
      <c r="E356" s="605"/>
      <c r="F356" s="605"/>
      <c r="G356" s="605"/>
      <c r="H356" s="605"/>
    </row>
    <row r="357" spans="1:8" ht="27" thickBot="1" x14ac:dyDescent="0.45">
      <c r="A357" s="606" t="s">
        <v>0</v>
      </c>
      <c r="B357" s="606"/>
      <c r="C357" s="606"/>
      <c r="D357" s="606"/>
      <c r="E357" s="606"/>
      <c r="F357" s="606"/>
      <c r="G357" s="606"/>
      <c r="H357" s="606"/>
    </row>
    <row r="358" spans="1:8" ht="15.75" x14ac:dyDescent="0.25">
      <c r="A358" s="39" t="s">
        <v>2</v>
      </c>
      <c r="B358" s="19" t="s">
        <v>3</v>
      </c>
      <c r="C358" s="20"/>
      <c r="D358" s="21" t="s">
        <v>52</v>
      </c>
      <c r="E358" s="607" t="s">
        <v>5</v>
      </c>
      <c r="F358" s="608"/>
      <c r="G358" s="19" t="s">
        <v>16</v>
      </c>
      <c r="H358" s="32" t="s">
        <v>64</v>
      </c>
    </row>
    <row r="359" spans="1:8" ht="15.75" x14ac:dyDescent="0.25">
      <c r="A359" s="609" t="s">
        <v>6</v>
      </c>
      <c r="B359" s="610"/>
      <c r="C359" s="610"/>
      <c r="D359" s="610"/>
      <c r="E359" s="610"/>
      <c r="F359" s="611"/>
      <c r="G359" s="1"/>
      <c r="H359" s="2">
        <f>H352</f>
        <v>18</v>
      </c>
    </row>
    <row r="360" spans="1:8" ht="15.75" x14ac:dyDescent="0.25">
      <c r="A360" s="3" t="s">
        <v>7</v>
      </c>
      <c r="B360" s="1"/>
      <c r="C360" s="1"/>
      <c r="D360" s="1"/>
      <c r="E360" s="1"/>
      <c r="F360" s="1"/>
      <c r="G360" s="1"/>
      <c r="H360" s="2">
        <v>32</v>
      </c>
    </row>
    <row r="361" spans="1:8" ht="39" thickBot="1" x14ac:dyDescent="0.3">
      <c r="A361" s="40" t="s">
        <v>8</v>
      </c>
      <c r="B361" s="41" t="s">
        <v>9</v>
      </c>
      <c r="C361" s="41" t="s">
        <v>10</v>
      </c>
      <c r="D361" s="41" t="s">
        <v>11</v>
      </c>
      <c r="E361" s="41" t="s">
        <v>12</v>
      </c>
      <c r="F361" s="41" t="s">
        <v>13</v>
      </c>
      <c r="G361" s="41" t="s">
        <v>14</v>
      </c>
      <c r="H361" s="42" t="s">
        <v>15</v>
      </c>
    </row>
    <row r="362" spans="1:8" x14ac:dyDescent="0.25">
      <c r="A362" s="36">
        <v>1</v>
      </c>
      <c r="B362" s="527"/>
      <c r="C362" s="527"/>
      <c r="D362" s="527"/>
      <c r="E362" s="527"/>
      <c r="F362" s="527"/>
      <c r="G362" s="527"/>
      <c r="H362" s="38">
        <f>H359+B362+F362-(C362+D362+G362)-E362</f>
        <v>18</v>
      </c>
    </row>
    <row r="363" spans="1:8" x14ac:dyDescent="0.25">
      <c r="A363" s="26">
        <v>2</v>
      </c>
      <c r="B363" s="268"/>
      <c r="C363" s="268"/>
      <c r="D363" s="268"/>
      <c r="E363" s="268"/>
      <c r="F363" s="268"/>
      <c r="G363" s="268"/>
      <c r="H363" s="2">
        <f>H362+B363+F363-(C363+D363+G363)-E363</f>
        <v>18</v>
      </c>
    </row>
    <row r="364" spans="1:8" x14ac:dyDescent="0.25">
      <c r="A364" s="26">
        <v>3</v>
      </c>
      <c r="B364" s="268"/>
      <c r="C364" s="268"/>
      <c r="D364" s="268"/>
      <c r="E364" s="268"/>
      <c r="F364" s="268"/>
      <c r="G364" s="268"/>
      <c r="H364" s="2">
        <f>H363+B364+F364-(C364+D364+G364)-E364</f>
        <v>18</v>
      </c>
    </row>
    <row r="365" spans="1:8" x14ac:dyDescent="0.25">
      <c r="A365" s="26">
        <v>4</v>
      </c>
      <c r="B365" s="268"/>
      <c r="C365" s="268"/>
      <c r="D365" s="268"/>
      <c r="E365" s="268"/>
      <c r="F365" s="268"/>
      <c r="G365" s="268"/>
      <c r="H365" s="2">
        <f t="shared" ref="H365:H392" si="18">H364+B365+F365-(C365+D365+G365)-E365</f>
        <v>18</v>
      </c>
    </row>
    <row r="366" spans="1:8" x14ac:dyDescent="0.25">
      <c r="A366" s="26">
        <v>5</v>
      </c>
      <c r="B366" s="268"/>
      <c r="C366" s="268"/>
      <c r="D366" s="268"/>
      <c r="E366" s="268"/>
      <c r="F366" s="268"/>
      <c r="G366" s="268"/>
      <c r="H366" s="2">
        <f t="shared" si="18"/>
        <v>18</v>
      </c>
    </row>
    <row r="367" spans="1:8" x14ac:dyDescent="0.25">
      <c r="A367" s="26">
        <v>6</v>
      </c>
      <c r="B367" s="268"/>
      <c r="C367" s="268"/>
      <c r="D367" s="268"/>
      <c r="E367" s="268"/>
      <c r="F367" s="268"/>
      <c r="G367" s="268"/>
      <c r="H367" s="2">
        <f t="shared" si="18"/>
        <v>18</v>
      </c>
    </row>
    <row r="368" spans="1:8" x14ac:dyDescent="0.25">
      <c r="A368" s="26">
        <v>7</v>
      </c>
      <c r="B368" s="268"/>
      <c r="C368" s="268"/>
      <c r="D368" s="268"/>
      <c r="E368" s="268"/>
      <c r="F368" s="268"/>
      <c r="G368" s="268"/>
      <c r="H368" s="2">
        <f t="shared" si="18"/>
        <v>18</v>
      </c>
    </row>
    <row r="369" spans="1:8" x14ac:dyDescent="0.25">
      <c r="A369" s="26">
        <v>8</v>
      </c>
      <c r="B369" s="268"/>
      <c r="C369" s="268"/>
      <c r="D369" s="268"/>
      <c r="E369" s="268"/>
      <c r="F369" s="268"/>
      <c r="G369" s="268"/>
      <c r="H369" s="2">
        <f t="shared" si="18"/>
        <v>18</v>
      </c>
    </row>
    <row r="370" spans="1:8" x14ac:dyDescent="0.25">
      <c r="A370" s="26">
        <v>9</v>
      </c>
      <c r="B370" s="268"/>
      <c r="C370" s="268"/>
      <c r="D370" s="268"/>
      <c r="E370" s="268"/>
      <c r="F370" s="268"/>
      <c r="G370" s="268"/>
      <c r="H370" s="2">
        <f t="shared" si="18"/>
        <v>18</v>
      </c>
    </row>
    <row r="371" spans="1:8" x14ac:dyDescent="0.25">
      <c r="A371" s="26">
        <v>10</v>
      </c>
      <c r="B371" s="268"/>
      <c r="C371" s="268"/>
      <c r="D371" s="268"/>
      <c r="E371" s="268"/>
      <c r="F371" s="268"/>
      <c r="G371" s="268"/>
      <c r="H371" s="2">
        <f t="shared" si="18"/>
        <v>18</v>
      </c>
    </row>
    <row r="372" spans="1:8" x14ac:dyDescent="0.25">
      <c r="A372" s="26">
        <v>11</v>
      </c>
      <c r="B372" s="268"/>
      <c r="C372" s="268"/>
      <c r="D372" s="268"/>
      <c r="E372" s="268"/>
      <c r="F372" s="268"/>
      <c r="G372" s="268"/>
      <c r="H372" s="2">
        <f t="shared" si="18"/>
        <v>18</v>
      </c>
    </row>
    <row r="373" spans="1:8" x14ac:dyDescent="0.25">
      <c r="A373" s="26">
        <v>12</v>
      </c>
      <c r="B373" s="268"/>
      <c r="C373" s="268"/>
      <c r="D373" s="268"/>
      <c r="E373" s="268"/>
      <c r="F373" s="268"/>
      <c r="G373" s="268"/>
      <c r="H373" s="2">
        <f t="shared" si="18"/>
        <v>18</v>
      </c>
    </row>
    <row r="374" spans="1:8" x14ac:dyDescent="0.25">
      <c r="A374" s="26">
        <v>13</v>
      </c>
      <c r="B374" s="268"/>
      <c r="C374" s="268"/>
      <c r="D374" s="268"/>
      <c r="E374" s="268"/>
      <c r="F374" s="268"/>
      <c r="G374" s="268"/>
      <c r="H374" s="2">
        <f t="shared" si="18"/>
        <v>18</v>
      </c>
    </row>
    <row r="375" spans="1:8" x14ac:dyDescent="0.25">
      <c r="A375" s="26">
        <v>14</v>
      </c>
      <c r="B375" s="268"/>
      <c r="C375" s="268"/>
      <c r="D375" s="268"/>
      <c r="E375" s="268"/>
      <c r="F375" s="268"/>
      <c r="G375" s="268"/>
      <c r="H375" s="2">
        <f t="shared" si="18"/>
        <v>18</v>
      </c>
    </row>
    <row r="376" spans="1:8" x14ac:dyDescent="0.25">
      <c r="A376" s="26">
        <v>15</v>
      </c>
      <c r="B376" s="268"/>
      <c r="C376" s="268"/>
      <c r="D376" s="268"/>
      <c r="E376" s="268"/>
      <c r="F376" s="268"/>
      <c r="G376" s="268"/>
      <c r="H376" s="2">
        <f t="shared" si="18"/>
        <v>18</v>
      </c>
    </row>
    <row r="377" spans="1:8" x14ac:dyDescent="0.25">
      <c r="A377" s="26">
        <v>16</v>
      </c>
      <c r="B377" s="268"/>
      <c r="C377" s="268"/>
      <c r="D377" s="268"/>
      <c r="E377" s="268"/>
      <c r="F377" s="268"/>
      <c r="G377" s="268"/>
      <c r="H377" s="2">
        <f t="shared" si="18"/>
        <v>18</v>
      </c>
    </row>
    <row r="378" spans="1:8" x14ac:dyDescent="0.25">
      <c r="A378" s="26">
        <v>17</v>
      </c>
      <c r="B378" s="268"/>
      <c r="C378" s="268"/>
      <c r="D378" s="268"/>
      <c r="E378" s="268"/>
      <c r="F378" s="268"/>
      <c r="G378" s="268"/>
      <c r="H378" s="2">
        <f t="shared" si="18"/>
        <v>18</v>
      </c>
    </row>
    <row r="379" spans="1:8" x14ac:dyDescent="0.25">
      <c r="A379" s="26">
        <v>18</v>
      </c>
      <c r="B379" s="268"/>
      <c r="C379" s="268"/>
      <c r="D379" s="268"/>
      <c r="E379" s="268"/>
      <c r="F379" s="268"/>
      <c r="G379" s="268"/>
      <c r="H379" s="2">
        <f t="shared" si="18"/>
        <v>18</v>
      </c>
    </row>
    <row r="380" spans="1:8" x14ac:dyDescent="0.25">
      <c r="A380" s="26">
        <v>19</v>
      </c>
      <c r="B380" s="268"/>
      <c r="C380" s="268"/>
      <c r="D380" s="268"/>
      <c r="E380" s="268"/>
      <c r="F380" s="268"/>
      <c r="G380" s="268"/>
      <c r="H380" s="2">
        <f t="shared" si="18"/>
        <v>18</v>
      </c>
    </row>
    <row r="381" spans="1:8" x14ac:dyDescent="0.25">
      <c r="A381" s="26">
        <v>20</v>
      </c>
      <c r="B381" s="268"/>
      <c r="C381" s="268"/>
      <c r="D381" s="268"/>
      <c r="E381" s="268"/>
      <c r="F381" s="268"/>
      <c r="G381" s="268"/>
      <c r="H381" s="2">
        <f t="shared" si="18"/>
        <v>18</v>
      </c>
    </row>
    <row r="382" spans="1:8" x14ac:dyDescent="0.25">
      <c r="A382" s="26">
        <v>21</v>
      </c>
      <c r="B382" s="268"/>
      <c r="C382" s="268"/>
      <c r="D382" s="268"/>
      <c r="E382" s="268"/>
      <c r="F382" s="268"/>
      <c r="G382" s="268"/>
      <c r="H382" s="2">
        <f t="shared" si="18"/>
        <v>18</v>
      </c>
    </row>
    <row r="383" spans="1:8" x14ac:dyDescent="0.25">
      <c r="A383" s="26">
        <v>22</v>
      </c>
      <c r="B383" s="268"/>
      <c r="C383" s="268"/>
      <c r="D383" s="268"/>
      <c r="E383" s="268"/>
      <c r="F383" s="268"/>
      <c r="G383" s="268"/>
      <c r="H383" s="2">
        <f t="shared" si="18"/>
        <v>18</v>
      </c>
    </row>
    <row r="384" spans="1:8" x14ac:dyDescent="0.25">
      <c r="A384" s="26">
        <v>23</v>
      </c>
      <c r="B384" s="268"/>
      <c r="C384" s="268"/>
      <c r="D384" s="268"/>
      <c r="E384" s="268"/>
      <c r="F384" s="268"/>
      <c r="G384" s="268"/>
      <c r="H384" s="2">
        <f t="shared" si="18"/>
        <v>18</v>
      </c>
    </row>
    <row r="385" spans="1:8" x14ac:dyDescent="0.25">
      <c r="A385" s="26">
        <v>24</v>
      </c>
      <c r="B385" s="268"/>
      <c r="C385" s="268"/>
      <c r="D385" s="268"/>
      <c r="E385" s="268"/>
      <c r="F385" s="268"/>
      <c r="G385" s="268"/>
      <c r="H385" s="2">
        <f t="shared" si="18"/>
        <v>18</v>
      </c>
    </row>
    <row r="386" spans="1:8" x14ac:dyDescent="0.25">
      <c r="A386" s="26">
        <v>25</v>
      </c>
      <c r="B386" s="268"/>
      <c r="C386" s="268"/>
      <c r="D386" s="268"/>
      <c r="E386" s="268"/>
      <c r="F386" s="268"/>
      <c r="G386" s="268"/>
      <c r="H386" s="2">
        <f t="shared" si="18"/>
        <v>18</v>
      </c>
    </row>
    <row r="387" spans="1:8" x14ac:dyDescent="0.25">
      <c r="A387" s="26">
        <v>26</v>
      </c>
      <c r="B387" s="268"/>
      <c r="C387" s="268"/>
      <c r="D387" s="268"/>
      <c r="E387" s="268"/>
      <c r="F387" s="268"/>
      <c r="G387" s="268"/>
      <c r="H387" s="2">
        <f t="shared" si="18"/>
        <v>18</v>
      </c>
    </row>
    <row r="388" spans="1:8" x14ac:dyDescent="0.25">
      <c r="A388" s="26">
        <v>27</v>
      </c>
      <c r="B388" s="268"/>
      <c r="C388" s="268"/>
      <c r="D388" s="268"/>
      <c r="E388" s="268"/>
      <c r="F388" s="268"/>
      <c r="G388" s="268"/>
      <c r="H388" s="2">
        <f t="shared" si="18"/>
        <v>18</v>
      </c>
    </row>
    <row r="389" spans="1:8" x14ac:dyDescent="0.25">
      <c r="A389" s="26">
        <v>28</v>
      </c>
      <c r="B389" s="268"/>
      <c r="C389" s="268"/>
      <c r="D389" s="268"/>
      <c r="E389" s="268"/>
      <c r="F389" s="268"/>
      <c r="G389" s="268"/>
      <c r="H389" s="2">
        <f t="shared" si="18"/>
        <v>18</v>
      </c>
    </row>
    <row r="390" spans="1:8" x14ac:dyDescent="0.25">
      <c r="A390" s="26">
        <v>29</v>
      </c>
      <c r="B390" s="268"/>
      <c r="C390" s="268"/>
      <c r="D390" s="268"/>
      <c r="E390" s="268"/>
      <c r="F390" s="268"/>
      <c r="G390" s="268"/>
      <c r="H390" s="2">
        <f t="shared" si="18"/>
        <v>18</v>
      </c>
    </row>
    <row r="391" spans="1:8" x14ac:dyDescent="0.25">
      <c r="A391" s="26">
        <v>30</v>
      </c>
      <c r="B391" s="268"/>
      <c r="C391" s="268"/>
      <c r="D391" s="268"/>
      <c r="E391" s="268"/>
      <c r="F391" s="268"/>
      <c r="G391" s="268"/>
      <c r="H391" s="2">
        <f t="shared" si="18"/>
        <v>18</v>
      </c>
    </row>
    <row r="392" spans="1:8" ht="15.75" thickBot="1" x14ac:dyDescent="0.3">
      <c r="A392" s="64">
        <v>31</v>
      </c>
      <c r="B392" s="528"/>
      <c r="C392" s="528"/>
      <c r="D392" s="528"/>
      <c r="E392" s="528"/>
      <c r="F392" s="528"/>
      <c r="G392" s="528"/>
      <c r="H392" s="2">
        <f t="shared" si="18"/>
        <v>18</v>
      </c>
    </row>
    <row r="393" spans="1:8" ht="15.75" thickBot="1" x14ac:dyDescent="0.3">
      <c r="A393" s="60" t="s">
        <v>35</v>
      </c>
      <c r="B393" s="58">
        <f>SUM(B362:B392)-E393</f>
        <v>0</v>
      </c>
      <c r="C393" s="58">
        <f t="shared" ref="C393:H393" si="19">SUM(C362:C392)</f>
        <v>0</v>
      </c>
      <c r="D393" s="58">
        <f t="shared" si="19"/>
        <v>0</v>
      </c>
      <c r="E393" s="58">
        <f t="shared" si="19"/>
        <v>0</v>
      </c>
      <c r="F393" s="58">
        <f t="shared" si="19"/>
        <v>0</v>
      </c>
      <c r="G393" s="58">
        <f t="shared" si="19"/>
        <v>0</v>
      </c>
      <c r="H393" s="59">
        <f t="shared" si="19"/>
        <v>558</v>
      </c>
    </row>
    <row r="396" spans="1:8" ht="36" x14ac:dyDescent="0.55000000000000004">
      <c r="A396" s="605" t="s">
        <v>1</v>
      </c>
      <c r="B396" s="605"/>
      <c r="C396" s="605"/>
      <c r="D396" s="605"/>
      <c r="E396" s="605"/>
      <c r="F396" s="605"/>
      <c r="G396" s="605"/>
      <c r="H396" s="605"/>
    </row>
    <row r="397" spans="1:8" ht="27" thickBot="1" x14ac:dyDescent="0.45">
      <c r="A397" s="606" t="s">
        <v>0</v>
      </c>
      <c r="B397" s="606"/>
      <c r="C397" s="606"/>
      <c r="D397" s="606"/>
      <c r="E397" s="606"/>
      <c r="F397" s="606"/>
      <c r="G397" s="606"/>
      <c r="H397" s="606"/>
    </row>
    <row r="398" spans="1:8" ht="15.75" x14ac:dyDescent="0.25">
      <c r="A398" s="39" t="s">
        <v>2</v>
      </c>
      <c r="B398" s="19" t="s">
        <v>3</v>
      </c>
      <c r="C398" s="20"/>
      <c r="D398" s="21" t="s">
        <v>52</v>
      </c>
      <c r="E398" s="607" t="s">
        <v>5</v>
      </c>
      <c r="F398" s="608"/>
      <c r="G398" s="19" t="s">
        <v>16</v>
      </c>
      <c r="H398" s="170" t="s">
        <v>66</v>
      </c>
    </row>
    <row r="399" spans="1:8" ht="15.75" x14ac:dyDescent="0.25">
      <c r="A399" s="609" t="s">
        <v>6</v>
      </c>
      <c r="B399" s="610"/>
      <c r="C399" s="610"/>
      <c r="D399" s="610"/>
      <c r="E399" s="610"/>
      <c r="F399" s="611"/>
      <c r="G399" s="1"/>
      <c r="H399" s="2">
        <f>H392</f>
        <v>18</v>
      </c>
    </row>
    <row r="400" spans="1:8" ht="15.75" x14ac:dyDescent="0.25">
      <c r="A400" s="3" t="s">
        <v>7</v>
      </c>
      <c r="B400" s="1"/>
      <c r="C400" s="1"/>
      <c r="D400" s="1"/>
      <c r="E400" s="1"/>
      <c r="F400" s="1"/>
      <c r="G400" s="1"/>
      <c r="H400" s="2">
        <v>32</v>
      </c>
    </row>
    <row r="401" spans="1:8" ht="39" thickBot="1" x14ac:dyDescent="0.3">
      <c r="A401" s="40" t="s">
        <v>8</v>
      </c>
      <c r="B401" s="41" t="s">
        <v>9</v>
      </c>
      <c r="C401" s="41" t="s">
        <v>10</v>
      </c>
      <c r="D401" s="41" t="s">
        <v>11</v>
      </c>
      <c r="E401" s="41" t="s">
        <v>12</v>
      </c>
      <c r="F401" s="41" t="s">
        <v>13</v>
      </c>
      <c r="G401" s="41" t="s">
        <v>14</v>
      </c>
      <c r="H401" s="42" t="s">
        <v>15</v>
      </c>
    </row>
    <row r="402" spans="1:8" x14ac:dyDescent="0.25">
      <c r="A402" s="36">
        <v>1</v>
      </c>
      <c r="B402" s="527"/>
      <c r="C402" s="527"/>
      <c r="D402" s="527"/>
      <c r="E402" s="527"/>
      <c r="F402" s="527"/>
      <c r="G402" s="527"/>
      <c r="H402" s="38">
        <f>H399+B402+F402-(C402+D402+G402)-E402</f>
        <v>18</v>
      </c>
    </row>
    <row r="403" spans="1:8" x14ac:dyDescent="0.25">
      <c r="A403" s="26">
        <v>2</v>
      </c>
      <c r="B403" s="268"/>
      <c r="C403" s="268"/>
      <c r="D403" s="268"/>
      <c r="E403" s="268"/>
      <c r="F403" s="268"/>
      <c r="G403" s="268"/>
      <c r="H403" s="2">
        <f>H402+B403+F403-(C403+D403+G403)-E403</f>
        <v>18</v>
      </c>
    </row>
    <row r="404" spans="1:8" x14ac:dyDescent="0.25">
      <c r="A404" s="26">
        <v>3</v>
      </c>
      <c r="B404" s="268"/>
      <c r="C404" s="268"/>
      <c r="D404" s="268"/>
      <c r="E404" s="268"/>
      <c r="F404" s="268"/>
      <c r="G404" s="268"/>
      <c r="H404" s="2">
        <f>H403+B404+F404-(C404+D404+G404)-E404</f>
        <v>18</v>
      </c>
    </row>
    <row r="405" spans="1:8" x14ac:dyDescent="0.25">
      <c r="A405" s="26">
        <v>4</v>
      </c>
      <c r="B405" s="268"/>
      <c r="C405" s="268"/>
      <c r="D405" s="268"/>
      <c r="E405" s="268"/>
      <c r="F405" s="268"/>
      <c r="G405" s="268"/>
      <c r="H405" s="2">
        <f t="shared" ref="H405:H431" si="20">H404+B405+F405-(C405+D405+G405)-E405</f>
        <v>18</v>
      </c>
    </row>
    <row r="406" spans="1:8" x14ac:dyDescent="0.25">
      <c r="A406" s="26">
        <v>5</v>
      </c>
      <c r="B406" s="268"/>
      <c r="C406" s="268"/>
      <c r="D406" s="268"/>
      <c r="E406" s="268"/>
      <c r="F406" s="268"/>
      <c r="G406" s="268"/>
      <c r="H406" s="2">
        <f t="shared" si="20"/>
        <v>18</v>
      </c>
    </row>
    <row r="407" spans="1:8" x14ac:dyDescent="0.25">
      <c r="A407" s="26">
        <v>6</v>
      </c>
      <c r="B407" s="268"/>
      <c r="C407" s="268"/>
      <c r="D407" s="268"/>
      <c r="E407" s="268"/>
      <c r="F407" s="268"/>
      <c r="G407" s="268"/>
      <c r="H407" s="2">
        <f t="shared" si="20"/>
        <v>18</v>
      </c>
    </row>
    <row r="408" spans="1:8" x14ac:dyDescent="0.25">
      <c r="A408" s="26">
        <v>7</v>
      </c>
      <c r="B408" s="268"/>
      <c r="C408" s="268"/>
      <c r="D408" s="268"/>
      <c r="E408" s="268"/>
      <c r="F408" s="268"/>
      <c r="G408" s="268"/>
      <c r="H408" s="2">
        <f t="shared" si="20"/>
        <v>18</v>
      </c>
    </row>
    <row r="409" spans="1:8" x14ac:dyDescent="0.25">
      <c r="A409" s="26">
        <v>8</v>
      </c>
      <c r="B409" s="268"/>
      <c r="C409" s="268"/>
      <c r="D409" s="268"/>
      <c r="E409" s="268"/>
      <c r="F409" s="268"/>
      <c r="G409" s="268"/>
      <c r="H409" s="2">
        <f t="shared" si="20"/>
        <v>18</v>
      </c>
    </row>
    <row r="410" spans="1:8" x14ac:dyDescent="0.25">
      <c r="A410" s="26">
        <v>9</v>
      </c>
      <c r="B410" s="268"/>
      <c r="C410" s="268"/>
      <c r="D410" s="268"/>
      <c r="E410" s="268"/>
      <c r="F410" s="268"/>
      <c r="G410" s="268"/>
      <c r="H410" s="2">
        <f t="shared" si="20"/>
        <v>18</v>
      </c>
    </row>
    <row r="411" spans="1:8" x14ac:dyDescent="0.25">
      <c r="A411" s="26">
        <v>10</v>
      </c>
      <c r="B411" s="268"/>
      <c r="C411" s="268"/>
      <c r="D411" s="268"/>
      <c r="E411" s="268"/>
      <c r="F411" s="268"/>
      <c r="G411" s="268"/>
      <c r="H411" s="2">
        <f t="shared" si="20"/>
        <v>18</v>
      </c>
    </row>
    <row r="412" spans="1:8" x14ac:dyDescent="0.25">
      <c r="A412" s="26">
        <v>11</v>
      </c>
      <c r="B412" s="268"/>
      <c r="C412" s="268"/>
      <c r="D412" s="268"/>
      <c r="E412" s="268"/>
      <c r="F412" s="268"/>
      <c r="G412" s="268"/>
      <c r="H412" s="2">
        <f t="shared" si="20"/>
        <v>18</v>
      </c>
    </row>
    <row r="413" spans="1:8" x14ac:dyDescent="0.25">
      <c r="A413" s="26">
        <v>12</v>
      </c>
      <c r="B413" s="268"/>
      <c r="C413" s="268"/>
      <c r="D413" s="268"/>
      <c r="E413" s="268"/>
      <c r="F413" s="268"/>
      <c r="G413" s="268"/>
      <c r="H413" s="2">
        <f t="shared" si="20"/>
        <v>18</v>
      </c>
    </row>
    <row r="414" spans="1:8" x14ac:dyDescent="0.25">
      <c r="A414" s="26">
        <v>13</v>
      </c>
      <c r="B414" s="268"/>
      <c r="C414" s="268"/>
      <c r="D414" s="268"/>
      <c r="E414" s="268"/>
      <c r="F414" s="268"/>
      <c r="G414" s="268"/>
      <c r="H414" s="2">
        <f t="shared" si="20"/>
        <v>18</v>
      </c>
    </row>
    <row r="415" spans="1:8" x14ac:dyDescent="0.25">
      <c r="A415" s="26">
        <v>14</v>
      </c>
      <c r="B415" s="268"/>
      <c r="C415" s="268"/>
      <c r="D415" s="268"/>
      <c r="E415" s="268"/>
      <c r="F415" s="268"/>
      <c r="G415" s="268"/>
      <c r="H415" s="2">
        <f t="shared" si="20"/>
        <v>18</v>
      </c>
    </row>
    <row r="416" spans="1:8" x14ac:dyDescent="0.25">
      <c r="A416" s="26">
        <v>15</v>
      </c>
      <c r="B416" s="268"/>
      <c r="C416" s="268"/>
      <c r="D416" s="268"/>
      <c r="E416" s="268"/>
      <c r="F416" s="268"/>
      <c r="G416" s="268"/>
      <c r="H416" s="2">
        <f t="shared" si="20"/>
        <v>18</v>
      </c>
    </row>
    <row r="417" spans="1:8" x14ac:dyDescent="0.25">
      <c r="A417" s="26">
        <v>16</v>
      </c>
      <c r="B417" s="268"/>
      <c r="C417" s="268"/>
      <c r="D417" s="268"/>
      <c r="E417" s="268"/>
      <c r="F417" s="268"/>
      <c r="G417" s="268"/>
      <c r="H417" s="2">
        <f t="shared" si="20"/>
        <v>18</v>
      </c>
    </row>
    <row r="418" spans="1:8" x14ac:dyDescent="0.25">
      <c r="A418" s="26">
        <v>17</v>
      </c>
      <c r="B418" s="268"/>
      <c r="C418" s="268"/>
      <c r="D418" s="268"/>
      <c r="E418" s="268"/>
      <c r="F418" s="268"/>
      <c r="G418" s="268"/>
      <c r="H418" s="2">
        <f t="shared" si="20"/>
        <v>18</v>
      </c>
    </row>
    <row r="419" spans="1:8" x14ac:dyDescent="0.25">
      <c r="A419" s="26">
        <v>18</v>
      </c>
      <c r="B419" s="268"/>
      <c r="C419" s="268"/>
      <c r="D419" s="268"/>
      <c r="E419" s="268"/>
      <c r="F419" s="268"/>
      <c r="G419" s="268"/>
      <c r="H419" s="2">
        <f t="shared" si="20"/>
        <v>18</v>
      </c>
    </row>
    <row r="420" spans="1:8" x14ac:dyDescent="0.25">
      <c r="A420" s="26">
        <v>19</v>
      </c>
      <c r="B420" s="268"/>
      <c r="C420" s="268"/>
      <c r="D420" s="268"/>
      <c r="E420" s="268"/>
      <c r="F420" s="268"/>
      <c r="G420" s="268"/>
      <c r="H420" s="2">
        <f t="shared" si="20"/>
        <v>18</v>
      </c>
    </row>
    <row r="421" spans="1:8" x14ac:dyDescent="0.25">
      <c r="A421" s="26">
        <v>20</v>
      </c>
      <c r="B421" s="268"/>
      <c r="C421" s="268"/>
      <c r="D421" s="268"/>
      <c r="E421" s="268"/>
      <c r="F421" s="268"/>
      <c r="G421" s="268"/>
      <c r="H421" s="2">
        <f t="shared" si="20"/>
        <v>18</v>
      </c>
    </row>
    <row r="422" spans="1:8" x14ac:dyDescent="0.25">
      <c r="A422" s="26">
        <v>21</v>
      </c>
      <c r="B422" s="268"/>
      <c r="C422" s="268"/>
      <c r="D422" s="268"/>
      <c r="E422" s="268"/>
      <c r="F422" s="268"/>
      <c r="G422" s="268"/>
      <c r="H422" s="2">
        <f t="shared" si="20"/>
        <v>18</v>
      </c>
    </row>
    <row r="423" spans="1:8" x14ac:dyDescent="0.25">
      <c r="A423" s="26">
        <v>22</v>
      </c>
      <c r="B423" s="268"/>
      <c r="C423" s="268"/>
      <c r="D423" s="268"/>
      <c r="E423" s="268"/>
      <c r="F423" s="268"/>
      <c r="G423" s="268"/>
      <c r="H423" s="2">
        <f t="shared" si="20"/>
        <v>18</v>
      </c>
    </row>
    <row r="424" spans="1:8" x14ac:dyDescent="0.25">
      <c r="A424" s="26">
        <v>23</v>
      </c>
      <c r="B424" s="268"/>
      <c r="C424" s="268"/>
      <c r="D424" s="268"/>
      <c r="E424" s="268"/>
      <c r="F424" s="268"/>
      <c r="G424" s="268"/>
      <c r="H424" s="2">
        <f t="shared" si="20"/>
        <v>18</v>
      </c>
    </row>
    <row r="425" spans="1:8" x14ac:dyDescent="0.25">
      <c r="A425" s="26">
        <v>24</v>
      </c>
      <c r="B425" s="268"/>
      <c r="C425" s="268"/>
      <c r="D425" s="268"/>
      <c r="E425" s="268"/>
      <c r="F425" s="268"/>
      <c r="G425" s="268"/>
      <c r="H425" s="2">
        <f t="shared" si="20"/>
        <v>18</v>
      </c>
    </row>
    <row r="426" spans="1:8" x14ac:dyDescent="0.25">
      <c r="A426" s="26">
        <v>25</v>
      </c>
      <c r="B426" s="268"/>
      <c r="C426" s="268"/>
      <c r="D426" s="268"/>
      <c r="E426" s="268"/>
      <c r="F426" s="268"/>
      <c r="G426" s="268"/>
      <c r="H426" s="2">
        <f t="shared" si="20"/>
        <v>18</v>
      </c>
    </row>
    <row r="427" spans="1:8" x14ac:dyDescent="0.25">
      <c r="A427" s="26">
        <v>26</v>
      </c>
      <c r="B427" s="268"/>
      <c r="C427" s="268"/>
      <c r="D427" s="268"/>
      <c r="E427" s="268"/>
      <c r="F427" s="268"/>
      <c r="G427" s="268"/>
      <c r="H427" s="2">
        <f t="shared" si="20"/>
        <v>18</v>
      </c>
    </row>
    <row r="428" spans="1:8" x14ac:dyDescent="0.25">
      <c r="A428" s="26">
        <v>27</v>
      </c>
      <c r="B428" s="268"/>
      <c r="C428" s="268"/>
      <c r="D428" s="268"/>
      <c r="E428" s="268"/>
      <c r="F428" s="268"/>
      <c r="G428" s="268"/>
      <c r="H428" s="2">
        <f t="shared" si="20"/>
        <v>18</v>
      </c>
    </row>
    <row r="429" spans="1:8" x14ac:dyDescent="0.25">
      <c r="A429" s="26">
        <v>28</v>
      </c>
      <c r="B429" s="268"/>
      <c r="C429" s="268"/>
      <c r="D429" s="268"/>
      <c r="E429" s="268"/>
      <c r="F429" s="268"/>
      <c r="G429" s="268"/>
      <c r="H429" s="2">
        <f t="shared" si="20"/>
        <v>18</v>
      </c>
    </row>
    <row r="430" spans="1:8" x14ac:dyDescent="0.25">
      <c r="A430" s="26">
        <v>29</v>
      </c>
      <c r="B430" s="268"/>
      <c r="C430" s="268"/>
      <c r="D430" s="268"/>
      <c r="E430" s="268"/>
      <c r="F430" s="268"/>
      <c r="G430" s="268"/>
      <c r="H430" s="2">
        <f t="shared" si="20"/>
        <v>18</v>
      </c>
    </row>
    <row r="431" spans="1:8" ht="15.75" thickBot="1" x14ac:dyDescent="0.3">
      <c r="A431" s="26">
        <v>30</v>
      </c>
      <c r="B431" s="268"/>
      <c r="C431" s="268"/>
      <c r="D431" s="268"/>
      <c r="E431" s="268"/>
      <c r="F431" s="268"/>
      <c r="G431" s="268"/>
      <c r="H431" s="2">
        <f t="shared" si="20"/>
        <v>18</v>
      </c>
    </row>
    <row r="432" spans="1:8" ht="15.75" thickBot="1" x14ac:dyDescent="0.3">
      <c r="A432" s="60" t="s">
        <v>35</v>
      </c>
      <c r="B432" s="58">
        <f>SUM(B402:B431)-E432</f>
        <v>0</v>
      </c>
      <c r="C432" s="58">
        <f t="shared" ref="C432:H432" si="21">SUM(C402:C431)</f>
        <v>0</v>
      </c>
      <c r="D432" s="58">
        <f t="shared" si="21"/>
        <v>0</v>
      </c>
      <c r="E432" s="58">
        <f t="shared" si="21"/>
        <v>0</v>
      </c>
      <c r="F432" s="58">
        <f t="shared" si="21"/>
        <v>0</v>
      </c>
      <c r="G432" s="58">
        <f t="shared" si="21"/>
        <v>0</v>
      </c>
      <c r="H432" s="59">
        <f t="shared" si="21"/>
        <v>540</v>
      </c>
    </row>
    <row r="435" spans="1:8" ht="36" x14ac:dyDescent="0.55000000000000004">
      <c r="A435" s="605" t="s">
        <v>1</v>
      </c>
      <c r="B435" s="605"/>
      <c r="C435" s="605"/>
      <c r="D435" s="605"/>
      <c r="E435" s="605"/>
      <c r="F435" s="605"/>
      <c r="G435" s="605"/>
      <c r="H435" s="605"/>
    </row>
    <row r="436" spans="1:8" ht="27" thickBot="1" x14ac:dyDescent="0.45">
      <c r="A436" s="606" t="s">
        <v>0</v>
      </c>
      <c r="B436" s="606"/>
      <c r="C436" s="606"/>
      <c r="D436" s="606"/>
      <c r="E436" s="606"/>
      <c r="F436" s="606"/>
      <c r="G436" s="606"/>
      <c r="H436" s="606"/>
    </row>
    <row r="437" spans="1:8" ht="15.75" x14ac:dyDescent="0.25">
      <c r="A437" s="39" t="s">
        <v>2</v>
      </c>
      <c r="B437" s="19" t="s">
        <v>3</v>
      </c>
      <c r="C437" s="20"/>
      <c r="D437" s="21" t="s">
        <v>52</v>
      </c>
      <c r="E437" s="607" t="s">
        <v>5</v>
      </c>
      <c r="F437" s="608"/>
      <c r="G437" s="19" t="s">
        <v>16</v>
      </c>
      <c r="H437" s="32" t="s">
        <v>67</v>
      </c>
    </row>
    <row r="438" spans="1:8" ht="15.75" x14ac:dyDescent="0.25">
      <c r="A438" s="609" t="s">
        <v>6</v>
      </c>
      <c r="B438" s="610"/>
      <c r="C438" s="610"/>
      <c r="D438" s="610"/>
      <c r="E438" s="610"/>
      <c r="F438" s="611"/>
      <c r="G438" s="1"/>
      <c r="H438" s="2">
        <f>H431</f>
        <v>18</v>
      </c>
    </row>
    <row r="439" spans="1:8" ht="15.75" x14ac:dyDescent="0.25">
      <c r="A439" s="3" t="s">
        <v>7</v>
      </c>
      <c r="B439" s="1"/>
      <c r="C439" s="1"/>
      <c r="D439" s="1"/>
      <c r="E439" s="1"/>
      <c r="F439" s="1"/>
      <c r="G439" s="1"/>
      <c r="H439" s="2">
        <v>32</v>
      </c>
    </row>
    <row r="440" spans="1:8" ht="39" thickBot="1" x14ac:dyDescent="0.3">
      <c r="A440" s="40" t="s">
        <v>8</v>
      </c>
      <c r="B440" s="41" t="s">
        <v>9</v>
      </c>
      <c r="C440" s="41" t="s">
        <v>10</v>
      </c>
      <c r="D440" s="41" t="s">
        <v>11</v>
      </c>
      <c r="E440" s="41" t="s">
        <v>12</v>
      </c>
      <c r="F440" s="41" t="s">
        <v>13</v>
      </c>
      <c r="G440" s="41" t="s">
        <v>14</v>
      </c>
      <c r="H440" s="42" t="s">
        <v>15</v>
      </c>
    </row>
    <row r="441" spans="1:8" x14ac:dyDescent="0.25">
      <c r="A441" s="36">
        <v>1</v>
      </c>
      <c r="B441" s="527"/>
      <c r="C441" s="527"/>
      <c r="D441" s="527"/>
      <c r="E441" s="527"/>
      <c r="F441" s="527"/>
      <c r="G441" s="527"/>
      <c r="H441" s="38">
        <f>H438+B441+F441-(C441+D441+G441)-E441</f>
        <v>18</v>
      </c>
    </row>
    <row r="442" spans="1:8" x14ac:dyDescent="0.25">
      <c r="A442" s="26">
        <v>2</v>
      </c>
      <c r="B442" s="268"/>
      <c r="C442" s="268"/>
      <c r="D442" s="268"/>
      <c r="E442" s="268"/>
      <c r="F442" s="268"/>
      <c r="G442" s="268"/>
      <c r="H442" s="2">
        <f>H441+B442+F442-(C442+D442+G442)-E442</f>
        <v>18</v>
      </c>
    </row>
    <row r="443" spans="1:8" x14ac:dyDescent="0.25">
      <c r="A443" s="26">
        <v>3</v>
      </c>
      <c r="B443" s="268"/>
      <c r="C443" s="268"/>
      <c r="D443" s="268"/>
      <c r="E443" s="268"/>
      <c r="F443" s="268"/>
      <c r="G443" s="268"/>
      <c r="H443" s="2">
        <f>H442+B443+F443-(C443+D443+G443)-E443</f>
        <v>18</v>
      </c>
    </row>
    <row r="444" spans="1:8" x14ac:dyDescent="0.25">
      <c r="A444" s="26">
        <v>4</v>
      </c>
      <c r="B444" s="268"/>
      <c r="C444" s="268"/>
      <c r="D444" s="268"/>
      <c r="E444" s="268"/>
      <c r="F444" s="268"/>
      <c r="G444" s="268"/>
      <c r="H444" s="2">
        <f t="shared" ref="H444:H471" si="22">H443+B444+F444-(C444+D444+G444)-E444</f>
        <v>18</v>
      </c>
    </row>
    <row r="445" spans="1:8" x14ac:dyDescent="0.25">
      <c r="A445" s="26">
        <v>5</v>
      </c>
      <c r="B445" s="268"/>
      <c r="C445" s="268"/>
      <c r="D445" s="268"/>
      <c r="E445" s="268"/>
      <c r="F445" s="268"/>
      <c r="G445" s="268"/>
      <c r="H445" s="2">
        <f t="shared" si="22"/>
        <v>18</v>
      </c>
    </row>
    <row r="446" spans="1:8" x14ac:dyDescent="0.25">
      <c r="A446" s="26">
        <v>6</v>
      </c>
      <c r="B446" s="268"/>
      <c r="C446" s="268"/>
      <c r="D446" s="268"/>
      <c r="E446" s="268"/>
      <c r="F446" s="268"/>
      <c r="G446" s="268"/>
      <c r="H446" s="2">
        <f t="shared" si="22"/>
        <v>18</v>
      </c>
    </row>
    <row r="447" spans="1:8" x14ac:dyDescent="0.25">
      <c r="A447" s="26">
        <v>7</v>
      </c>
      <c r="B447" s="268"/>
      <c r="C447" s="268"/>
      <c r="D447" s="268"/>
      <c r="E447" s="268"/>
      <c r="F447" s="268"/>
      <c r="G447" s="268"/>
      <c r="H447" s="2">
        <f t="shared" si="22"/>
        <v>18</v>
      </c>
    </row>
    <row r="448" spans="1:8" x14ac:dyDescent="0.25">
      <c r="A448" s="26">
        <v>8</v>
      </c>
      <c r="B448" s="268"/>
      <c r="C448" s="268"/>
      <c r="D448" s="268"/>
      <c r="E448" s="268"/>
      <c r="F448" s="268"/>
      <c r="G448" s="268"/>
      <c r="H448" s="2">
        <f t="shared" si="22"/>
        <v>18</v>
      </c>
    </row>
    <row r="449" spans="1:8" x14ac:dyDescent="0.25">
      <c r="A449" s="26">
        <v>9</v>
      </c>
      <c r="B449" s="268"/>
      <c r="C449" s="268"/>
      <c r="D449" s="268"/>
      <c r="E449" s="268"/>
      <c r="F449" s="268"/>
      <c r="G449" s="268"/>
      <c r="H449" s="2">
        <f t="shared" si="22"/>
        <v>18</v>
      </c>
    </row>
    <row r="450" spans="1:8" x14ac:dyDescent="0.25">
      <c r="A450" s="26">
        <v>10</v>
      </c>
      <c r="B450" s="268"/>
      <c r="C450" s="268"/>
      <c r="D450" s="268"/>
      <c r="E450" s="268"/>
      <c r="F450" s="268"/>
      <c r="G450" s="268"/>
      <c r="H450" s="2">
        <f t="shared" si="22"/>
        <v>18</v>
      </c>
    </row>
    <row r="451" spans="1:8" x14ac:dyDescent="0.25">
      <c r="A451" s="26">
        <v>11</v>
      </c>
      <c r="B451" s="268"/>
      <c r="C451" s="268"/>
      <c r="D451" s="268"/>
      <c r="E451" s="268"/>
      <c r="F451" s="268"/>
      <c r="G451" s="268"/>
      <c r="H451" s="2">
        <f t="shared" si="22"/>
        <v>18</v>
      </c>
    </row>
    <row r="452" spans="1:8" x14ac:dyDescent="0.25">
      <c r="A452" s="26">
        <v>12</v>
      </c>
      <c r="B452" s="268"/>
      <c r="C452" s="268"/>
      <c r="D452" s="268"/>
      <c r="E452" s="268"/>
      <c r="F452" s="268"/>
      <c r="G452" s="268"/>
      <c r="H452" s="2">
        <f t="shared" si="22"/>
        <v>18</v>
      </c>
    </row>
    <row r="453" spans="1:8" x14ac:dyDescent="0.25">
      <c r="A453" s="26">
        <v>13</v>
      </c>
      <c r="B453" s="268"/>
      <c r="C453" s="268"/>
      <c r="D453" s="268"/>
      <c r="E453" s="268"/>
      <c r="F453" s="268"/>
      <c r="G453" s="268"/>
      <c r="H453" s="2">
        <f t="shared" si="22"/>
        <v>18</v>
      </c>
    </row>
    <row r="454" spans="1:8" x14ac:dyDescent="0.25">
      <c r="A454" s="26">
        <v>14</v>
      </c>
      <c r="B454" s="268"/>
      <c r="C454" s="268"/>
      <c r="D454" s="268"/>
      <c r="E454" s="268"/>
      <c r="F454" s="268"/>
      <c r="G454" s="268"/>
      <c r="H454" s="2">
        <f t="shared" si="22"/>
        <v>18</v>
      </c>
    </row>
    <row r="455" spans="1:8" x14ac:dyDescent="0.25">
      <c r="A455" s="26">
        <v>15</v>
      </c>
      <c r="B455" s="268"/>
      <c r="C455" s="268"/>
      <c r="D455" s="268"/>
      <c r="E455" s="268"/>
      <c r="F455" s="268"/>
      <c r="G455" s="268"/>
      <c r="H455" s="2">
        <f t="shared" si="22"/>
        <v>18</v>
      </c>
    </row>
    <row r="456" spans="1:8" x14ac:dyDescent="0.25">
      <c r="A456" s="26">
        <v>16</v>
      </c>
      <c r="B456" s="268"/>
      <c r="C456" s="268"/>
      <c r="D456" s="268"/>
      <c r="E456" s="268"/>
      <c r="F456" s="268"/>
      <c r="G456" s="268"/>
      <c r="H456" s="2">
        <f t="shared" si="22"/>
        <v>18</v>
      </c>
    </row>
    <row r="457" spans="1:8" x14ac:dyDescent="0.25">
      <c r="A457" s="26">
        <v>17</v>
      </c>
      <c r="B457" s="268"/>
      <c r="C457" s="268"/>
      <c r="D457" s="268"/>
      <c r="E457" s="268"/>
      <c r="F457" s="268"/>
      <c r="G457" s="268"/>
      <c r="H457" s="2">
        <f t="shared" si="22"/>
        <v>18</v>
      </c>
    </row>
    <row r="458" spans="1:8" x14ac:dyDescent="0.25">
      <c r="A458" s="26">
        <v>18</v>
      </c>
      <c r="B458" s="268"/>
      <c r="C458" s="268"/>
      <c r="D458" s="268"/>
      <c r="E458" s="268"/>
      <c r="F458" s="268"/>
      <c r="G458" s="268"/>
      <c r="H458" s="2">
        <f t="shared" si="22"/>
        <v>18</v>
      </c>
    </row>
    <row r="459" spans="1:8" x14ac:dyDescent="0.25">
      <c r="A459" s="26">
        <v>19</v>
      </c>
      <c r="B459" s="268"/>
      <c r="C459" s="268"/>
      <c r="D459" s="268"/>
      <c r="E459" s="268"/>
      <c r="F459" s="268"/>
      <c r="G459" s="268"/>
      <c r="H459" s="2">
        <f t="shared" si="22"/>
        <v>18</v>
      </c>
    </row>
    <row r="460" spans="1:8" x14ac:dyDescent="0.25">
      <c r="A460" s="26">
        <v>20</v>
      </c>
      <c r="B460" s="268"/>
      <c r="C460" s="268"/>
      <c r="D460" s="268"/>
      <c r="E460" s="268"/>
      <c r="F460" s="268"/>
      <c r="G460" s="268"/>
      <c r="H460" s="2">
        <f t="shared" si="22"/>
        <v>18</v>
      </c>
    </row>
    <row r="461" spans="1:8" x14ac:dyDescent="0.25">
      <c r="A461" s="26">
        <v>21</v>
      </c>
      <c r="B461" s="268"/>
      <c r="C461" s="268"/>
      <c r="D461" s="268"/>
      <c r="E461" s="268"/>
      <c r="F461" s="268"/>
      <c r="G461" s="268"/>
      <c r="H461" s="2">
        <f t="shared" si="22"/>
        <v>18</v>
      </c>
    </row>
    <row r="462" spans="1:8" x14ac:dyDescent="0.25">
      <c r="A462" s="26">
        <v>22</v>
      </c>
      <c r="B462" s="268"/>
      <c r="C462" s="268"/>
      <c r="D462" s="268"/>
      <c r="E462" s="268"/>
      <c r="F462" s="268"/>
      <c r="G462" s="268"/>
      <c r="H462" s="2">
        <f t="shared" si="22"/>
        <v>18</v>
      </c>
    </row>
    <row r="463" spans="1:8" x14ac:dyDescent="0.25">
      <c r="A463" s="26">
        <v>23</v>
      </c>
      <c r="B463" s="268"/>
      <c r="C463" s="268"/>
      <c r="D463" s="268"/>
      <c r="E463" s="268"/>
      <c r="F463" s="268"/>
      <c r="G463" s="268"/>
      <c r="H463" s="2">
        <f t="shared" si="22"/>
        <v>18</v>
      </c>
    </row>
    <row r="464" spans="1:8" x14ac:dyDescent="0.25">
      <c r="A464" s="26">
        <v>24</v>
      </c>
      <c r="B464" s="268"/>
      <c r="C464" s="268"/>
      <c r="D464" s="268"/>
      <c r="E464" s="268"/>
      <c r="F464" s="268"/>
      <c r="G464" s="268"/>
      <c r="H464" s="2">
        <f t="shared" si="22"/>
        <v>18</v>
      </c>
    </row>
    <row r="465" spans="1:8" x14ac:dyDescent="0.25">
      <c r="A465" s="26">
        <v>25</v>
      </c>
      <c r="B465" s="268"/>
      <c r="C465" s="268"/>
      <c r="D465" s="268"/>
      <c r="E465" s="268"/>
      <c r="F465" s="268"/>
      <c r="G465" s="268"/>
      <c r="H465" s="2">
        <f t="shared" si="22"/>
        <v>18</v>
      </c>
    </row>
    <row r="466" spans="1:8" x14ac:dyDescent="0.25">
      <c r="A466" s="26">
        <v>26</v>
      </c>
      <c r="B466" s="268"/>
      <c r="C466" s="268"/>
      <c r="D466" s="268"/>
      <c r="E466" s="268"/>
      <c r="F466" s="268"/>
      <c r="G466" s="268"/>
      <c r="H466" s="2">
        <f t="shared" si="22"/>
        <v>18</v>
      </c>
    </row>
    <row r="467" spans="1:8" x14ac:dyDescent="0.25">
      <c r="A467" s="26">
        <v>27</v>
      </c>
      <c r="B467" s="268"/>
      <c r="C467" s="268"/>
      <c r="D467" s="268"/>
      <c r="E467" s="268"/>
      <c r="F467" s="268"/>
      <c r="G467" s="268"/>
      <c r="H467" s="2">
        <f t="shared" si="22"/>
        <v>18</v>
      </c>
    </row>
    <row r="468" spans="1:8" x14ac:dyDescent="0.25">
      <c r="A468" s="26">
        <v>28</v>
      </c>
      <c r="B468" s="268"/>
      <c r="C468" s="268"/>
      <c r="D468" s="268"/>
      <c r="E468" s="268"/>
      <c r="F468" s="268"/>
      <c r="G468" s="268"/>
      <c r="H468" s="2">
        <f t="shared" si="22"/>
        <v>18</v>
      </c>
    </row>
    <row r="469" spans="1:8" x14ac:dyDescent="0.25">
      <c r="A469" s="26">
        <v>29</v>
      </c>
      <c r="B469" s="268"/>
      <c r="C469" s="268"/>
      <c r="D469" s="268"/>
      <c r="E469" s="268"/>
      <c r="F469" s="268"/>
      <c r="G469" s="268"/>
      <c r="H469" s="2">
        <f t="shared" si="22"/>
        <v>18</v>
      </c>
    </row>
    <row r="470" spans="1:8" x14ac:dyDescent="0.25">
      <c r="A470" s="26">
        <v>30</v>
      </c>
      <c r="B470" s="268"/>
      <c r="C470" s="268"/>
      <c r="D470" s="268"/>
      <c r="E470" s="268"/>
      <c r="F470" s="268"/>
      <c r="G470" s="268"/>
      <c r="H470" s="2">
        <f t="shared" si="22"/>
        <v>18</v>
      </c>
    </row>
    <row r="471" spans="1:8" ht="15.75" thickBot="1" x14ac:dyDescent="0.3">
      <c r="A471" s="64">
        <v>31</v>
      </c>
      <c r="B471" s="528"/>
      <c r="C471" s="528"/>
      <c r="D471" s="528"/>
      <c r="E471" s="528"/>
      <c r="F471" s="528"/>
      <c r="G471" s="528"/>
      <c r="H471" s="2">
        <f t="shared" si="22"/>
        <v>18</v>
      </c>
    </row>
    <row r="472" spans="1:8" ht="15.75" thickBot="1" x14ac:dyDescent="0.3">
      <c r="A472" s="60" t="s">
        <v>35</v>
      </c>
      <c r="B472" s="58">
        <f>SUM(B441:B471)-E472</f>
        <v>0</v>
      </c>
      <c r="C472" s="58">
        <f t="shared" ref="C472:H472" si="23">SUM(C441:C471)</f>
        <v>0</v>
      </c>
      <c r="D472" s="58">
        <f t="shared" si="23"/>
        <v>0</v>
      </c>
      <c r="E472" s="58">
        <f t="shared" si="23"/>
        <v>0</v>
      </c>
      <c r="F472" s="58">
        <f t="shared" si="23"/>
        <v>0</v>
      </c>
      <c r="G472" s="58">
        <f t="shared" si="23"/>
        <v>0</v>
      </c>
      <c r="H472" s="59">
        <f t="shared" si="23"/>
        <v>558</v>
      </c>
    </row>
  </sheetData>
  <mergeCells count="45">
    <mergeCell ref="A436:H436"/>
    <mergeCell ref="E437:F437"/>
    <mergeCell ref="A438:F438"/>
    <mergeCell ref="A396:H396"/>
    <mergeCell ref="A397:H397"/>
    <mergeCell ref="E398:F398"/>
    <mergeCell ref="A399:F399"/>
    <mergeCell ref="A435:H435"/>
    <mergeCell ref="A120:H120"/>
    <mergeCell ref="A79:H79"/>
    <mergeCell ref="A80:H80"/>
    <mergeCell ref="A44:F44"/>
    <mergeCell ref="A4:F4"/>
    <mergeCell ref="A82:F82"/>
    <mergeCell ref="A1:H1"/>
    <mergeCell ref="A41:H41"/>
    <mergeCell ref="A42:H42"/>
    <mergeCell ref="A119:H119"/>
    <mergeCell ref="A2:H2"/>
    <mergeCell ref="E121:F121"/>
    <mergeCell ref="A158:H158"/>
    <mergeCell ref="A159:H159"/>
    <mergeCell ref="E160:F160"/>
    <mergeCell ref="A161:F161"/>
    <mergeCell ref="A122:G122"/>
    <mergeCell ref="A356:H356"/>
    <mergeCell ref="A357:H357"/>
    <mergeCell ref="E358:F358"/>
    <mergeCell ref="A359:F359"/>
    <mergeCell ref="A237:H237"/>
    <mergeCell ref="A238:H238"/>
    <mergeCell ref="E239:F239"/>
    <mergeCell ref="A240:F240"/>
    <mergeCell ref="A318:H318"/>
    <mergeCell ref="E319:F319"/>
    <mergeCell ref="A320:F320"/>
    <mergeCell ref="A277:H277"/>
    <mergeCell ref="A278:H278"/>
    <mergeCell ref="E279:F279"/>
    <mergeCell ref="A280:F280"/>
    <mergeCell ref="A198:H198"/>
    <mergeCell ref="A199:H199"/>
    <mergeCell ref="E200:F200"/>
    <mergeCell ref="A201:F201"/>
    <mergeCell ref="A317:H31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FFFF00"/>
  </sheetPr>
  <dimension ref="A1:J472"/>
  <sheetViews>
    <sheetView topLeftCell="A473" zoomScale="80" zoomScaleNormal="80" workbookViewId="0">
      <selection activeCell="B441" sqref="B441:G471"/>
    </sheetView>
  </sheetViews>
  <sheetFormatPr defaultRowHeight="15" x14ac:dyDescent="0.25"/>
  <cols>
    <col min="1" max="1" width="10" customWidth="1"/>
    <col min="2" max="2" width="12.28515625" customWidth="1"/>
    <col min="3" max="3" width="12.5703125" customWidth="1"/>
    <col min="4" max="4" width="8.140625" customWidth="1"/>
    <col min="5" max="5" width="8.85546875" customWidth="1"/>
    <col min="6" max="6" width="12.140625" customWidth="1"/>
    <col min="7" max="7" width="10.7109375" customWidth="1"/>
    <col min="8" max="8" width="12.5703125" bestFit="1" customWidth="1"/>
  </cols>
  <sheetData>
    <row r="1" spans="1:8" ht="36" x14ac:dyDescent="0.55000000000000004">
      <c r="A1" s="605" t="s">
        <v>1</v>
      </c>
      <c r="B1" s="605"/>
      <c r="C1" s="605"/>
      <c r="D1" s="605"/>
      <c r="E1" s="605"/>
      <c r="F1" s="605"/>
      <c r="G1" s="605"/>
      <c r="H1" s="605"/>
    </row>
    <row r="2" spans="1:8" ht="26.25" x14ac:dyDescent="0.4">
      <c r="A2" s="614" t="s">
        <v>0</v>
      </c>
      <c r="B2" s="614"/>
      <c r="C2" s="614"/>
      <c r="D2" s="614"/>
      <c r="E2" s="614"/>
      <c r="F2" s="614"/>
      <c r="G2" s="614"/>
      <c r="H2" s="614"/>
    </row>
    <row r="3" spans="1:8" ht="15.75" x14ac:dyDescent="0.25">
      <c r="A3" s="4" t="s">
        <v>19</v>
      </c>
      <c r="B3" s="4" t="s">
        <v>3</v>
      </c>
      <c r="C3" s="5"/>
      <c r="D3" s="1" t="s">
        <v>18</v>
      </c>
      <c r="E3" s="612" t="s">
        <v>37</v>
      </c>
      <c r="F3" s="613"/>
      <c r="G3" s="4" t="s">
        <v>16</v>
      </c>
      <c r="H3" s="6" t="s">
        <v>17</v>
      </c>
    </row>
    <row r="4" spans="1:8" ht="15.75" x14ac:dyDescent="0.25">
      <c r="A4" s="609" t="s">
        <v>6</v>
      </c>
      <c r="B4" s="610"/>
      <c r="C4" s="610"/>
      <c r="D4" s="610"/>
      <c r="E4" s="610"/>
      <c r="F4" s="611"/>
      <c r="G4" s="1"/>
      <c r="H4" s="2">
        <v>15</v>
      </c>
    </row>
    <row r="5" spans="1:8" ht="16.5" thickBot="1" x14ac:dyDescent="0.3">
      <c r="A5" s="173" t="s">
        <v>7</v>
      </c>
      <c r="B5" s="174"/>
      <c r="C5" s="174"/>
      <c r="D5" s="174"/>
      <c r="E5" s="174"/>
      <c r="F5" s="174"/>
      <c r="G5" s="174"/>
      <c r="H5" s="57">
        <v>28</v>
      </c>
    </row>
    <row r="6" spans="1:8" ht="51.75" thickBot="1" x14ac:dyDescent="0.3">
      <c r="A6" s="15" t="s">
        <v>8</v>
      </c>
      <c r="B6" s="16" t="s">
        <v>9</v>
      </c>
      <c r="C6" s="16" t="s">
        <v>10</v>
      </c>
      <c r="D6" s="16" t="s">
        <v>11</v>
      </c>
      <c r="E6" s="16" t="s">
        <v>12</v>
      </c>
      <c r="F6" s="16" t="s">
        <v>13</v>
      </c>
      <c r="G6" s="16" t="s">
        <v>14</v>
      </c>
      <c r="H6" s="17" t="s">
        <v>15</v>
      </c>
    </row>
    <row r="7" spans="1:8" x14ac:dyDescent="0.25">
      <c r="A7" s="175">
        <v>1</v>
      </c>
      <c r="B7" s="37"/>
      <c r="C7" s="37"/>
      <c r="D7" s="37"/>
      <c r="E7" s="37"/>
      <c r="F7" s="37"/>
      <c r="G7" s="37"/>
      <c r="H7" s="37">
        <f>H4+B7+F7-(C7+D7+G7)-E7</f>
        <v>15</v>
      </c>
    </row>
    <row r="8" spans="1:8" x14ac:dyDescent="0.25">
      <c r="A8" s="11">
        <v>2</v>
      </c>
      <c r="B8" s="5"/>
      <c r="C8" s="5"/>
      <c r="D8" s="5"/>
      <c r="E8" s="5"/>
      <c r="F8" s="5"/>
      <c r="G8" s="5"/>
      <c r="H8" s="5">
        <f>H7+B8+F8-(C8+D8+G8)-E8</f>
        <v>15</v>
      </c>
    </row>
    <row r="9" spans="1:8" x14ac:dyDescent="0.25">
      <c r="A9" s="11">
        <v>3</v>
      </c>
      <c r="B9" s="5"/>
      <c r="C9" s="5"/>
      <c r="D9" s="5"/>
      <c r="E9" s="5"/>
      <c r="F9" s="5"/>
      <c r="G9" s="5"/>
      <c r="H9" s="5">
        <f t="shared" ref="H9:H37" si="0">H8+B9+F9-(C9+D9+G9)-E9</f>
        <v>15</v>
      </c>
    </row>
    <row r="10" spans="1:8" x14ac:dyDescent="0.25">
      <c r="A10" s="11">
        <v>4</v>
      </c>
      <c r="B10" s="5"/>
      <c r="C10" s="5"/>
      <c r="D10" s="5"/>
      <c r="E10" s="5"/>
      <c r="F10" s="5"/>
      <c r="G10" s="5"/>
      <c r="H10" s="5">
        <f t="shared" si="0"/>
        <v>15</v>
      </c>
    </row>
    <row r="11" spans="1:8" x14ac:dyDescent="0.25">
      <c r="A11" s="11">
        <v>5</v>
      </c>
      <c r="B11" s="5"/>
      <c r="C11" s="5"/>
      <c r="D11" s="5"/>
      <c r="E11" s="5"/>
      <c r="F11" s="5"/>
      <c r="G11" s="5"/>
      <c r="H11" s="5">
        <f t="shared" si="0"/>
        <v>15</v>
      </c>
    </row>
    <row r="12" spans="1:8" x14ac:dyDescent="0.25">
      <c r="A12" s="11">
        <v>6</v>
      </c>
      <c r="B12" s="5"/>
      <c r="C12" s="5"/>
      <c r="D12" s="5"/>
      <c r="E12" s="5"/>
      <c r="F12" s="5"/>
      <c r="G12" s="5"/>
      <c r="H12" s="5">
        <f t="shared" si="0"/>
        <v>15</v>
      </c>
    </row>
    <row r="13" spans="1:8" x14ac:dyDescent="0.25">
      <c r="A13" s="11">
        <v>7</v>
      </c>
      <c r="B13" s="5"/>
      <c r="C13" s="5"/>
      <c r="D13" s="5"/>
      <c r="E13" s="5"/>
      <c r="F13" s="5"/>
      <c r="G13" s="5"/>
      <c r="H13" s="5">
        <f t="shared" si="0"/>
        <v>15</v>
      </c>
    </row>
    <row r="14" spans="1:8" x14ac:dyDescent="0.25">
      <c r="A14" s="11">
        <v>8</v>
      </c>
      <c r="B14" s="5"/>
      <c r="C14" s="5"/>
      <c r="D14" s="5"/>
      <c r="E14" s="5"/>
      <c r="F14" s="5"/>
      <c r="G14" s="5"/>
      <c r="H14" s="5">
        <f t="shared" si="0"/>
        <v>15</v>
      </c>
    </row>
    <row r="15" spans="1:8" x14ac:dyDescent="0.25">
      <c r="A15" s="11">
        <v>9</v>
      </c>
      <c r="B15" s="5"/>
      <c r="C15" s="5"/>
      <c r="D15" s="5"/>
      <c r="E15" s="5"/>
      <c r="F15" s="5"/>
      <c r="G15" s="5"/>
      <c r="H15" s="5">
        <f t="shared" si="0"/>
        <v>15</v>
      </c>
    </row>
    <row r="16" spans="1:8" x14ac:dyDescent="0.25">
      <c r="A16" s="11">
        <v>10</v>
      </c>
      <c r="B16" s="5"/>
      <c r="C16" s="5"/>
      <c r="D16" s="5"/>
      <c r="E16" s="5"/>
      <c r="F16" s="5"/>
      <c r="G16" s="5"/>
      <c r="H16" s="5">
        <f t="shared" si="0"/>
        <v>15</v>
      </c>
    </row>
    <row r="17" spans="1:8" x14ac:dyDescent="0.25">
      <c r="A17" s="11">
        <v>11</v>
      </c>
      <c r="B17" s="5"/>
      <c r="C17" s="5"/>
      <c r="D17" s="5"/>
      <c r="E17" s="5"/>
      <c r="F17" s="5"/>
      <c r="G17" s="5"/>
      <c r="H17" s="5">
        <f t="shared" si="0"/>
        <v>15</v>
      </c>
    </row>
    <row r="18" spans="1:8" x14ac:dyDescent="0.25">
      <c r="A18" s="11">
        <v>12</v>
      </c>
      <c r="B18" s="5"/>
      <c r="C18" s="5"/>
      <c r="D18" s="5"/>
      <c r="E18" s="5"/>
      <c r="F18" s="5"/>
      <c r="G18" s="5"/>
      <c r="H18" s="5">
        <f t="shared" si="0"/>
        <v>15</v>
      </c>
    </row>
    <row r="19" spans="1:8" x14ac:dyDescent="0.25">
      <c r="A19" s="11">
        <v>13</v>
      </c>
      <c r="B19" s="5"/>
      <c r="C19" s="5"/>
      <c r="D19" s="5"/>
      <c r="E19" s="5"/>
      <c r="F19" s="5"/>
      <c r="G19" s="5"/>
      <c r="H19" s="5">
        <f t="shared" si="0"/>
        <v>15</v>
      </c>
    </row>
    <row r="20" spans="1:8" x14ac:dyDescent="0.25">
      <c r="A20" s="11">
        <v>14</v>
      </c>
      <c r="B20" s="5"/>
      <c r="C20" s="5"/>
      <c r="D20" s="5"/>
      <c r="E20" s="5"/>
      <c r="F20" s="5"/>
      <c r="G20" s="5"/>
      <c r="H20" s="5">
        <f t="shared" si="0"/>
        <v>15</v>
      </c>
    </row>
    <row r="21" spans="1:8" x14ac:dyDescent="0.25">
      <c r="A21" s="11">
        <v>15</v>
      </c>
      <c r="B21" s="5"/>
      <c r="C21" s="5"/>
      <c r="D21" s="5"/>
      <c r="E21" s="5"/>
      <c r="F21" s="5"/>
      <c r="G21" s="5"/>
      <c r="H21" s="5">
        <f t="shared" si="0"/>
        <v>15</v>
      </c>
    </row>
    <row r="22" spans="1:8" x14ac:dyDescent="0.25">
      <c r="A22" s="11">
        <v>16</v>
      </c>
      <c r="B22" s="5"/>
      <c r="C22" s="5"/>
      <c r="D22" s="5"/>
      <c r="E22" s="5"/>
      <c r="F22" s="5"/>
      <c r="G22" s="5"/>
      <c r="H22" s="5">
        <f t="shared" si="0"/>
        <v>15</v>
      </c>
    </row>
    <row r="23" spans="1:8" x14ac:dyDescent="0.25">
      <c r="A23" s="11">
        <v>17</v>
      </c>
      <c r="B23" s="5"/>
      <c r="C23" s="5"/>
      <c r="D23" s="5"/>
      <c r="E23" s="5"/>
      <c r="F23" s="5"/>
      <c r="G23" s="5"/>
      <c r="H23" s="5">
        <f t="shared" si="0"/>
        <v>15</v>
      </c>
    </row>
    <row r="24" spans="1:8" x14ac:dyDescent="0.25">
      <c r="A24" s="11">
        <v>18</v>
      </c>
      <c r="B24" s="5"/>
      <c r="C24" s="5"/>
      <c r="D24" s="5"/>
      <c r="E24" s="5"/>
      <c r="F24" s="5"/>
      <c r="G24" s="5"/>
      <c r="H24" s="5">
        <f t="shared" si="0"/>
        <v>15</v>
      </c>
    </row>
    <row r="25" spans="1:8" x14ac:dyDescent="0.25">
      <c r="A25" s="11">
        <v>19</v>
      </c>
      <c r="B25" s="5"/>
      <c r="C25" s="5"/>
      <c r="D25" s="5"/>
      <c r="E25" s="5"/>
      <c r="F25" s="5"/>
      <c r="G25" s="5"/>
      <c r="H25" s="5">
        <f t="shared" si="0"/>
        <v>15</v>
      </c>
    </row>
    <row r="26" spans="1:8" x14ac:dyDescent="0.25">
      <c r="A26" s="11">
        <v>20</v>
      </c>
      <c r="B26" s="5"/>
      <c r="C26" s="5"/>
      <c r="D26" s="5"/>
      <c r="E26" s="5"/>
      <c r="F26" s="5"/>
      <c r="G26" s="5"/>
      <c r="H26" s="5">
        <f t="shared" si="0"/>
        <v>15</v>
      </c>
    </row>
    <row r="27" spans="1:8" x14ac:dyDescent="0.25">
      <c r="A27" s="11">
        <v>21</v>
      </c>
      <c r="B27" s="5"/>
      <c r="C27" s="5"/>
      <c r="D27" s="5"/>
      <c r="E27" s="5"/>
      <c r="F27" s="5"/>
      <c r="G27" s="5"/>
      <c r="H27" s="5">
        <f t="shared" si="0"/>
        <v>15</v>
      </c>
    </row>
    <row r="28" spans="1:8" x14ac:dyDescent="0.25">
      <c r="A28" s="11">
        <v>22</v>
      </c>
      <c r="B28" s="5"/>
      <c r="C28" s="5"/>
      <c r="D28" s="5"/>
      <c r="E28" s="5"/>
      <c r="F28" s="5"/>
      <c r="G28" s="5"/>
      <c r="H28" s="5">
        <f t="shared" si="0"/>
        <v>15</v>
      </c>
    </row>
    <row r="29" spans="1:8" x14ac:dyDescent="0.25">
      <c r="A29" s="11">
        <v>23</v>
      </c>
      <c r="B29" s="5"/>
      <c r="C29" s="5"/>
      <c r="D29" s="5"/>
      <c r="E29" s="5"/>
      <c r="F29" s="5"/>
      <c r="G29" s="5"/>
      <c r="H29" s="5">
        <f t="shared" si="0"/>
        <v>15</v>
      </c>
    </row>
    <row r="30" spans="1:8" x14ac:dyDescent="0.25">
      <c r="A30" s="11">
        <v>24</v>
      </c>
      <c r="B30" s="5"/>
      <c r="C30" s="5"/>
      <c r="D30" s="5"/>
      <c r="E30" s="5"/>
      <c r="F30" s="5"/>
      <c r="G30" s="5"/>
      <c r="H30" s="5">
        <f t="shared" si="0"/>
        <v>15</v>
      </c>
    </row>
    <row r="31" spans="1:8" x14ac:dyDescent="0.25">
      <c r="A31" s="11">
        <v>25</v>
      </c>
      <c r="B31" s="5"/>
      <c r="C31" s="5"/>
      <c r="D31" s="5"/>
      <c r="E31" s="5"/>
      <c r="F31" s="5"/>
      <c r="G31" s="5"/>
      <c r="H31" s="5">
        <f t="shared" si="0"/>
        <v>15</v>
      </c>
    </row>
    <row r="32" spans="1:8" x14ac:dyDescent="0.25">
      <c r="A32" s="11">
        <v>26</v>
      </c>
      <c r="B32" s="5"/>
      <c r="C32" s="5"/>
      <c r="D32" s="5"/>
      <c r="E32" s="5"/>
      <c r="F32" s="5"/>
      <c r="G32" s="5"/>
      <c r="H32" s="5">
        <f t="shared" si="0"/>
        <v>15</v>
      </c>
    </row>
    <row r="33" spans="1:8" x14ac:dyDescent="0.25">
      <c r="A33" s="11">
        <v>27</v>
      </c>
      <c r="B33" s="5"/>
      <c r="C33" s="5"/>
      <c r="D33" s="5"/>
      <c r="E33" s="5"/>
      <c r="F33" s="5"/>
      <c r="G33" s="5"/>
      <c r="H33" s="5">
        <f t="shared" si="0"/>
        <v>15</v>
      </c>
    </row>
    <row r="34" spans="1:8" x14ac:dyDescent="0.25">
      <c r="A34" s="11">
        <v>28</v>
      </c>
      <c r="B34" s="5"/>
      <c r="C34" s="5"/>
      <c r="D34" s="5"/>
      <c r="E34" s="5"/>
      <c r="F34" s="5"/>
      <c r="G34" s="5"/>
      <c r="H34" s="5">
        <f t="shared" si="0"/>
        <v>15</v>
      </c>
    </row>
    <row r="35" spans="1:8" x14ac:dyDescent="0.25">
      <c r="A35" s="11">
        <v>29</v>
      </c>
      <c r="B35" s="5"/>
      <c r="C35" s="5"/>
      <c r="D35" s="5"/>
      <c r="E35" s="5"/>
      <c r="F35" s="5"/>
      <c r="G35" s="5"/>
      <c r="H35" s="5">
        <f t="shared" si="0"/>
        <v>15</v>
      </c>
    </row>
    <row r="36" spans="1:8" x14ac:dyDescent="0.25">
      <c r="A36" s="11">
        <v>30</v>
      </c>
      <c r="B36" s="5"/>
      <c r="C36" s="5"/>
      <c r="D36" s="5"/>
      <c r="E36" s="5"/>
      <c r="F36" s="5"/>
      <c r="G36" s="5"/>
      <c r="H36" s="5">
        <f t="shared" si="0"/>
        <v>15</v>
      </c>
    </row>
    <row r="37" spans="1:8" ht="15.75" thickBot="1" x14ac:dyDescent="0.3">
      <c r="A37" s="63">
        <v>31</v>
      </c>
      <c r="B37" s="29"/>
      <c r="C37" s="29"/>
      <c r="D37" s="29"/>
      <c r="E37" s="29"/>
      <c r="F37" s="29"/>
      <c r="G37" s="29"/>
      <c r="H37" s="29">
        <f t="shared" si="0"/>
        <v>15</v>
      </c>
    </row>
    <row r="38" spans="1:8" ht="15.75" thickBot="1" x14ac:dyDescent="0.3">
      <c r="A38" s="46" t="s">
        <v>35</v>
      </c>
      <c r="B38" s="58">
        <f>SUM(B7:B37)-E38</f>
        <v>0</v>
      </c>
      <c r="C38" s="58">
        <f t="shared" ref="C38:H38" si="1">SUM(C7:C37)</f>
        <v>0</v>
      </c>
      <c r="D38" s="58">
        <f t="shared" si="1"/>
        <v>0</v>
      </c>
      <c r="E38" s="58">
        <f t="shared" si="1"/>
        <v>0</v>
      </c>
      <c r="F38" s="58">
        <f t="shared" si="1"/>
        <v>0</v>
      </c>
      <c r="G38" s="58">
        <f t="shared" si="1"/>
        <v>0</v>
      </c>
      <c r="H38" s="59">
        <f t="shared" si="1"/>
        <v>465</v>
      </c>
    </row>
    <row r="40" spans="1:8" x14ac:dyDescent="0.25">
      <c r="C40" t="s">
        <v>40</v>
      </c>
    </row>
    <row r="41" spans="1:8" ht="36" x14ac:dyDescent="0.55000000000000004">
      <c r="A41" s="605" t="s">
        <v>1</v>
      </c>
      <c r="B41" s="605"/>
      <c r="C41" s="605"/>
      <c r="D41" s="605"/>
      <c r="E41" s="605"/>
      <c r="F41" s="605"/>
      <c r="G41" s="605"/>
      <c r="H41" s="605"/>
    </row>
    <row r="42" spans="1:8" ht="26.25" x14ac:dyDescent="0.4">
      <c r="A42" s="606" t="s">
        <v>0</v>
      </c>
      <c r="B42" s="606"/>
      <c r="C42" s="606"/>
      <c r="D42" s="606"/>
      <c r="E42" s="606"/>
      <c r="F42" s="606"/>
      <c r="G42" s="606"/>
      <c r="H42" s="606"/>
    </row>
    <row r="43" spans="1:8" ht="15.75" x14ac:dyDescent="0.25">
      <c r="A43" s="4" t="s">
        <v>19</v>
      </c>
      <c r="B43" s="4" t="s">
        <v>3</v>
      </c>
      <c r="C43" s="5"/>
      <c r="D43" s="1" t="s">
        <v>18</v>
      </c>
      <c r="E43" s="612" t="s">
        <v>37</v>
      </c>
      <c r="F43" s="613"/>
      <c r="G43" s="4" t="s">
        <v>16</v>
      </c>
      <c r="H43" s="6" t="s">
        <v>41</v>
      </c>
    </row>
    <row r="44" spans="1:8" ht="15.75" x14ac:dyDescent="0.25">
      <c r="A44" s="609" t="s">
        <v>6</v>
      </c>
      <c r="B44" s="610"/>
      <c r="C44" s="610"/>
      <c r="D44" s="610"/>
      <c r="E44" s="610"/>
      <c r="F44" s="611"/>
      <c r="G44" s="1"/>
      <c r="H44" s="2">
        <f>H37</f>
        <v>15</v>
      </c>
    </row>
    <row r="45" spans="1:8" ht="15.75" x14ac:dyDescent="0.25">
      <c r="A45" s="3" t="s">
        <v>7</v>
      </c>
      <c r="B45" s="1"/>
      <c r="C45" s="1"/>
      <c r="D45" s="1"/>
      <c r="E45" s="1"/>
      <c r="F45" s="1"/>
      <c r="G45" s="1"/>
      <c r="H45" s="2">
        <v>28</v>
      </c>
    </row>
    <row r="46" spans="1:8" ht="51" x14ac:dyDescent="0.25">
      <c r="A46" s="7" t="s">
        <v>8</v>
      </c>
      <c r="B46" s="9" t="s">
        <v>9</v>
      </c>
      <c r="C46" s="9" t="s">
        <v>10</v>
      </c>
      <c r="D46" s="9" t="s">
        <v>11</v>
      </c>
      <c r="E46" s="9" t="s">
        <v>12</v>
      </c>
      <c r="F46" s="9" t="s">
        <v>13</v>
      </c>
      <c r="G46" s="9" t="s">
        <v>14</v>
      </c>
      <c r="H46" s="8" t="s">
        <v>15</v>
      </c>
    </row>
    <row r="47" spans="1:8" x14ac:dyDescent="0.25">
      <c r="A47" s="11">
        <v>1</v>
      </c>
      <c r="B47" s="5"/>
      <c r="C47" s="5"/>
      <c r="D47" s="5"/>
      <c r="E47" s="5"/>
      <c r="F47" s="5"/>
      <c r="G47" s="5"/>
      <c r="H47" s="5">
        <f>H44+B47+F47-(C47+D47+G47)-E47</f>
        <v>15</v>
      </c>
    </row>
    <row r="48" spans="1:8" x14ac:dyDescent="0.25">
      <c r="A48" s="11">
        <v>2</v>
      </c>
      <c r="B48" s="5"/>
      <c r="C48" s="5"/>
      <c r="D48" s="5"/>
      <c r="E48" s="5"/>
      <c r="F48" s="5"/>
      <c r="G48" s="5"/>
      <c r="H48" s="5">
        <f>H47+B48+F48-(C48+D48+G48)-E48</f>
        <v>15</v>
      </c>
    </row>
    <row r="49" spans="1:8" x14ac:dyDescent="0.25">
      <c r="A49" s="11">
        <v>3</v>
      </c>
      <c r="B49" s="5"/>
      <c r="C49" s="5"/>
      <c r="D49" s="5"/>
      <c r="E49" s="5"/>
      <c r="F49" s="5"/>
      <c r="G49" s="5"/>
      <c r="H49" s="5">
        <f t="shared" ref="H49:H75" si="2">H48+B49+F49-(C49+D49+G49)-E49</f>
        <v>15</v>
      </c>
    </row>
    <row r="50" spans="1:8" x14ac:dyDescent="0.25">
      <c r="A50" s="11">
        <v>4</v>
      </c>
      <c r="B50" s="5"/>
      <c r="C50" s="5"/>
      <c r="D50" s="5"/>
      <c r="E50" s="5"/>
      <c r="F50" s="5"/>
      <c r="G50" s="5"/>
      <c r="H50" s="5">
        <f t="shared" si="2"/>
        <v>15</v>
      </c>
    </row>
    <row r="51" spans="1:8" x14ac:dyDescent="0.25">
      <c r="A51" s="11">
        <v>5</v>
      </c>
      <c r="B51" s="5"/>
      <c r="C51" s="5"/>
      <c r="D51" s="5"/>
      <c r="E51" s="5"/>
      <c r="F51" s="5"/>
      <c r="G51" s="5"/>
      <c r="H51" s="5">
        <f t="shared" si="2"/>
        <v>15</v>
      </c>
    </row>
    <row r="52" spans="1:8" x14ac:dyDescent="0.25">
      <c r="A52" s="11">
        <v>6</v>
      </c>
      <c r="B52" s="5"/>
      <c r="C52" s="5"/>
      <c r="D52" s="5"/>
      <c r="E52" s="5"/>
      <c r="F52" s="5"/>
      <c r="G52" s="5"/>
      <c r="H52" s="5">
        <f t="shared" si="2"/>
        <v>15</v>
      </c>
    </row>
    <row r="53" spans="1:8" x14ac:dyDescent="0.25">
      <c r="A53" s="11">
        <v>7</v>
      </c>
      <c r="B53" s="5"/>
      <c r="C53" s="5"/>
      <c r="D53" s="5"/>
      <c r="E53" s="5"/>
      <c r="F53" s="5"/>
      <c r="G53" s="5"/>
      <c r="H53" s="5">
        <f t="shared" si="2"/>
        <v>15</v>
      </c>
    </row>
    <row r="54" spans="1:8" x14ac:dyDescent="0.25">
      <c r="A54" s="11">
        <v>8</v>
      </c>
      <c r="B54" s="5"/>
      <c r="C54" s="5"/>
      <c r="D54" s="5"/>
      <c r="E54" s="5"/>
      <c r="F54" s="5"/>
      <c r="G54" s="5"/>
      <c r="H54" s="5">
        <f t="shared" si="2"/>
        <v>15</v>
      </c>
    </row>
    <row r="55" spans="1:8" x14ac:dyDescent="0.25">
      <c r="A55" s="11">
        <v>9</v>
      </c>
      <c r="B55" s="5"/>
      <c r="C55" s="5"/>
      <c r="D55" s="5"/>
      <c r="E55" s="5"/>
      <c r="F55" s="5"/>
      <c r="G55" s="5"/>
      <c r="H55" s="5">
        <f t="shared" si="2"/>
        <v>15</v>
      </c>
    </row>
    <row r="56" spans="1:8" x14ac:dyDescent="0.25">
      <c r="A56" s="11">
        <v>10</v>
      </c>
      <c r="B56" s="5"/>
      <c r="C56" s="5"/>
      <c r="D56" s="5"/>
      <c r="E56" s="5"/>
      <c r="F56" s="5"/>
      <c r="G56" s="5"/>
      <c r="H56" s="5">
        <f t="shared" si="2"/>
        <v>15</v>
      </c>
    </row>
    <row r="57" spans="1:8" x14ac:dyDescent="0.25">
      <c r="A57" s="11">
        <v>11</v>
      </c>
      <c r="B57" s="5"/>
      <c r="C57" s="5"/>
      <c r="D57" s="5"/>
      <c r="E57" s="5"/>
      <c r="F57" s="5"/>
      <c r="G57" s="5"/>
      <c r="H57" s="5">
        <f t="shared" si="2"/>
        <v>15</v>
      </c>
    </row>
    <row r="58" spans="1:8" x14ac:dyDescent="0.25">
      <c r="A58" s="11">
        <v>12</v>
      </c>
      <c r="B58" s="5"/>
      <c r="C58" s="5"/>
      <c r="D58" s="5"/>
      <c r="E58" s="5"/>
      <c r="F58" s="5"/>
      <c r="G58" s="5"/>
      <c r="H58" s="5">
        <f t="shared" si="2"/>
        <v>15</v>
      </c>
    </row>
    <row r="59" spans="1:8" x14ac:dyDescent="0.25">
      <c r="A59" s="11">
        <v>13</v>
      </c>
      <c r="B59" s="5"/>
      <c r="C59" s="5"/>
      <c r="D59" s="5"/>
      <c r="E59" s="5"/>
      <c r="F59" s="5"/>
      <c r="G59" s="5"/>
      <c r="H59" s="5">
        <f t="shared" si="2"/>
        <v>15</v>
      </c>
    </row>
    <row r="60" spans="1:8" x14ac:dyDescent="0.25">
      <c r="A60" s="11">
        <v>14</v>
      </c>
      <c r="B60" s="5"/>
      <c r="C60" s="5"/>
      <c r="D60" s="5"/>
      <c r="E60" s="5"/>
      <c r="F60" s="5"/>
      <c r="G60" s="5"/>
      <c r="H60" s="5">
        <f t="shared" si="2"/>
        <v>15</v>
      </c>
    </row>
    <row r="61" spans="1:8" x14ac:dyDescent="0.25">
      <c r="A61" s="11">
        <v>15</v>
      </c>
      <c r="B61" s="5"/>
      <c r="C61" s="5"/>
      <c r="D61" s="5"/>
      <c r="E61" s="5"/>
      <c r="F61" s="5"/>
      <c r="G61" s="5"/>
      <c r="H61" s="5">
        <f t="shared" si="2"/>
        <v>15</v>
      </c>
    </row>
    <row r="62" spans="1:8" x14ac:dyDescent="0.25">
      <c r="A62" s="11">
        <v>16</v>
      </c>
      <c r="B62" s="5"/>
      <c r="C62" s="5"/>
      <c r="D62" s="5"/>
      <c r="E62" s="5"/>
      <c r="F62" s="5"/>
      <c r="G62" s="5"/>
      <c r="H62" s="5">
        <f t="shared" si="2"/>
        <v>15</v>
      </c>
    </row>
    <row r="63" spans="1:8" x14ac:dyDescent="0.25">
      <c r="A63" s="11">
        <v>17</v>
      </c>
      <c r="B63" s="5"/>
      <c r="C63" s="5"/>
      <c r="D63" s="5"/>
      <c r="E63" s="5"/>
      <c r="F63" s="5"/>
      <c r="G63" s="5"/>
      <c r="H63" s="5">
        <f t="shared" si="2"/>
        <v>15</v>
      </c>
    </row>
    <row r="64" spans="1:8" x14ac:dyDescent="0.25">
      <c r="A64" s="11">
        <v>18</v>
      </c>
      <c r="B64" s="5"/>
      <c r="C64" s="5"/>
      <c r="D64" s="5"/>
      <c r="E64" s="5"/>
      <c r="F64" s="5"/>
      <c r="G64" s="5"/>
      <c r="H64" s="5">
        <f t="shared" si="2"/>
        <v>15</v>
      </c>
    </row>
    <row r="65" spans="1:8" x14ac:dyDescent="0.25">
      <c r="A65" s="11">
        <v>19</v>
      </c>
      <c r="B65" s="5"/>
      <c r="C65" s="5"/>
      <c r="D65" s="5"/>
      <c r="E65" s="5"/>
      <c r="F65" s="5"/>
      <c r="G65" s="5"/>
      <c r="H65" s="5">
        <f t="shared" si="2"/>
        <v>15</v>
      </c>
    </row>
    <row r="66" spans="1:8" x14ac:dyDescent="0.25">
      <c r="A66" s="11">
        <v>20</v>
      </c>
      <c r="B66" s="5"/>
      <c r="C66" s="5"/>
      <c r="D66" s="5"/>
      <c r="E66" s="5"/>
      <c r="F66" s="5"/>
      <c r="G66" s="5"/>
      <c r="H66" s="5">
        <f t="shared" si="2"/>
        <v>15</v>
      </c>
    </row>
    <row r="67" spans="1:8" x14ac:dyDescent="0.25">
      <c r="A67" s="11">
        <v>21</v>
      </c>
      <c r="B67" s="5"/>
      <c r="C67" s="5"/>
      <c r="D67" s="5"/>
      <c r="E67" s="5"/>
      <c r="F67" s="5"/>
      <c r="G67" s="5"/>
      <c r="H67" s="5">
        <f t="shared" si="2"/>
        <v>15</v>
      </c>
    </row>
    <row r="68" spans="1:8" x14ac:dyDescent="0.25">
      <c r="A68" s="11">
        <v>22</v>
      </c>
      <c r="B68" s="5"/>
      <c r="C68" s="5"/>
      <c r="D68" s="5"/>
      <c r="E68" s="5"/>
      <c r="F68" s="5"/>
      <c r="G68" s="5"/>
      <c r="H68" s="5">
        <f t="shared" si="2"/>
        <v>15</v>
      </c>
    </row>
    <row r="69" spans="1:8" x14ac:dyDescent="0.25">
      <c r="A69" s="11">
        <v>23</v>
      </c>
      <c r="B69" s="5"/>
      <c r="C69" s="5"/>
      <c r="D69" s="5"/>
      <c r="E69" s="5"/>
      <c r="F69" s="5"/>
      <c r="G69" s="5"/>
      <c r="H69" s="5">
        <f t="shared" si="2"/>
        <v>15</v>
      </c>
    </row>
    <row r="70" spans="1:8" x14ac:dyDescent="0.25">
      <c r="A70" s="11">
        <v>24</v>
      </c>
      <c r="B70" s="5"/>
      <c r="C70" s="5"/>
      <c r="D70" s="5"/>
      <c r="E70" s="5"/>
      <c r="F70" s="5"/>
      <c r="G70" s="5"/>
      <c r="H70" s="5">
        <f t="shared" si="2"/>
        <v>15</v>
      </c>
    </row>
    <row r="71" spans="1:8" x14ac:dyDescent="0.25">
      <c r="A71" s="11">
        <v>25</v>
      </c>
      <c r="B71" s="5"/>
      <c r="C71" s="5"/>
      <c r="D71" s="5"/>
      <c r="E71" s="5"/>
      <c r="F71" s="5"/>
      <c r="G71" s="5"/>
      <c r="H71" s="5">
        <f t="shared" si="2"/>
        <v>15</v>
      </c>
    </row>
    <row r="72" spans="1:8" x14ac:dyDescent="0.25">
      <c r="A72" s="11">
        <v>26</v>
      </c>
      <c r="B72" s="5"/>
      <c r="C72" s="5"/>
      <c r="D72" s="5"/>
      <c r="E72" s="5"/>
      <c r="F72" s="5"/>
      <c r="G72" s="5"/>
      <c r="H72" s="5">
        <f t="shared" si="2"/>
        <v>15</v>
      </c>
    </row>
    <row r="73" spans="1:8" x14ac:dyDescent="0.25">
      <c r="A73" s="11">
        <v>27</v>
      </c>
      <c r="B73" s="5"/>
      <c r="C73" s="5"/>
      <c r="D73" s="5"/>
      <c r="E73" s="5"/>
      <c r="F73" s="5"/>
      <c r="G73" s="5"/>
      <c r="H73" s="5">
        <f t="shared" si="2"/>
        <v>15</v>
      </c>
    </row>
    <row r="74" spans="1:8" x14ac:dyDescent="0.25">
      <c r="A74" s="11">
        <v>28</v>
      </c>
      <c r="B74" s="5"/>
      <c r="C74" s="5"/>
      <c r="D74" s="5"/>
      <c r="E74" s="5"/>
      <c r="F74" s="5"/>
      <c r="G74" s="5"/>
      <c r="H74" s="5">
        <f t="shared" si="2"/>
        <v>15</v>
      </c>
    </row>
    <row r="75" spans="1:8" x14ac:dyDescent="0.25">
      <c r="A75" s="11">
        <v>29</v>
      </c>
      <c r="B75" s="5"/>
      <c r="C75" s="5"/>
      <c r="D75" s="5"/>
      <c r="E75" s="5"/>
      <c r="F75" s="5"/>
      <c r="G75" s="5"/>
      <c r="H75" s="5">
        <f t="shared" si="2"/>
        <v>15</v>
      </c>
    </row>
    <row r="76" spans="1:8" x14ac:dyDescent="0.25">
      <c r="A76" s="11" t="s">
        <v>35</v>
      </c>
      <c r="B76" s="12">
        <v>67</v>
      </c>
      <c r="C76" s="12">
        <f t="shared" ref="C76:H76" si="3">SUM(C47:C75)</f>
        <v>0</v>
      </c>
      <c r="D76" s="12">
        <f t="shared" si="3"/>
        <v>0</v>
      </c>
      <c r="E76" s="12">
        <f t="shared" si="3"/>
        <v>0</v>
      </c>
      <c r="F76" s="12">
        <f t="shared" si="3"/>
        <v>0</v>
      </c>
      <c r="G76" s="12">
        <f t="shared" si="3"/>
        <v>0</v>
      </c>
      <c r="H76" s="12">
        <f t="shared" si="3"/>
        <v>435</v>
      </c>
    </row>
    <row r="79" spans="1:8" ht="36" x14ac:dyDescent="0.55000000000000004">
      <c r="A79" s="605" t="s">
        <v>1</v>
      </c>
      <c r="B79" s="605"/>
      <c r="C79" s="605"/>
      <c r="D79" s="605"/>
      <c r="E79" s="605"/>
      <c r="F79" s="605"/>
      <c r="G79" s="605"/>
      <c r="H79" s="605"/>
    </row>
    <row r="80" spans="1:8" ht="27" thickBot="1" x14ac:dyDescent="0.45">
      <c r="A80" s="606" t="s">
        <v>0</v>
      </c>
      <c r="B80" s="606"/>
      <c r="C80" s="606"/>
      <c r="D80" s="606"/>
      <c r="E80" s="606"/>
      <c r="F80" s="606"/>
      <c r="G80" s="606"/>
      <c r="H80" s="606"/>
    </row>
    <row r="81" spans="1:8" ht="15.75" x14ac:dyDescent="0.25">
      <c r="A81" s="18" t="s">
        <v>19</v>
      </c>
      <c r="B81" s="19" t="s">
        <v>3</v>
      </c>
      <c r="C81" s="20"/>
      <c r="D81" s="21" t="s">
        <v>18</v>
      </c>
      <c r="E81" s="615" t="s">
        <v>37</v>
      </c>
      <c r="F81" s="616"/>
      <c r="G81" s="19" t="s">
        <v>16</v>
      </c>
      <c r="H81" s="22" t="s">
        <v>42</v>
      </c>
    </row>
    <row r="82" spans="1:8" ht="15.75" x14ac:dyDescent="0.25">
      <c r="A82" s="609" t="s">
        <v>6</v>
      </c>
      <c r="B82" s="610"/>
      <c r="C82" s="610"/>
      <c r="D82" s="610"/>
      <c r="E82" s="610"/>
      <c r="F82" s="611"/>
      <c r="G82" s="1"/>
      <c r="H82" s="2">
        <f>H75</f>
        <v>15</v>
      </c>
    </row>
    <row r="83" spans="1:8" ht="16.5" thickBot="1" x14ac:dyDescent="0.3">
      <c r="A83" s="23" t="s">
        <v>7</v>
      </c>
      <c r="B83" s="24"/>
      <c r="C83" s="24"/>
      <c r="D83" s="24"/>
      <c r="E83" s="24"/>
      <c r="F83" s="24"/>
      <c r="G83" s="24"/>
      <c r="H83" s="25">
        <v>28</v>
      </c>
    </row>
    <row r="84" spans="1:8" ht="51.75" thickBot="1" x14ac:dyDescent="0.3">
      <c r="A84" s="53" t="s">
        <v>8</v>
      </c>
      <c r="B84" s="54" t="s">
        <v>9</v>
      </c>
      <c r="C84" s="54" t="s">
        <v>10</v>
      </c>
      <c r="D84" s="54" t="s">
        <v>11</v>
      </c>
      <c r="E84" s="54" t="s">
        <v>12</v>
      </c>
      <c r="F84" s="54" t="s">
        <v>13</v>
      </c>
      <c r="G84" s="54" t="s">
        <v>14</v>
      </c>
      <c r="H84" s="55" t="s">
        <v>15</v>
      </c>
    </row>
    <row r="85" spans="1:8" x14ac:dyDescent="0.25">
      <c r="A85" s="36">
        <v>1</v>
      </c>
      <c r="B85" s="37"/>
      <c r="C85" s="37"/>
      <c r="D85" s="37"/>
      <c r="E85" s="37"/>
      <c r="F85" s="37"/>
      <c r="G85" s="37"/>
      <c r="H85" s="38">
        <f>H82+B85+F85-(C85+D85+G85)-E85</f>
        <v>15</v>
      </c>
    </row>
    <row r="86" spans="1:8" x14ac:dyDescent="0.25">
      <c r="A86" s="26">
        <v>2</v>
      </c>
      <c r="B86" s="5"/>
      <c r="C86" s="5"/>
      <c r="D86" s="5"/>
      <c r="E86" s="5"/>
      <c r="F86" s="5"/>
      <c r="G86" s="5"/>
      <c r="H86" s="2">
        <f>H85+B86+F86-(C86+D86+G86)-E86</f>
        <v>15</v>
      </c>
    </row>
    <row r="87" spans="1:8" x14ac:dyDescent="0.25">
      <c r="A87" s="26">
        <v>3</v>
      </c>
      <c r="B87" s="5"/>
      <c r="C87" s="5"/>
      <c r="D87" s="5"/>
      <c r="E87" s="5"/>
      <c r="F87" s="5"/>
      <c r="G87" s="5"/>
      <c r="H87" s="2">
        <f t="shared" ref="H87:H114" si="4">H86+B87+F87-(C87+D87+G87)-E87</f>
        <v>15</v>
      </c>
    </row>
    <row r="88" spans="1:8" x14ac:dyDescent="0.25">
      <c r="A88" s="26">
        <v>4</v>
      </c>
      <c r="B88" s="5"/>
      <c r="C88" s="5"/>
      <c r="D88" s="5"/>
      <c r="E88" s="5"/>
      <c r="F88" s="5"/>
      <c r="G88" s="5"/>
      <c r="H88" s="2">
        <f t="shared" si="4"/>
        <v>15</v>
      </c>
    </row>
    <row r="89" spans="1:8" x14ac:dyDescent="0.25">
      <c r="A89" s="26">
        <v>5</v>
      </c>
      <c r="B89" s="5"/>
      <c r="C89" s="5"/>
      <c r="D89" s="5"/>
      <c r="E89" s="5"/>
      <c r="F89" s="5"/>
      <c r="G89" s="5"/>
      <c r="H89" s="2">
        <f t="shared" si="4"/>
        <v>15</v>
      </c>
    </row>
    <row r="90" spans="1:8" x14ac:dyDescent="0.25">
      <c r="A90" s="26">
        <v>6</v>
      </c>
      <c r="B90" s="5"/>
      <c r="C90" s="5"/>
      <c r="D90" s="5"/>
      <c r="E90" s="5"/>
      <c r="F90" s="5"/>
      <c r="G90" s="5"/>
      <c r="H90" s="2">
        <f t="shared" si="4"/>
        <v>15</v>
      </c>
    </row>
    <row r="91" spans="1:8" x14ac:dyDescent="0.25">
      <c r="A91" s="26">
        <v>7</v>
      </c>
      <c r="B91" s="5"/>
      <c r="C91" s="5"/>
      <c r="D91" s="5"/>
      <c r="E91" s="5"/>
      <c r="F91" s="5"/>
      <c r="G91" s="5"/>
      <c r="H91" s="2">
        <f t="shared" si="4"/>
        <v>15</v>
      </c>
    </row>
    <row r="92" spans="1:8" x14ac:dyDescent="0.25">
      <c r="A92" s="26">
        <v>8</v>
      </c>
      <c r="B92" s="5"/>
      <c r="C92" s="5"/>
      <c r="D92" s="5"/>
      <c r="E92" s="5"/>
      <c r="F92" s="5"/>
      <c r="G92" s="5"/>
      <c r="H92" s="2">
        <f t="shared" si="4"/>
        <v>15</v>
      </c>
    </row>
    <row r="93" spans="1:8" x14ac:dyDescent="0.25">
      <c r="A93" s="26">
        <v>9</v>
      </c>
      <c r="B93" s="5"/>
      <c r="C93" s="5"/>
      <c r="D93" s="5"/>
      <c r="E93" s="5"/>
      <c r="F93" s="5"/>
      <c r="G93" s="5"/>
      <c r="H93" s="2">
        <f t="shared" si="4"/>
        <v>15</v>
      </c>
    </row>
    <row r="94" spans="1:8" x14ac:dyDescent="0.25">
      <c r="A94" s="26">
        <v>10</v>
      </c>
      <c r="B94" s="5"/>
      <c r="C94" s="5"/>
      <c r="D94" s="5"/>
      <c r="E94" s="5"/>
      <c r="F94" s="5"/>
      <c r="G94" s="5"/>
      <c r="H94" s="2">
        <f t="shared" si="4"/>
        <v>15</v>
      </c>
    </row>
    <row r="95" spans="1:8" x14ac:dyDescent="0.25">
      <c r="A95" s="26">
        <v>11</v>
      </c>
      <c r="B95" s="5"/>
      <c r="C95" s="5"/>
      <c r="D95" s="5"/>
      <c r="E95" s="5"/>
      <c r="F95" s="5"/>
      <c r="G95" s="5"/>
      <c r="H95" s="2">
        <f t="shared" si="4"/>
        <v>15</v>
      </c>
    </row>
    <row r="96" spans="1:8" x14ac:dyDescent="0.25">
      <c r="A96" s="26">
        <v>12</v>
      </c>
      <c r="B96" s="5"/>
      <c r="C96" s="5"/>
      <c r="D96" s="5"/>
      <c r="E96" s="5"/>
      <c r="F96" s="5"/>
      <c r="G96" s="5"/>
      <c r="H96" s="2">
        <f t="shared" si="4"/>
        <v>15</v>
      </c>
    </row>
    <row r="97" spans="1:8" x14ac:dyDescent="0.25">
      <c r="A97" s="26">
        <v>13</v>
      </c>
      <c r="B97" s="5"/>
      <c r="C97" s="5"/>
      <c r="D97" s="5"/>
      <c r="E97" s="5"/>
      <c r="F97" s="5"/>
      <c r="G97" s="5"/>
      <c r="H97" s="2">
        <f t="shared" si="4"/>
        <v>15</v>
      </c>
    </row>
    <row r="98" spans="1:8" x14ac:dyDescent="0.25">
      <c r="A98" s="26">
        <v>14</v>
      </c>
      <c r="B98" s="5"/>
      <c r="C98" s="5"/>
      <c r="D98" s="5"/>
      <c r="E98" s="5"/>
      <c r="F98" s="5"/>
      <c r="G98" s="5"/>
      <c r="H98" s="2">
        <f t="shared" si="4"/>
        <v>15</v>
      </c>
    </row>
    <row r="99" spans="1:8" x14ac:dyDescent="0.25">
      <c r="A99" s="26">
        <v>15</v>
      </c>
      <c r="B99" s="5"/>
      <c r="C99" s="5"/>
      <c r="D99" s="5"/>
      <c r="E99" s="5"/>
      <c r="F99" s="5"/>
      <c r="G99" s="5"/>
      <c r="H99" s="2">
        <f t="shared" si="4"/>
        <v>15</v>
      </c>
    </row>
    <row r="100" spans="1:8" x14ac:dyDescent="0.25">
      <c r="A100" s="26">
        <v>16</v>
      </c>
      <c r="B100" s="5"/>
      <c r="C100" s="5"/>
      <c r="D100" s="5"/>
      <c r="E100" s="5"/>
      <c r="F100" s="5"/>
      <c r="G100" s="5"/>
      <c r="H100" s="2">
        <f t="shared" si="4"/>
        <v>15</v>
      </c>
    </row>
    <row r="101" spans="1:8" x14ac:dyDescent="0.25">
      <c r="A101" s="26">
        <v>17</v>
      </c>
      <c r="B101" s="5"/>
      <c r="C101" s="5"/>
      <c r="D101" s="5"/>
      <c r="E101" s="5"/>
      <c r="F101" s="5"/>
      <c r="G101" s="5"/>
      <c r="H101" s="2">
        <f t="shared" si="4"/>
        <v>15</v>
      </c>
    </row>
    <row r="102" spans="1:8" x14ac:dyDescent="0.25">
      <c r="A102" s="26">
        <v>18</v>
      </c>
      <c r="B102" s="5"/>
      <c r="C102" s="5"/>
      <c r="D102" s="5"/>
      <c r="E102" s="5"/>
      <c r="F102" s="5"/>
      <c r="G102" s="5"/>
      <c r="H102" s="2">
        <f t="shared" si="4"/>
        <v>15</v>
      </c>
    </row>
    <row r="103" spans="1:8" x14ac:dyDescent="0.25">
      <c r="A103" s="26">
        <v>19</v>
      </c>
      <c r="B103" s="5"/>
      <c r="C103" s="5"/>
      <c r="D103" s="5"/>
      <c r="E103" s="5"/>
      <c r="F103" s="5"/>
      <c r="G103" s="5"/>
      <c r="H103" s="2">
        <f t="shared" si="4"/>
        <v>15</v>
      </c>
    </row>
    <row r="104" spans="1:8" x14ac:dyDescent="0.25">
      <c r="A104" s="26">
        <v>20</v>
      </c>
      <c r="B104" s="5"/>
      <c r="C104" s="5"/>
      <c r="D104" s="5"/>
      <c r="E104" s="5"/>
      <c r="F104" s="5"/>
      <c r="G104" s="5"/>
      <c r="H104" s="2">
        <f t="shared" si="4"/>
        <v>15</v>
      </c>
    </row>
    <row r="105" spans="1:8" x14ac:dyDescent="0.25">
      <c r="A105" s="26">
        <v>21</v>
      </c>
      <c r="B105" s="5"/>
      <c r="C105" s="5"/>
      <c r="D105" s="5"/>
      <c r="E105" s="5"/>
      <c r="F105" s="5"/>
      <c r="G105" s="5"/>
      <c r="H105" s="2">
        <f t="shared" si="4"/>
        <v>15</v>
      </c>
    </row>
    <row r="106" spans="1:8" x14ac:dyDescent="0.25">
      <c r="A106" s="26">
        <v>22</v>
      </c>
      <c r="B106" s="5"/>
      <c r="C106" s="5"/>
      <c r="D106" s="5"/>
      <c r="E106" s="5"/>
      <c r="F106" s="5"/>
      <c r="G106" s="5"/>
      <c r="H106" s="2">
        <f t="shared" si="4"/>
        <v>15</v>
      </c>
    </row>
    <row r="107" spans="1:8" x14ac:dyDescent="0.25">
      <c r="A107" s="26">
        <v>23</v>
      </c>
      <c r="B107" s="5"/>
      <c r="C107" s="5"/>
      <c r="D107" s="5"/>
      <c r="E107" s="5"/>
      <c r="F107" s="5"/>
      <c r="G107" s="5"/>
      <c r="H107" s="2">
        <f t="shared" si="4"/>
        <v>15</v>
      </c>
    </row>
    <row r="108" spans="1:8" x14ac:dyDescent="0.25">
      <c r="A108" s="26">
        <v>24</v>
      </c>
      <c r="B108" s="5"/>
      <c r="C108" s="5"/>
      <c r="D108" s="5"/>
      <c r="E108" s="5"/>
      <c r="F108" s="5"/>
      <c r="G108" s="5"/>
      <c r="H108" s="2">
        <f t="shared" si="4"/>
        <v>15</v>
      </c>
    </row>
    <row r="109" spans="1:8" x14ac:dyDescent="0.25">
      <c r="A109" s="26">
        <v>25</v>
      </c>
      <c r="B109" s="5"/>
      <c r="C109" s="5"/>
      <c r="D109" s="5"/>
      <c r="E109" s="5"/>
      <c r="F109" s="5"/>
      <c r="G109" s="5"/>
      <c r="H109" s="2">
        <f t="shared" si="4"/>
        <v>15</v>
      </c>
    </row>
    <row r="110" spans="1:8" x14ac:dyDescent="0.25">
      <c r="A110" s="26">
        <v>26</v>
      </c>
      <c r="B110" s="5"/>
      <c r="C110" s="5"/>
      <c r="D110" s="5"/>
      <c r="E110" s="5"/>
      <c r="F110" s="5"/>
      <c r="G110" s="5"/>
      <c r="H110" s="2">
        <f t="shared" si="4"/>
        <v>15</v>
      </c>
    </row>
    <row r="111" spans="1:8" x14ac:dyDescent="0.25">
      <c r="A111" s="26">
        <v>27</v>
      </c>
      <c r="B111" s="5"/>
      <c r="C111" s="5"/>
      <c r="D111" s="5"/>
      <c r="E111" s="5"/>
      <c r="F111" s="5"/>
      <c r="G111" s="5"/>
      <c r="H111" s="2">
        <f t="shared" si="4"/>
        <v>15</v>
      </c>
    </row>
    <row r="112" spans="1:8" x14ac:dyDescent="0.25">
      <c r="A112" s="26">
        <v>28</v>
      </c>
      <c r="B112" s="5"/>
      <c r="C112" s="5"/>
      <c r="D112" s="5"/>
      <c r="E112" s="5"/>
      <c r="F112" s="5"/>
      <c r="G112" s="5"/>
      <c r="H112" s="2">
        <f t="shared" si="4"/>
        <v>15</v>
      </c>
    </row>
    <row r="113" spans="1:8" x14ac:dyDescent="0.25">
      <c r="A113" s="26">
        <v>29</v>
      </c>
      <c r="B113" s="5"/>
      <c r="C113" s="5"/>
      <c r="D113" s="5"/>
      <c r="E113" s="5"/>
      <c r="F113" s="5"/>
      <c r="G113" s="5"/>
      <c r="H113" s="2">
        <f t="shared" si="4"/>
        <v>15</v>
      </c>
    </row>
    <row r="114" spans="1:8" x14ac:dyDescent="0.25">
      <c r="A114" s="26">
        <v>30</v>
      </c>
      <c r="B114" s="5"/>
      <c r="C114" s="5"/>
      <c r="D114" s="5"/>
      <c r="E114" s="5"/>
      <c r="F114" s="5"/>
      <c r="G114" s="5"/>
      <c r="H114" s="2">
        <f t="shared" si="4"/>
        <v>15</v>
      </c>
    </row>
    <row r="115" spans="1:8" x14ac:dyDescent="0.25">
      <c r="A115" s="26">
        <v>31</v>
      </c>
      <c r="B115" s="5"/>
      <c r="C115" s="5"/>
      <c r="D115" s="5"/>
      <c r="E115" s="5"/>
      <c r="F115" s="5"/>
      <c r="G115" s="5"/>
      <c r="H115" s="2">
        <f>H114+B115+F115-(C115+D115+G115)-E115</f>
        <v>15</v>
      </c>
    </row>
    <row r="116" spans="1:8" ht="15.75" thickBot="1" x14ac:dyDescent="0.3">
      <c r="A116" s="56" t="s">
        <v>35</v>
      </c>
      <c r="B116" s="34">
        <f>SUM(B85:B115)-E116</f>
        <v>0</v>
      </c>
      <c r="C116" s="34">
        <f t="shared" ref="C116:H116" si="5">SUM(C85:C115)</f>
        <v>0</v>
      </c>
      <c r="D116" s="34">
        <f t="shared" si="5"/>
        <v>0</v>
      </c>
      <c r="E116" s="34">
        <f t="shared" si="5"/>
        <v>0</v>
      </c>
      <c r="F116" s="34">
        <f t="shared" si="5"/>
        <v>0</v>
      </c>
      <c r="G116" s="34">
        <f t="shared" si="5"/>
        <v>0</v>
      </c>
      <c r="H116" s="35">
        <f t="shared" si="5"/>
        <v>465</v>
      </c>
    </row>
    <row r="119" spans="1:8" ht="36" x14ac:dyDescent="0.55000000000000004">
      <c r="A119" s="605" t="s">
        <v>1</v>
      </c>
      <c r="B119" s="605"/>
      <c r="C119" s="605"/>
      <c r="D119" s="605"/>
      <c r="E119" s="605"/>
      <c r="F119" s="605"/>
      <c r="G119" s="605"/>
      <c r="H119" s="605"/>
    </row>
    <row r="120" spans="1:8" ht="27" thickBot="1" x14ac:dyDescent="0.45">
      <c r="A120" s="606" t="s">
        <v>0</v>
      </c>
      <c r="B120" s="606"/>
      <c r="C120" s="606"/>
      <c r="D120" s="606"/>
      <c r="E120" s="606"/>
      <c r="F120" s="606"/>
      <c r="G120" s="606"/>
      <c r="H120" s="606"/>
    </row>
    <row r="121" spans="1:8" ht="15.75" x14ac:dyDescent="0.25">
      <c r="A121" s="39" t="s">
        <v>2</v>
      </c>
      <c r="B121" s="19" t="s">
        <v>3</v>
      </c>
      <c r="C121" s="20"/>
      <c r="D121" s="21" t="s">
        <v>52</v>
      </c>
      <c r="E121" s="617" t="s">
        <v>57</v>
      </c>
      <c r="F121" s="618"/>
      <c r="G121" s="19" t="s">
        <v>16</v>
      </c>
      <c r="H121" s="22" t="s">
        <v>50</v>
      </c>
    </row>
    <row r="122" spans="1:8" ht="15.75" x14ac:dyDescent="0.25">
      <c r="A122" s="609" t="s">
        <v>6</v>
      </c>
      <c r="B122" s="610"/>
      <c r="C122" s="610"/>
      <c r="D122" s="610"/>
      <c r="E122" s="610"/>
      <c r="F122" s="611"/>
      <c r="G122" s="1"/>
      <c r="H122" s="2">
        <f>H115</f>
        <v>15</v>
      </c>
    </row>
    <row r="123" spans="1:8" ht="15.75" x14ac:dyDescent="0.25">
      <c r="A123" s="3" t="s">
        <v>7</v>
      </c>
      <c r="B123" s="1"/>
      <c r="C123" s="1"/>
      <c r="D123" s="1"/>
      <c r="E123" s="1"/>
      <c r="F123" s="1"/>
      <c r="G123" s="1"/>
      <c r="H123" s="2">
        <v>28</v>
      </c>
    </row>
    <row r="124" spans="1:8" ht="51.75" thickBot="1" x14ac:dyDescent="0.3">
      <c r="A124" s="40" t="s">
        <v>8</v>
      </c>
      <c r="B124" s="41" t="s">
        <v>9</v>
      </c>
      <c r="C124" s="41" t="s">
        <v>10</v>
      </c>
      <c r="D124" s="41" t="s">
        <v>11</v>
      </c>
      <c r="E124" s="41" t="s">
        <v>12</v>
      </c>
      <c r="F124" s="49" t="s">
        <v>13</v>
      </c>
      <c r="G124" s="49" t="s">
        <v>14</v>
      </c>
      <c r="H124" s="42" t="s">
        <v>15</v>
      </c>
    </row>
    <row r="125" spans="1:8" x14ac:dyDescent="0.25">
      <c r="A125" s="36">
        <v>1</v>
      </c>
      <c r="B125" s="37"/>
      <c r="C125" s="37"/>
      <c r="D125" s="37"/>
      <c r="E125" s="37"/>
      <c r="F125" s="37"/>
      <c r="G125" s="37"/>
      <c r="H125" s="38">
        <f>H122+B125+F125-(C125+D125+G125)-E125</f>
        <v>15</v>
      </c>
    </row>
    <row r="126" spans="1:8" x14ac:dyDescent="0.25">
      <c r="A126" s="26">
        <v>2</v>
      </c>
      <c r="B126" s="5"/>
      <c r="C126" s="5"/>
      <c r="D126" s="5"/>
      <c r="E126" s="5"/>
      <c r="F126" s="5"/>
      <c r="G126" s="5"/>
      <c r="H126" s="2">
        <f>H125+B126+F126-(C126+D126+G126)-E126</f>
        <v>15</v>
      </c>
    </row>
    <row r="127" spans="1:8" x14ac:dyDescent="0.25">
      <c r="A127" s="26">
        <v>3</v>
      </c>
      <c r="B127" s="5"/>
      <c r="C127" s="5"/>
      <c r="D127" s="5"/>
      <c r="E127" s="5"/>
      <c r="F127" s="5"/>
      <c r="G127" s="5"/>
      <c r="H127" s="2">
        <f>H126+B127+F127-(C127+D127+G127)-E127</f>
        <v>15</v>
      </c>
    </row>
    <row r="128" spans="1:8" x14ac:dyDescent="0.25">
      <c r="A128" s="26">
        <v>4</v>
      </c>
      <c r="B128" s="5"/>
      <c r="C128" s="5"/>
      <c r="D128" s="5"/>
      <c r="E128" s="5"/>
      <c r="F128" s="5"/>
      <c r="G128" s="5"/>
      <c r="H128" s="2">
        <f t="shared" ref="H128:H154" si="6">H127+B128+F128-(C128+D128+G128)-E128</f>
        <v>15</v>
      </c>
    </row>
    <row r="129" spans="1:8" x14ac:dyDescent="0.25">
      <c r="A129" s="26">
        <v>5</v>
      </c>
      <c r="B129" s="5"/>
      <c r="C129" s="5"/>
      <c r="D129" s="5"/>
      <c r="E129" s="5"/>
      <c r="F129" s="5"/>
      <c r="G129" s="5"/>
      <c r="H129" s="2">
        <f t="shared" si="6"/>
        <v>15</v>
      </c>
    </row>
    <row r="130" spans="1:8" x14ac:dyDescent="0.25">
      <c r="A130" s="26">
        <v>6</v>
      </c>
      <c r="B130" s="5"/>
      <c r="C130" s="5"/>
      <c r="D130" s="5"/>
      <c r="E130" s="5"/>
      <c r="F130" s="5"/>
      <c r="G130" s="5"/>
      <c r="H130" s="2">
        <f t="shared" si="6"/>
        <v>15</v>
      </c>
    </row>
    <row r="131" spans="1:8" x14ac:dyDescent="0.25">
      <c r="A131" s="26">
        <v>7</v>
      </c>
      <c r="B131" s="5"/>
      <c r="C131" s="5"/>
      <c r="D131" s="5"/>
      <c r="E131" s="5"/>
      <c r="F131" s="5"/>
      <c r="G131" s="5"/>
      <c r="H131" s="2">
        <f t="shared" si="6"/>
        <v>15</v>
      </c>
    </row>
    <row r="132" spans="1:8" x14ac:dyDescent="0.25">
      <c r="A132" s="26">
        <v>8</v>
      </c>
      <c r="B132" s="5"/>
      <c r="C132" s="5"/>
      <c r="D132" s="5"/>
      <c r="E132" s="5"/>
      <c r="F132" s="5"/>
      <c r="G132" s="5"/>
      <c r="H132" s="2">
        <f t="shared" si="6"/>
        <v>15</v>
      </c>
    </row>
    <row r="133" spans="1:8" x14ac:dyDescent="0.25">
      <c r="A133" s="26">
        <v>9</v>
      </c>
      <c r="B133" s="5"/>
      <c r="C133" s="5"/>
      <c r="D133" s="5"/>
      <c r="E133" s="5"/>
      <c r="F133" s="5"/>
      <c r="G133" s="5"/>
      <c r="H133" s="2">
        <f t="shared" si="6"/>
        <v>15</v>
      </c>
    </row>
    <row r="134" spans="1:8" x14ac:dyDescent="0.25">
      <c r="A134" s="26">
        <v>10</v>
      </c>
      <c r="B134" s="5"/>
      <c r="C134" s="5"/>
      <c r="D134" s="5"/>
      <c r="E134" s="5"/>
      <c r="F134" s="5"/>
      <c r="G134" s="5"/>
      <c r="H134" s="2">
        <f t="shared" si="6"/>
        <v>15</v>
      </c>
    </row>
    <row r="135" spans="1:8" x14ac:dyDescent="0.25">
      <c r="A135" s="26">
        <v>11</v>
      </c>
      <c r="B135" s="5"/>
      <c r="C135" s="5"/>
      <c r="D135" s="5"/>
      <c r="E135" s="5"/>
      <c r="F135" s="5"/>
      <c r="G135" s="5"/>
      <c r="H135" s="2">
        <f t="shared" si="6"/>
        <v>15</v>
      </c>
    </row>
    <row r="136" spans="1:8" x14ac:dyDescent="0.25">
      <c r="A136" s="26">
        <v>12</v>
      </c>
      <c r="B136" s="5"/>
      <c r="C136" s="5"/>
      <c r="D136" s="5"/>
      <c r="E136" s="5"/>
      <c r="F136" s="5"/>
      <c r="G136" s="5"/>
      <c r="H136" s="2">
        <f t="shared" si="6"/>
        <v>15</v>
      </c>
    </row>
    <row r="137" spans="1:8" x14ac:dyDescent="0.25">
      <c r="A137" s="26">
        <v>13</v>
      </c>
      <c r="B137" s="5"/>
      <c r="C137" s="5"/>
      <c r="D137" s="5"/>
      <c r="E137" s="5"/>
      <c r="F137" s="5"/>
      <c r="G137" s="5"/>
      <c r="H137" s="2">
        <f t="shared" si="6"/>
        <v>15</v>
      </c>
    </row>
    <row r="138" spans="1:8" x14ac:dyDescent="0.25">
      <c r="A138" s="26">
        <v>14</v>
      </c>
      <c r="B138" s="5"/>
      <c r="C138" s="5"/>
      <c r="D138" s="5"/>
      <c r="E138" s="5"/>
      <c r="F138" s="5"/>
      <c r="G138" s="5"/>
      <c r="H138" s="2">
        <f t="shared" si="6"/>
        <v>15</v>
      </c>
    </row>
    <row r="139" spans="1:8" x14ac:dyDescent="0.25">
      <c r="A139" s="26">
        <v>15</v>
      </c>
      <c r="B139" s="5"/>
      <c r="C139" s="5"/>
      <c r="D139" s="5"/>
      <c r="E139" s="5"/>
      <c r="F139" s="5"/>
      <c r="G139" s="5"/>
      <c r="H139" s="2">
        <f t="shared" si="6"/>
        <v>15</v>
      </c>
    </row>
    <row r="140" spans="1:8" x14ac:dyDescent="0.25">
      <c r="A140" s="26">
        <v>16</v>
      </c>
      <c r="B140" s="5"/>
      <c r="C140" s="5"/>
      <c r="D140" s="5"/>
      <c r="E140" s="5"/>
      <c r="F140" s="5"/>
      <c r="G140" s="5"/>
      <c r="H140" s="2">
        <f t="shared" si="6"/>
        <v>15</v>
      </c>
    </row>
    <row r="141" spans="1:8" x14ac:dyDescent="0.25">
      <c r="A141" s="26">
        <v>17</v>
      </c>
      <c r="B141" s="5"/>
      <c r="C141" s="5"/>
      <c r="D141" s="5"/>
      <c r="E141" s="5"/>
      <c r="F141" s="5"/>
      <c r="G141" s="5"/>
      <c r="H141" s="2">
        <f t="shared" si="6"/>
        <v>15</v>
      </c>
    </row>
    <row r="142" spans="1:8" x14ac:dyDescent="0.25">
      <c r="A142" s="26">
        <v>18</v>
      </c>
      <c r="B142" s="5"/>
      <c r="C142" s="5"/>
      <c r="D142" s="5"/>
      <c r="E142" s="5"/>
      <c r="F142" s="5"/>
      <c r="G142" s="5"/>
      <c r="H142" s="2">
        <f t="shared" si="6"/>
        <v>15</v>
      </c>
    </row>
    <row r="143" spans="1:8" x14ac:dyDescent="0.25">
      <c r="A143" s="26">
        <v>19</v>
      </c>
      <c r="B143" s="5"/>
      <c r="C143" s="5"/>
      <c r="D143" s="5"/>
      <c r="E143" s="5"/>
      <c r="F143" s="5"/>
      <c r="G143" s="5"/>
      <c r="H143" s="2">
        <f t="shared" si="6"/>
        <v>15</v>
      </c>
    </row>
    <row r="144" spans="1:8" x14ac:dyDescent="0.25">
      <c r="A144" s="26">
        <v>20</v>
      </c>
      <c r="B144" s="5"/>
      <c r="C144" s="5"/>
      <c r="D144" s="5"/>
      <c r="E144" s="5"/>
      <c r="F144" s="5"/>
      <c r="G144" s="5"/>
      <c r="H144" s="2">
        <f t="shared" si="6"/>
        <v>15</v>
      </c>
    </row>
    <row r="145" spans="1:8" x14ac:dyDescent="0.25">
      <c r="A145" s="26">
        <v>21</v>
      </c>
      <c r="B145" s="5"/>
      <c r="C145" s="5"/>
      <c r="D145" s="5"/>
      <c r="E145" s="5"/>
      <c r="F145" s="5"/>
      <c r="G145" s="5"/>
      <c r="H145" s="2">
        <f t="shared" si="6"/>
        <v>15</v>
      </c>
    </row>
    <row r="146" spans="1:8" x14ac:dyDescent="0.25">
      <c r="A146" s="26">
        <v>22</v>
      </c>
      <c r="B146" s="5"/>
      <c r="C146" s="5"/>
      <c r="D146" s="5"/>
      <c r="E146" s="5"/>
      <c r="F146" s="5"/>
      <c r="G146" s="5"/>
      <c r="H146" s="2">
        <f t="shared" si="6"/>
        <v>15</v>
      </c>
    </row>
    <row r="147" spans="1:8" x14ac:dyDescent="0.25">
      <c r="A147" s="26">
        <v>23</v>
      </c>
      <c r="B147" s="5"/>
      <c r="C147" s="5"/>
      <c r="D147" s="5"/>
      <c r="E147" s="5"/>
      <c r="F147" s="5"/>
      <c r="G147" s="5"/>
      <c r="H147" s="2">
        <f t="shared" si="6"/>
        <v>15</v>
      </c>
    </row>
    <row r="148" spans="1:8" x14ac:dyDescent="0.25">
      <c r="A148" s="26">
        <v>24</v>
      </c>
      <c r="B148" s="5"/>
      <c r="C148" s="5"/>
      <c r="D148" s="5"/>
      <c r="E148" s="5"/>
      <c r="F148" s="5"/>
      <c r="G148" s="5"/>
      <c r="H148" s="2">
        <f t="shared" si="6"/>
        <v>15</v>
      </c>
    </row>
    <row r="149" spans="1:8" x14ac:dyDescent="0.25">
      <c r="A149" s="26">
        <v>25</v>
      </c>
      <c r="B149" s="5"/>
      <c r="C149" s="5"/>
      <c r="D149" s="5"/>
      <c r="E149" s="5"/>
      <c r="F149" s="5"/>
      <c r="G149" s="5"/>
      <c r="H149" s="2">
        <f t="shared" si="6"/>
        <v>15</v>
      </c>
    </row>
    <row r="150" spans="1:8" x14ac:dyDescent="0.25">
      <c r="A150" s="26">
        <v>26</v>
      </c>
      <c r="B150" s="5"/>
      <c r="C150" s="5"/>
      <c r="D150" s="5"/>
      <c r="E150" s="5"/>
      <c r="F150" s="5"/>
      <c r="G150" s="5"/>
      <c r="H150" s="2">
        <f t="shared" si="6"/>
        <v>15</v>
      </c>
    </row>
    <row r="151" spans="1:8" x14ac:dyDescent="0.25">
      <c r="A151" s="26">
        <v>27</v>
      </c>
      <c r="B151" s="5"/>
      <c r="C151" s="5"/>
      <c r="D151" s="5"/>
      <c r="E151" s="5"/>
      <c r="F151" s="5"/>
      <c r="G151" s="5"/>
      <c r="H151" s="2">
        <f t="shared" si="6"/>
        <v>15</v>
      </c>
    </row>
    <row r="152" spans="1:8" x14ac:dyDescent="0.25">
      <c r="A152" s="26">
        <v>28</v>
      </c>
      <c r="B152" s="5"/>
      <c r="C152" s="5"/>
      <c r="D152" s="5"/>
      <c r="E152" s="5"/>
      <c r="F152" s="5"/>
      <c r="G152" s="5"/>
      <c r="H152" s="2">
        <f t="shared" si="6"/>
        <v>15</v>
      </c>
    </row>
    <row r="153" spans="1:8" x14ac:dyDescent="0.25">
      <c r="A153" s="26">
        <v>29</v>
      </c>
      <c r="B153" s="5"/>
      <c r="C153" s="5"/>
      <c r="D153" s="5"/>
      <c r="E153" s="5"/>
      <c r="F153" s="5"/>
      <c r="G153" s="5"/>
      <c r="H153" s="2">
        <f t="shared" si="6"/>
        <v>15</v>
      </c>
    </row>
    <row r="154" spans="1:8" ht="15.75" thickBot="1" x14ac:dyDescent="0.3">
      <c r="A154" s="28">
        <v>30</v>
      </c>
      <c r="B154" s="29"/>
      <c r="C154" s="29"/>
      <c r="D154" s="29"/>
      <c r="E154" s="29"/>
      <c r="F154" s="29"/>
      <c r="G154" s="29"/>
      <c r="H154" s="57">
        <f t="shared" si="6"/>
        <v>15</v>
      </c>
    </row>
    <row r="155" spans="1:8" ht="15.75" thickBot="1" x14ac:dyDescent="0.3">
      <c r="A155" s="60" t="s">
        <v>35</v>
      </c>
      <c r="B155" s="58">
        <f>SUM(B125:B154)-E155</f>
        <v>0</v>
      </c>
      <c r="C155" s="58">
        <f t="shared" ref="C155:H155" si="7">SUM(C125:C154)</f>
        <v>0</v>
      </c>
      <c r="D155" s="58">
        <f t="shared" si="7"/>
        <v>0</v>
      </c>
      <c r="E155" s="58">
        <f t="shared" si="7"/>
        <v>0</v>
      </c>
      <c r="F155" s="58">
        <f t="shared" si="7"/>
        <v>0</v>
      </c>
      <c r="G155" s="58">
        <f t="shared" si="7"/>
        <v>0</v>
      </c>
      <c r="H155" s="59">
        <f t="shared" si="7"/>
        <v>450</v>
      </c>
    </row>
    <row r="158" spans="1:8" ht="36" x14ac:dyDescent="0.55000000000000004">
      <c r="A158" s="605" t="s">
        <v>1</v>
      </c>
      <c r="B158" s="605"/>
      <c r="C158" s="605"/>
      <c r="D158" s="605"/>
      <c r="E158" s="605"/>
      <c r="F158" s="605"/>
      <c r="G158" s="605"/>
      <c r="H158" s="605"/>
    </row>
    <row r="159" spans="1:8" ht="27" thickBot="1" x14ac:dyDescent="0.45">
      <c r="A159" s="606" t="s">
        <v>0</v>
      </c>
      <c r="B159" s="606"/>
      <c r="C159" s="606"/>
      <c r="D159" s="606"/>
      <c r="E159" s="606"/>
      <c r="F159" s="606"/>
      <c r="G159" s="606"/>
      <c r="H159" s="606"/>
    </row>
    <row r="160" spans="1:8" ht="15.75" x14ac:dyDescent="0.25">
      <c r="A160" s="39" t="s">
        <v>2</v>
      </c>
      <c r="B160" s="19" t="s">
        <v>3</v>
      </c>
      <c r="C160" s="20"/>
      <c r="D160" s="21" t="s">
        <v>52</v>
      </c>
      <c r="E160" s="607" t="s">
        <v>37</v>
      </c>
      <c r="F160" s="608"/>
      <c r="G160" s="19" t="s">
        <v>16</v>
      </c>
      <c r="H160" s="32" t="s">
        <v>58</v>
      </c>
    </row>
    <row r="161" spans="1:8" ht="15.75" x14ac:dyDescent="0.25">
      <c r="A161" s="609" t="s">
        <v>6</v>
      </c>
      <c r="B161" s="610"/>
      <c r="C161" s="610"/>
      <c r="D161" s="610"/>
      <c r="E161" s="610"/>
      <c r="F161" s="611"/>
      <c r="G161" s="1"/>
      <c r="H161" s="2">
        <f>H154</f>
        <v>15</v>
      </c>
    </row>
    <row r="162" spans="1:8" ht="15.75" x14ac:dyDescent="0.25">
      <c r="A162" s="3" t="s">
        <v>7</v>
      </c>
      <c r="B162" s="1"/>
      <c r="C162" s="1"/>
      <c r="D162" s="1"/>
      <c r="E162" s="1"/>
      <c r="F162" s="1"/>
      <c r="G162" s="1"/>
      <c r="H162" s="2">
        <v>28</v>
      </c>
    </row>
    <row r="163" spans="1:8" ht="51.75" thickBot="1" x14ac:dyDescent="0.3">
      <c r="A163" s="40" t="s">
        <v>8</v>
      </c>
      <c r="B163" s="41" t="s">
        <v>9</v>
      </c>
      <c r="C163" s="41" t="s">
        <v>10</v>
      </c>
      <c r="D163" s="41" t="s">
        <v>11</v>
      </c>
      <c r="E163" s="41" t="s">
        <v>12</v>
      </c>
      <c r="F163" s="41" t="s">
        <v>13</v>
      </c>
      <c r="G163" s="41" t="s">
        <v>14</v>
      </c>
      <c r="H163" s="42" t="s">
        <v>15</v>
      </c>
    </row>
    <row r="164" spans="1:8" x14ac:dyDescent="0.25">
      <c r="A164" s="36">
        <v>1</v>
      </c>
      <c r="B164" s="37"/>
      <c r="C164" s="37"/>
      <c r="D164" s="37"/>
      <c r="E164" s="37"/>
      <c r="F164" s="37"/>
      <c r="G164" s="37"/>
      <c r="H164" s="38">
        <f>H161+B164+F164-(C164+D164+G164)-E164</f>
        <v>15</v>
      </c>
    </row>
    <row r="165" spans="1:8" x14ac:dyDescent="0.25">
      <c r="A165" s="26">
        <v>2</v>
      </c>
      <c r="B165" s="5"/>
      <c r="C165" s="5"/>
      <c r="D165" s="5"/>
      <c r="E165" s="5"/>
      <c r="F165" s="5"/>
      <c r="G165" s="5"/>
      <c r="H165" s="2">
        <f>H164+B165+F165-(C165+D165+G165)-E165</f>
        <v>15</v>
      </c>
    </row>
    <row r="166" spans="1:8" x14ac:dyDescent="0.25">
      <c r="A166" s="26">
        <v>3</v>
      </c>
      <c r="B166" s="5"/>
      <c r="C166" s="5"/>
      <c r="D166" s="5"/>
      <c r="E166" s="5"/>
      <c r="F166" s="5"/>
      <c r="G166" s="5"/>
      <c r="H166" s="2">
        <f>H165+B166+F166-(C166+D166+G166)-E166</f>
        <v>15</v>
      </c>
    </row>
    <row r="167" spans="1:8" x14ac:dyDescent="0.25">
      <c r="A167" s="26">
        <v>4</v>
      </c>
      <c r="B167" s="5"/>
      <c r="C167" s="5"/>
      <c r="D167" s="5"/>
      <c r="E167" s="5"/>
      <c r="F167" s="5"/>
      <c r="G167" s="5"/>
      <c r="H167" s="2">
        <f t="shared" ref="H167:H194" si="8">H166+B167+F167-(C167+D167+G167)-E167</f>
        <v>15</v>
      </c>
    </row>
    <row r="168" spans="1:8" x14ac:dyDescent="0.25">
      <c r="A168" s="26">
        <v>5</v>
      </c>
      <c r="B168" s="5"/>
      <c r="C168" s="5"/>
      <c r="D168" s="5"/>
      <c r="E168" s="5"/>
      <c r="F168" s="5"/>
      <c r="G168" s="5"/>
      <c r="H168" s="2">
        <f t="shared" si="8"/>
        <v>15</v>
      </c>
    </row>
    <row r="169" spans="1:8" x14ac:dyDescent="0.25">
      <c r="A169" s="26">
        <v>6</v>
      </c>
      <c r="B169" s="5"/>
      <c r="C169" s="5"/>
      <c r="D169" s="5"/>
      <c r="E169" s="5"/>
      <c r="F169" s="5"/>
      <c r="G169" s="5"/>
      <c r="H169" s="2">
        <f t="shared" si="8"/>
        <v>15</v>
      </c>
    </row>
    <row r="170" spans="1:8" x14ac:dyDescent="0.25">
      <c r="A170" s="26">
        <v>7</v>
      </c>
      <c r="B170" s="5"/>
      <c r="C170" s="5"/>
      <c r="D170" s="5"/>
      <c r="E170" s="5"/>
      <c r="F170" s="5"/>
      <c r="G170" s="5"/>
      <c r="H170" s="2">
        <f t="shared" si="8"/>
        <v>15</v>
      </c>
    </row>
    <row r="171" spans="1:8" x14ac:dyDescent="0.25">
      <c r="A171" s="26">
        <v>8</v>
      </c>
      <c r="B171" s="5"/>
      <c r="C171" s="5"/>
      <c r="D171" s="5"/>
      <c r="E171" s="5"/>
      <c r="F171" s="5"/>
      <c r="G171" s="5"/>
      <c r="H171" s="2">
        <f t="shared" si="8"/>
        <v>15</v>
      </c>
    </row>
    <row r="172" spans="1:8" x14ac:dyDescent="0.25">
      <c r="A172" s="26">
        <v>9</v>
      </c>
      <c r="B172" s="5"/>
      <c r="C172" s="5"/>
      <c r="D172" s="5"/>
      <c r="E172" s="5"/>
      <c r="F172" s="5"/>
      <c r="G172" s="5"/>
      <c r="H172" s="2">
        <f t="shared" si="8"/>
        <v>15</v>
      </c>
    </row>
    <row r="173" spans="1:8" x14ac:dyDescent="0.25">
      <c r="A173" s="26">
        <v>10</v>
      </c>
      <c r="B173" s="5"/>
      <c r="C173" s="5"/>
      <c r="D173" s="5"/>
      <c r="E173" s="5"/>
      <c r="F173" s="5"/>
      <c r="G173" s="5"/>
      <c r="H173" s="2">
        <f t="shared" si="8"/>
        <v>15</v>
      </c>
    </row>
    <row r="174" spans="1:8" x14ac:dyDescent="0.25">
      <c r="A174" s="26">
        <v>11</v>
      </c>
      <c r="B174" s="5"/>
      <c r="C174" s="5"/>
      <c r="D174" s="5"/>
      <c r="E174" s="5"/>
      <c r="F174" s="5"/>
      <c r="G174" s="5"/>
      <c r="H174" s="2">
        <f t="shared" si="8"/>
        <v>15</v>
      </c>
    </row>
    <row r="175" spans="1:8" x14ac:dyDescent="0.25">
      <c r="A175" s="26">
        <v>12</v>
      </c>
      <c r="B175" s="5"/>
      <c r="C175" s="5"/>
      <c r="D175" s="5"/>
      <c r="E175" s="5"/>
      <c r="F175" s="5"/>
      <c r="G175" s="5"/>
      <c r="H175" s="2">
        <f t="shared" si="8"/>
        <v>15</v>
      </c>
    </row>
    <row r="176" spans="1:8" x14ac:dyDescent="0.25">
      <c r="A176" s="26">
        <v>13</v>
      </c>
      <c r="B176" s="5"/>
      <c r="C176" s="5"/>
      <c r="D176" s="5"/>
      <c r="E176" s="5"/>
      <c r="F176" s="5"/>
      <c r="G176" s="5"/>
      <c r="H176" s="2">
        <f t="shared" si="8"/>
        <v>15</v>
      </c>
    </row>
    <row r="177" spans="1:8" x14ac:dyDescent="0.25">
      <c r="A177" s="26">
        <v>14</v>
      </c>
      <c r="B177" s="5"/>
      <c r="C177" s="5"/>
      <c r="D177" s="5"/>
      <c r="E177" s="5"/>
      <c r="F177" s="5"/>
      <c r="G177" s="5"/>
      <c r="H177" s="2">
        <f t="shared" si="8"/>
        <v>15</v>
      </c>
    </row>
    <row r="178" spans="1:8" x14ac:dyDescent="0.25">
      <c r="A178" s="26">
        <v>15</v>
      </c>
      <c r="B178" s="5"/>
      <c r="C178" s="5"/>
      <c r="D178" s="5"/>
      <c r="E178" s="5"/>
      <c r="F178" s="5"/>
      <c r="G178" s="5"/>
      <c r="H178" s="2">
        <f t="shared" si="8"/>
        <v>15</v>
      </c>
    </row>
    <row r="179" spans="1:8" x14ac:dyDescent="0.25">
      <c r="A179" s="26">
        <v>16</v>
      </c>
      <c r="B179" s="5"/>
      <c r="C179" s="5"/>
      <c r="D179" s="5"/>
      <c r="E179" s="5"/>
      <c r="F179" s="5"/>
      <c r="G179" s="5"/>
      <c r="H179" s="2">
        <f t="shared" si="8"/>
        <v>15</v>
      </c>
    </row>
    <row r="180" spans="1:8" x14ac:dyDescent="0.25">
      <c r="A180" s="26">
        <v>17</v>
      </c>
      <c r="B180" s="5"/>
      <c r="C180" s="5"/>
      <c r="D180" s="5"/>
      <c r="E180" s="5"/>
      <c r="F180" s="5"/>
      <c r="G180" s="5"/>
      <c r="H180" s="2">
        <f t="shared" si="8"/>
        <v>15</v>
      </c>
    </row>
    <row r="181" spans="1:8" x14ac:dyDescent="0.25">
      <c r="A181" s="26">
        <v>18</v>
      </c>
      <c r="B181" s="5"/>
      <c r="C181" s="5"/>
      <c r="D181" s="5"/>
      <c r="E181" s="5"/>
      <c r="F181" s="5"/>
      <c r="G181" s="5"/>
      <c r="H181" s="2">
        <f t="shared" si="8"/>
        <v>15</v>
      </c>
    </row>
    <row r="182" spans="1:8" x14ac:dyDescent="0.25">
      <c r="A182" s="26">
        <v>19</v>
      </c>
      <c r="B182" s="5"/>
      <c r="C182" s="5"/>
      <c r="D182" s="5"/>
      <c r="E182" s="5"/>
      <c r="F182" s="5"/>
      <c r="G182" s="5"/>
      <c r="H182" s="2">
        <f t="shared" si="8"/>
        <v>15</v>
      </c>
    </row>
    <row r="183" spans="1:8" x14ac:dyDescent="0.25">
      <c r="A183" s="26">
        <v>20</v>
      </c>
      <c r="B183" s="5"/>
      <c r="C183" s="5"/>
      <c r="D183" s="5"/>
      <c r="E183" s="5"/>
      <c r="F183" s="5"/>
      <c r="G183" s="5"/>
      <c r="H183" s="2">
        <f t="shared" si="8"/>
        <v>15</v>
      </c>
    </row>
    <row r="184" spans="1:8" x14ac:dyDescent="0.25">
      <c r="A184" s="26">
        <v>21</v>
      </c>
      <c r="B184" s="5"/>
      <c r="C184" s="5"/>
      <c r="D184" s="5"/>
      <c r="E184" s="5"/>
      <c r="F184" s="5"/>
      <c r="G184" s="5"/>
      <c r="H184" s="2">
        <f t="shared" si="8"/>
        <v>15</v>
      </c>
    </row>
    <row r="185" spans="1:8" x14ac:dyDescent="0.25">
      <c r="A185" s="26">
        <v>22</v>
      </c>
      <c r="B185" s="5"/>
      <c r="C185" s="5"/>
      <c r="D185" s="5"/>
      <c r="E185" s="5"/>
      <c r="F185" s="5"/>
      <c r="G185" s="5"/>
      <c r="H185" s="2">
        <f t="shared" si="8"/>
        <v>15</v>
      </c>
    </row>
    <row r="186" spans="1:8" x14ac:dyDescent="0.25">
      <c r="A186" s="26">
        <v>23</v>
      </c>
      <c r="B186" s="5"/>
      <c r="C186" s="5"/>
      <c r="D186" s="5"/>
      <c r="E186" s="5"/>
      <c r="F186" s="5"/>
      <c r="G186" s="5"/>
      <c r="H186" s="2">
        <f t="shared" si="8"/>
        <v>15</v>
      </c>
    </row>
    <row r="187" spans="1:8" x14ac:dyDescent="0.25">
      <c r="A187" s="26">
        <v>24</v>
      </c>
      <c r="B187" s="5"/>
      <c r="C187" s="5"/>
      <c r="D187" s="5"/>
      <c r="E187" s="5"/>
      <c r="F187" s="5"/>
      <c r="G187" s="5"/>
      <c r="H187" s="2">
        <f t="shared" si="8"/>
        <v>15</v>
      </c>
    </row>
    <row r="188" spans="1:8" x14ac:dyDescent="0.25">
      <c r="A188" s="26">
        <v>25</v>
      </c>
      <c r="B188" s="5"/>
      <c r="C188" s="5"/>
      <c r="D188" s="5"/>
      <c r="E188" s="5"/>
      <c r="F188" s="5"/>
      <c r="G188" s="5"/>
      <c r="H188" s="2">
        <f t="shared" si="8"/>
        <v>15</v>
      </c>
    </row>
    <row r="189" spans="1:8" x14ac:dyDescent="0.25">
      <c r="A189" s="26">
        <v>26</v>
      </c>
      <c r="B189" s="5"/>
      <c r="C189" s="5"/>
      <c r="D189" s="5"/>
      <c r="E189" s="5"/>
      <c r="F189" s="5"/>
      <c r="G189" s="5"/>
      <c r="H189" s="2">
        <f t="shared" si="8"/>
        <v>15</v>
      </c>
    </row>
    <row r="190" spans="1:8" x14ac:dyDescent="0.25">
      <c r="A190" s="26">
        <v>27</v>
      </c>
      <c r="B190" s="5"/>
      <c r="C190" s="5"/>
      <c r="D190" s="5"/>
      <c r="E190" s="5"/>
      <c r="F190" s="5"/>
      <c r="G190" s="5"/>
      <c r="H190" s="2">
        <f t="shared" si="8"/>
        <v>15</v>
      </c>
    </row>
    <row r="191" spans="1:8" x14ac:dyDescent="0.25">
      <c r="A191" s="26">
        <v>28</v>
      </c>
      <c r="B191" s="5"/>
      <c r="C191" s="5"/>
      <c r="D191" s="5"/>
      <c r="E191" s="5"/>
      <c r="F191" s="5"/>
      <c r="G191" s="5"/>
      <c r="H191" s="2">
        <f t="shared" si="8"/>
        <v>15</v>
      </c>
    </row>
    <row r="192" spans="1:8" x14ac:dyDescent="0.25">
      <c r="A192" s="26">
        <v>29</v>
      </c>
      <c r="B192" s="5"/>
      <c r="C192" s="5"/>
      <c r="D192" s="5"/>
      <c r="E192" s="5"/>
      <c r="F192" s="5"/>
      <c r="G192" s="5"/>
      <c r="H192" s="2">
        <f t="shared" si="8"/>
        <v>15</v>
      </c>
    </row>
    <row r="193" spans="1:8" x14ac:dyDescent="0.25">
      <c r="A193" s="28">
        <v>30</v>
      </c>
      <c r="B193" s="29"/>
      <c r="C193" s="29"/>
      <c r="D193" s="29"/>
      <c r="E193" s="29"/>
      <c r="F193" s="29"/>
      <c r="G193" s="29"/>
      <c r="H193" s="57">
        <f t="shared" si="8"/>
        <v>15</v>
      </c>
    </row>
    <row r="194" spans="1:8" ht="15.75" thickBot="1" x14ac:dyDescent="0.3">
      <c r="A194" s="63">
        <v>31</v>
      </c>
      <c r="B194" s="29"/>
      <c r="C194" s="29"/>
      <c r="D194" s="29"/>
      <c r="E194" s="29"/>
      <c r="F194" s="29"/>
      <c r="G194" s="29"/>
      <c r="H194" s="29">
        <f t="shared" si="8"/>
        <v>15</v>
      </c>
    </row>
    <row r="195" spans="1:8" ht="15.75" thickBot="1" x14ac:dyDescent="0.3">
      <c r="A195" s="60" t="s">
        <v>35</v>
      </c>
      <c r="B195" s="58">
        <f>SUM(B164:B194)-E195</f>
        <v>0</v>
      </c>
      <c r="C195" s="58">
        <f t="shared" ref="C195:H195" si="9">SUM(C164:C194)</f>
        <v>0</v>
      </c>
      <c r="D195" s="58">
        <f t="shared" si="9"/>
        <v>0</v>
      </c>
      <c r="E195" s="58">
        <f t="shared" si="9"/>
        <v>0</v>
      </c>
      <c r="F195" s="58">
        <f t="shared" si="9"/>
        <v>0</v>
      </c>
      <c r="G195" s="58">
        <f t="shared" si="9"/>
        <v>0</v>
      </c>
      <c r="H195" s="59">
        <f t="shared" si="9"/>
        <v>465</v>
      </c>
    </row>
    <row r="198" spans="1:8" ht="36" x14ac:dyDescent="0.55000000000000004">
      <c r="A198" s="605" t="s">
        <v>1</v>
      </c>
      <c r="B198" s="605"/>
      <c r="C198" s="605"/>
      <c r="D198" s="605"/>
      <c r="E198" s="605"/>
      <c r="F198" s="605"/>
      <c r="G198" s="605"/>
      <c r="H198" s="605"/>
    </row>
    <row r="199" spans="1:8" ht="27" thickBot="1" x14ac:dyDescent="0.45">
      <c r="A199" s="606" t="s">
        <v>0</v>
      </c>
      <c r="B199" s="606"/>
      <c r="C199" s="606"/>
      <c r="D199" s="606"/>
      <c r="E199" s="606"/>
      <c r="F199" s="606"/>
      <c r="G199" s="606"/>
      <c r="H199" s="606"/>
    </row>
    <row r="200" spans="1:8" ht="15.75" x14ac:dyDescent="0.25">
      <c r="A200" s="39" t="s">
        <v>2</v>
      </c>
      <c r="B200" s="19" t="s">
        <v>3</v>
      </c>
      <c r="C200" s="20"/>
      <c r="D200" s="21" t="s">
        <v>52</v>
      </c>
      <c r="E200" s="607" t="s">
        <v>37</v>
      </c>
      <c r="F200" s="608"/>
      <c r="G200" s="19" t="s">
        <v>16</v>
      </c>
      <c r="H200" s="32" t="s">
        <v>60</v>
      </c>
    </row>
    <row r="201" spans="1:8" ht="15.75" x14ac:dyDescent="0.25">
      <c r="A201" s="609" t="s">
        <v>6</v>
      </c>
      <c r="B201" s="610"/>
      <c r="C201" s="610"/>
      <c r="D201" s="610"/>
      <c r="E201" s="610"/>
      <c r="F201" s="611"/>
      <c r="G201" s="1"/>
      <c r="H201" s="2">
        <f>H194</f>
        <v>15</v>
      </c>
    </row>
    <row r="202" spans="1:8" ht="15.75" x14ac:dyDescent="0.25">
      <c r="A202" s="3" t="s">
        <v>7</v>
      </c>
      <c r="B202" s="1"/>
      <c r="C202" s="1"/>
      <c r="D202" s="1"/>
      <c r="E202" s="1"/>
      <c r="F202" s="1"/>
      <c r="G202" s="1"/>
      <c r="H202" s="2">
        <v>28</v>
      </c>
    </row>
    <row r="203" spans="1:8" ht="51.75" thickBot="1" x14ac:dyDescent="0.3">
      <c r="A203" s="40" t="s">
        <v>8</v>
      </c>
      <c r="B203" s="41" t="s">
        <v>9</v>
      </c>
      <c r="C203" s="41" t="s">
        <v>10</v>
      </c>
      <c r="D203" s="41" t="s">
        <v>11</v>
      </c>
      <c r="E203" s="41" t="s">
        <v>12</v>
      </c>
      <c r="F203" s="41" t="s">
        <v>13</v>
      </c>
      <c r="G203" s="41" t="s">
        <v>14</v>
      </c>
      <c r="H203" s="42" t="s">
        <v>15</v>
      </c>
    </row>
    <row r="204" spans="1:8" x14ac:dyDescent="0.25">
      <c r="A204" s="36">
        <v>1</v>
      </c>
      <c r="B204" s="37"/>
      <c r="C204" s="37"/>
      <c r="D204" s="37"/>
      <c r="E204" s="37"/>
      <c r="F204" s="37"/>
      <c r="G204" s="37"/>
      <c r="H204" s="38">
        <f>H201+B204+F204-(C204+D204+G204)-E204</f>
        <v>15</v>
      </c>
    </row>
    <row r="205" spans="1:8" x14ac:dyDescent="0.25">
      <c r="A205" s="26">
        <v>2</v>
      </c>
      <c r="B205" s="5"/>
      <c r="C205" s="5"/>
      <c r="D205" s="5"/>
      <c r="E205" s="5"/>
      <c r="F205" s="5"/>
      <c r="G205" s="5"/>
      <c r="H205" s="2">
        <f>H204+B205+F205-(C205+D205+G205)-E205</f>
        <v>15</v>
      </c>
    </row>
    <row r="206" spans="1:8" x14ac:dyDescent="0.25">
      <c r="A206" s="26">
        <v>3</v>
      </c>
      <c r="B206" s="5"/>
      <c r="C206" s="5"/>
      <c r="D206" s="5"/>
      <c r="E206" s="5"/>
      <c r="F206" s="5"/>
      <c r="G206" s="5"/>
      <c r="H206" s="2">
        <f>H205+B206+F206-(C206+D206+G206)-E206</f>
        <v>15</v>
      </c>
    </row>
    <row r="207" spans="1:8" x14ac:dyDescent="0.25">
      <c r="A207" s="26">
        <v>4</v>
      </c>
      <c r="B207" s="5"/>
      <c r="C207" s="5"/>
      <c r="D207" s="5"/>
      <c r="E207" s="5"/>
      <c r="F207" s="5"/>
      <c r="G207" s="5"/>
      <c r="H207" s="2">
        <f t="shared" ref="H207:H233" si="10">H206+B207+F207-(C207+D207+G207)-E207</f>
        <v>15</v>
      </c>
    </row>
    <row r="208" spans="1:8" x14ac:dyDescent="0.25">
      <c r="A208" s="26">
        <v>5</v>
      </c>
      <c r="B208" s="5"/>
      <c r="C208" s="5"/>
      <c r="D208" s="5"/>
      <c r="E208" s="5"/>
      <c r="F208" s="5"/>
      <c r="G208" s="5"/>
      <c r="H208" s="2">
        <f t="shared" si="10"/>
        <v>15</v>
      </c>
    </row>
    <row r="209" spans="1:8" x14ac:dyDescent="0.25">
      <c r="A209" s="26">
        <v>6</v>
      </c>
      <c r="B209" s="5"/>
      <c r="C209" s="5"/>
      <c r="D209" s="5"/>
      <c r="E209" s="5"/>
      <c r="F209" s="5"/>
      <c r="G209" s="5"/>
      <c r="H209" s="2">
        <f t="shared" si="10"/>
        <v>15</v>
      </c>
    </row>
    <row r="210" spans="1:8" x14ac:dyDescent="0.25">
      <c r="A210" s="26">
        <v>7</v>
      </c>
      <c r="B210" s="5"/>
      <c r="C210" s="5"/>
      <c r="D210" s="5"/>
      <c r="E210" s="5"/>
      <c r="F210" s="5"/>
      <c r="G210" s="5"/>
      <c r="H210" s="2">
        <f t="shared" si="10"/>
        <v>15</v>
      </c>
    </row>
    <row r="211" spans="1:8" x14ac:dyDescent="0.25">
      <c r="A211" s="26">
        <v>8</v>
      </c>
      <c r="B211" s="5"/>
      <c r="C211" s="5"/>
      <c r="D211" s="5"/>
      <c r="E211" s="5"/>
      <c r="F211" s="5"/>
      <c r="G211" s="5"/>
      <c r="H211" s="2">
        <f t="shared" si="10"/>
        <v>15</v>
      </c>
    </row>
    <row r="212" spans="1:8" x14ac:dyDescent="0.25">
      <c r="A212" s="26">
        <v>9</v>
      </c>
      <c r="B212" s="5"/>
      <c r="C212" s="5"/>
      <c r="D212" s="5"/>
      <c r="E212" s="5"/>
      <c r="F212" s="5"/>
      <c r="G212" s="5"/>
      <c r="H212" s="2">
        <f t="shared" si="10"/>
        <v>15</v>
      </c>
    </row>
    <row r="213" spans="1:8" x14ac:dyDescent="0.25">
      <c r="A213" s="26">
        <v>10</v>
      </c>
      <c r="B213" s="5"/>
      <c r="C213" s="5"/>
      <c r="D213" s="5"/>
      <c r="E213" s="5"/>
      <c r="F213" s="5"/>
      <c r="G213" s="5"/>
      <c r="H213" s="2">
        <f t="shared" si="10"/>
        <v>15</v>
      </c>
    </row>
    <row r="214" spans="1:8" x14ac:dyDescent="0.25">
      <c r="A214" s="26">
        <v>11</v>
      </c>
      <c r="B214" s="5"/>
      <c r="C214" s="5"/>
      <c r="D214" s="5"/>
      <c r="E214" s="5"/>
      <c r="F214" s="5"/>
      <c r="G214" s="5"/>
      <c r="H214" s="2">
        <f t="shared" si="10"/>
        <v>15</v>
      </c>
    </row>
    <row r="215" spans="1:8" x14ac:dyDescent="0.25">
      <c r="A215" s="26">
        <v>12</v>
      </c>
      <c r="B215" s="5"/>
      <c r="C215" s="5"/>
      <c r="D215" s="5"/>
      <c r="E215" s="5"/>
      <c r="F215" s="5"/>
      <c r="G215" s="5"/>
      <c r="H215" s="2">
        <f t="shared" si="10"/>
        <v>15</v>
      </c>
    </row>
    <row r="216" spans="1:8" x14ac:dyDescent="0.25">
      <c r="A216" s="26">
        <v>13</v>
      </c>
      <c r="B216" s="5"/>
      <c r="C216" s="5"/>
      <c r="D216" s="5"/>
      <c r="E216" s="5"/>
      <c r="F216" s="5"/>
      <c r="G216" s="5"/>
      <c r="H216" s="2">
        <f t="shared" si="10"/>
        <v>15</v>
      </c>
    </row>
    <row r="217" spans="1:8" x14ac:dyDescent="0.25">
      <c r="A217" s="26">
        <v>14</v>
      </c>
      <c r="B217" s="5"/>
      <c r="C217" s="5"/>
      <c r="D217" s="5"/>
      <c r="E217" s="5"/>
      <c r="F217" s="5"/>
      <c r="G217" s="5"/>
      <c r="H217" s="2">
        <f t="shared" si="10"/>
        <v>15</v>
      </c>
    </row>
    <row r="218" spans="1:8" x14ac:dyDescent="0.25">
      <c r="A218" s="26">
        <v>15</v>
      </c>
      <c r="B218" s="5"/>
      <c r="C218" s="5"/>
      <c r="D218" s="5"/>
      <c r="E218" s="5"/>
      <c r="F218" s="5"/>
      <c r="G218" s="5"/>
      <c r="H218" s="2">
        <f t="shared" si="10"/>
        <v>15</v>
      </c>
    </row>
    <row r="219" spans="1:8" x14ac:dyDescent="0.25">
      <c r="A219" s="26">
        <v>16</v>
      </c>
      <c r="B219" s="5"/>
      <c r="C219" s="5"/>
      <c r="D219" s="5"/>
      <c r="E219" s="5"/>
      <c r="F219" s="5"/>
      <c r="G219" s="5"/>
      <c r="H219" s="2">
        <f t="shared" si="10"/>
        <v>15</v>
      </c>
    </row>
    <row r="220" spans="1:8" x14ac:dyDescent="0.25">
      <c r="A220" s="26">
        <v>17</v>
      </c>
      <c r="B220" s="5"/>
      <c r="C220" s="5"/>
      <c r="D220" s="5"/>
      <c r="E220" s="5"/>
      <c r="F220" s="5"/>
      <c r="G220" s="5"/>
      <c r="H220" s="2">
        <f t="shared" si="10"/>
        <v>15</v>
      </c>
    </row>
    <row r="221" spans="1:8" x14ac:dyDescent="0.25">
      <c r="A221" s="26">
        <v>18</v>
      </c>
      <c r="B221" s="5"/>
      <c r="C221" s="5"/>
      <c r="D221" s="5"/>
      <c r="E221" s="5"/>
      <c r="F221" s="5"/>
      <c r="G221" s="5"/>
      <c r="H221" s="2">
        <f t="shared" si="10"/>
        <v>15</v>
      </c>
    </row>
    <row r="222" spans="1:8" x14ac:dyDescent="0.25">
      <c r="A222" s="26">
        <v>19</v>
      </c>
      <c r="B222" s="5"/>
      <c r="C222" s="5"/>
      <c r="D222" s="5"/>
      <c r="E222" s="5"/>
      <c r="F222" s="5"/>
      <c r="G222" s="5"/>
      <c r="H222" s="2">
        <f t="shared" si="10"/>
        <v>15</v>
      </c>
    </row>
    <row r="223" spans="1:8" x14ac:dyDescent="0.25">
      <c r="A223" s="26">
        <v>20</v>
      </c>
      <c r="B223" s="5"/>
      <c r="C223" s="5"/>
      <c r="D223" s="5"/>
      <c r="E223" s="5"/>
      <c r="F223" s="5"/>
      <c r="G223" s="5"/>
      <c r="H223" s="2">
        <f t="shared" si="10"/>
        <v>15</v>
      </c>
    </row>
    <row r="224" spans="1:8" x14ac:dyDescent="0.25">
      <c r="A224" s="26">
        <v>21</v>
      </c>
      <c r="B224" s="5"/>
      <c r="C224" s="5"/>
      <c r="D224" s="5"/>
      <c r="E224" s="5"/>
      <c r="F224" s="5"/>
      <c r="G224" s="5"/>
      <c r="H224" s="2">
        <f t="shared" si="10"/>
        <v>15</v>
      </c>
    </row>
    <row r="225" spans="1:8" x14ac:dyDescent="0.25">
      <c r="A225" s="26">
        <v>22</v>
      </c>
      <c r="B225" s="5"/>
      <c r="C225" s="5"/>
      <c r="D225" s="5"/>
      <c r="E225" s="5"/>
      <c r="F225" s="5"/>
      <c r="G225" s="5"/>
      <c r="H225" s="2">
        <f t="shared" si="10"/>
        <v>15</v>
      </c>
    </row>
    <row r="226" spans="1:8" x14ac:dyDescent="0.25">
      <c r="A226" s="26">
        <v>23</v>
      </c>
      <c r="B226" s="5"/>
      <c r="C226" s="5"/>
      <c r="D226" s="5"/>
      <c r="E226" s="5"/>
      <c r="F226" s="5"/>
      <c r="G226" s="5"/>
      <c r="H226" s="2">
        <f t="shared" si="10"/>
        <v>15</v>
      </c>
    </row>
    <row r="227" spans="1:8" x14ac:dyDescent="0.25">
      <c r="A227" s="26">
        <v>24</v>
      </c>
      <c r="B227" s="5"/>
      <c r="C227" s="5"/>
      <c r="D227" s="5"/>
      <c r="E227" s="5"/>
      <c r="F227" s="5"/>
      <c r="G227" s="5"/>
      <c r="H227" s="2">
        <f t="shared" si="10"/>
        <v>15</v>
      </c>
    </row>
    <row r="228" spans="1:8" x14ac:dyDescent="0.25">
      <c r="A228" s="26">
        <v>25</v>
      </c>
      <c r="B228" s="5"/>
      <c r="C228" s="5"/>
      <c r="D228" s="5"/>
      <c r="E228" s="5"/>
      <c r="F228" s="5"/>
      <c r="G228" s="5"/>
      <c r="H228" s="2">
        <f t="shared" si="10"/>
        <v>15</v>
      </c>
    </row>
    <row r="229" spans="1:8" x14ac:dyDescent="0.25">
      <c r="A229" s="26">
        <v>26</v>
      </c>
      <c r="B229" s="5"/>
      <c r="C229" s="5"/>
      <c r="D229" s="5"/>
      <c r="E229" s="5"/>
      <c r="F229" s="5"/>
      <c r="G229" s="5"/>
      <c r="H229" s="2">
        <f t="shared" si="10"/>
        <v>15</v>
      </c>
    </row>
    <row r="230" spans="1:8" x14ac:dyDescent="0.25">
      <c r="A230" s="26">
        <v>27</v>
      </c>
      <c r="B230" s="5"/>
      <c r="C230" s="5"/>
      <c r="D230" s="5"/>
      <c r="E230" s="5"/>
      <c r="F230" s="5"/>
      <c r="G230" s="5"/>
      <c r="H230" s="2">
        <f t="shared" si="10"/>
        <v>15</v>
      </c>
    </row>
    <row r="231" spans="1:8" x14ac:dyDescent="0.25">
      <c r="A231" s="26">
        <v>28</v>
      </c>
      <c r="B231" s="5"/>
      <c r="C231" s="5"/>
      <c r="D231" s="5"/>
      <c r="E231" s="5"/>
      <c r="F231" s="5"/>
      <c r="G231" s="5"/>
      <c r="H231" s="2">
        <f t="shared" si="10"/>
        <v>15</v>
      </c>
    </row>
    <row r="232" spans="1:8" x14ac:dyDescent="0.25">
      <c r="A232" s="26">
        <v>29</v>
      </c>
      <c r="B232" s="5"/>
      <c r="C232" s="5"/>
      <c r="D232" s="5"/>
      <c r="E232" s="5"/>
      <c r="F232" s="5"/>
      <c r="G232" s="5"/>
      <c r="H232" s="2">
        <f t="shared" si="10"/>
        <v>15</v>
      </c>
    </row>
    <row r="233" spans="1:8" ht="15.75" thickBot="1" x14ac:dyDescent="0.3">
      <c r="A233" s="28">
        <v>30</v>
      </c>
      <c r="B233" s="29"/>
      <c r="C233" s="29"/>
      <c r="D233" s="29"/>
      <c r="E233" s="29"/>
      <c r="F233" s="29"/>
      <c r="G233" s="29"/>
      <c r="H233" s="57">
        <f t="shared" si="10"/>
        <v>15</v>
      </c>
    </row>
    <row r="234" spans="1:8" ht="15.75" thickBot="1" x14ac:dyDescent="0.3">
      <c r="A234" s="60" t="s">
        <v>35</v>
      </c>
      <c r="B234" s="58">
        <f>SUM(B204:B233)-E234</f>
        <v>0</v>
      </c>
      <c r="C234" s="58">
        <f t="shared" ref="C234:H234" si="11">SUM(C204:C233)</f>
        <v>0</v>
      </c>
      <c r="D234" s="58">
        <f t="shared" si="11"/>
        <v>0</v>
      </c>
      <c r="E234" s="58">
        <f t="shared" si="11"/>
        <v>0</v>
      </c>
      <c r="F234" s="58">
        <f t="shared" si="11"/>
        <v>0</v>
      </c>
      <c r="G234" s="58">
        <f t="shared" si="11"/>
        <v>0</v>
      </c>
      <c r="H234" s="59">
        <f t="shared" si="11"/>
        <v>450</v>
      </c>
    </row>
    <row r="237" spans="1:8" ht="36" x14ac:dyDescent="0.55000000000000004">
      <c r="A237" s="605" t="s">
        <v>1</v>
      </c>
      <c r="B237" s="605"/>
      <c r="C237" s="605"/>
      <c r="D237" s="605"/>
      <c r="E237" s="605"/>
      <c r="F237" s="605"/>
      <c r="G237" s="605"/>
      <c r="H237" s="605"/>
    </row>
    <row r="238" spans="1:8" ht="27" thickBot="1" x14ac:dyDescent="0.45">
      <c r="A238" s="606" t="s">
        <v>0</v>
      </c>
      <c r="B238" s="606"/>
      <c r="C238" s="606"/>
      <c r="D238" s="606"/>
      <c r="E238" s="606"/>
      <c r="F238" s="606"/>
      <c r="G238" s="606"/>
      <c r="H238" s="606"/>
    </row>
    <row r="239" spans="1:8" ht="15.75" x14ac:dyDescent="0.25">
      <c r="A239" s="39" t="s">
        <v>2</v>
      </c>
      <c r="B239" s="19" t="s">
        <v>3</v>
      </c>
      <c r="C239" s="20"/>
      <c r="D239" s="21" t="s">
        <v>52</v>
      </c>
      <c r="E239" s="607" t="s">
        <v>37</v>
      </c>
      <c r="F239" s="608"/>
      <c r="G239" s="19" t="s">
        <v>16</v>
      </c>
      <c r="H239" s="32" t="s">
        <v>61</v>
      </c>
    </row>
    <row r="240" spans="1:8" ht="15.75" x14ac:dyDescent="0.25">
      <c r="A240" s="609" t="s">
        <v>6</v>
      </c>
      <c r="B240" s="610"/>
      <c r="C240" s="610"/>
      <c r="D240" s="610"/>
      <c r="E240" s="610"/>
      <c r="F240" s="611"/>
      <c r="G240" s="1"/>
      <c r="H240" s="2">
        <f>H233</f>
        <v>15</v>
      </c>
    </row>
    <row r="241" spans="1:8" ht="15.75" x14ac:dyDescent="0.25">
      <c r="A241" s="3" t="s">
        <v>7</v>
      </c>
      <c r="B241" s="1"/>
      <c r="C241" s="1"/>
      <c r="D241" s="1"/>
      <c r="E241" s="1"/>
      <c r="F241" s="1"/>
      <c r="G241" s="1"/>
      <c r="H241" s="2">
        <v>28</v>
      </c>
    </row>
    <row r="242" spans="1:8" ht="51.75" thickBot="1" x14ac:dyDescent="0.3">
      <c r="A242" s="40" t="s">
        <v>8</v>
      </c>
      <c r="B242" s="41" t="s">
        <v>9</v>
      </c>
      <c r="C242" s="41" t="s">
        <v>10</v>
      </c>
      <c r="D242" s="41" t="s">
        <v>11</v>
      </c>
      <c r="E242" s="41" t="s">
        <v>12</v>
      </c>
      <c r="F242" s="41" t="s">
        <v>13</v>
      </c>
      <c r="G242" s="41" t="s">
        <v>14</v>
      </c>
      <c r="H242" s="42" t="s">
        <v>15</v>
      </c>
    </row>
    <row r="243" spans="1:8" x14ac:dyDescent="0.25">
      <c r="A243" s="36">
        <v>1</v>
      </c>
      <c r="B243" s="37"/>
      <c r="C243" s="37"/>
      <c r="D243" s="37"/>
      <c r="E243" s="37"/>
      <c r="F243" s="37"/>
      <c r="G243" s="37"/>
      <c r="H243" s="38">
        <f>H240+B243+F243-(C243+D243+G243)-E243</f>
        <v>15</v>
      </c>
    </row>
    <row r="244" spans="1:8" x14ac:dyDescent="0.25">
      <c r="A244" s="26">
        <v>2</v>
      </c>
      <c r="B244" s="5"/>
      <c r="C244" s="5"/>
      <c r="D244" s="5"/>
      <c r="E244" s="5"/>
      <c r="F244" s="5"/>
      <c r="G244" s="5"/>
      <c r="H244" s="2">
        <f>H243+B244+F244-(C244+D244+G244)-E244</f>
        <v>15</v>
      </c>
    </row>
    <row r="245" spans="1:8" x14ac:dyDescent="0.25">
      <c r="A245" s="26">
        <v>3</v>
      </c>
      <c r="B245" s="5"/>
      <c r="C245" s="5"/>
      <c r="D245" s="5"/>
      <c r="E245" s="5"/>
      <c r="F245" s="5"/>
      <c r="G245" s="5"/>
      <c r="H245" s="2">
        <f>H244+B245+F245-(C245+D245+G245)-E245</f>
        <v>15</v>
      </c>
    </row>
    <row r="246" spans="1:8" x14ac:dyDescent="0.25">
      <c r="A246" s="26">
        <v>4</v>
      </c>
      <c r="B246" s="5"/>
      <c r="C246" s="5"/>
      <c r="D246" s="5"/>
      <c r="E246" s="5"/>
      <c r="F246" s="5"/>
      <c r="G246" s="5"/>
      <c r="H246" s="2">
        <f t="shared" ref="H246:H273" si="12">H245+B246+F246-(C246+D246+G246)-E246</f>
        <v>15</v>
      </c>
    </row>
    <row r="247" spans="1:8" x14ac:dyDescent="0.25">
      <c r="A247" s="26">
        <v>5</v>
      </c>
      <c r="B247" s="5"/>
      <c r="C247" s="5"/>
      <c r="D247" s="5"/>
      <c r="E247" s="5"/>
      <c r="F247" s="5"/>
      <c r="G247" s="5"/>
      <c r="H247" s="2">
        <f t="shared" si="12"/>
        <v>15</v>
      </c>
    </row>
    <row r="248" spans="1:8" x14ac:dyDescent="0.25">
      <c r="A248" s="26">
        <v>6</v>
      </c>
      <c r="B248" s="5"/>
      <c r="C248" s="5"/>
      <c r="D248" s="5"/>
      <c r="E248" s="5"/>
      <c r="F248" s="5"/>
      <c r="G248" s="5"/>
      <c r="H248" s="2">
        <f t="shared" si="12"/>
        <v>15</v>
      </c>
    </row>
    <row r="249" spans="1:8" x14ac:dyDescent="0.25">
      <c r="A249" s="26">
        <v>7</v>
      </c>
      <c r="B249" s="5"/>
      <c r="C249" s="5"/>
      <c r="D249" s="5"/>
      <c r="E249" s="5"/>
      <c r="F249" s="5"/>
      <c r="G249" s="5"/>
      <c r="H249" s="2">
        <f t="shared" si="12"/>
        <v>15</v>
      </c>
    </row>
    <row r="250" spans="1:8" x14ac:dyDescent="0.25">
      <c r="A250" s="26">
        <v>8</v>
      </c>
      <c r="B250" s="5"/>
      <c r="C250" s="5"/>
      <c r="D250" s="5"/>
      <c r="E250" s="5"/>
      <c r="F250" s="5"/>
      <c r="G250" s="5"/>
      <c r="H250" s="2">
        <f t="shared" si="12"/>
        <v>15</v>
      </c>
    </row>
    <row r="251" spans="1:8" x14ac:dyDescent="0.25">
      <c r="A251" s="26">
        <v>9</v>
      </c>
      <c r="B251" s="5"/>
      <c r="C251" s="5"/>
      <c r="D251" s="5"/>
      <c r="E251" s="5"/>
      <c r="F251" s="5"/>
      <c r="G251" s="5"/>
      <c r="H251" s="2">
        <f t="shared" si="12"/>
        <v>15</v>
      </c>
    </row>
    <row r="252" spans="1:8" x14ac:dyDescent="0.25">
      <c r="A252" s="26">
        <v>10</v>
      </c>
      <c r="B252" s="5"/>
      <c r="C252" s="5"/>
      <c r="D252" s="5"/>
      <c r="E252" s="5"/>
      <c r="F252" s="5"/>
      <c r="G252" s="5"/>
      <c r="H252" s="2">
        <f t="shared" si="12"/>
        <v>15</v>
      </c>
    </row>
    <row r="253" spans="1:8" x14ac:dyDescent="0.25">
      <c r="A253" s="26">
        <v>11</v>
      </c>
      <c r="B253" s="5"/>
      <c r="C253" s="5"/>
      <c r="D253" s="5"/>
      <c r="E253" s="5"/>
      <c r="F253" s="5"/>
      <c r="G253" s="5"/>
      <c r="H253" s="2">
        <f t="shared" si="12"/>
        <v>15</v>
      </c>
    </row>
    <row r="254" spans="1:8" x14ac:dyDescent="0.25">
      <c r="A254" s="26">
        <v>12</v>
      </c>
      <c r="B254" s="5"/>
      <c r="C254" s="5"/>
      <c r="D254" s="5"/>
      <c r="E254" s="5"/>
      <c r="F254" s="5"/>
      <c r="G254" s="5"/>
      <c r="H254" s="2">
        <f t="shared" si="12"/>
        <v>15</v>
      </c>
    </row>
    <row r="255" spans="1:8" x14ac:dyDescent="0.25">
      <c r="A255" s="26">
        <v>13</v>
      </c>
      <c r="B255" s="5"/>
      <c r="C255" s="5"/>
      <c r="D255" s="5"/>
      <c r="E255" s="5"/>
      <c r="F255" s="5"/>
      <c r="G255" s="5"/>
      <c r="H255" s="2">
        <f t="shared" si="12"/>
        <v>15</v>
      </c>
    </row>
    <row r="256" spans="1:8" x14ac:dyDescent="0.25">
      <c r="A256" s="26">
        <v>14</v>
      </c>
      <c r="B256" s="5"/>
      <c r="C256" s="5"/>
      <c r="D256" s="5"/>
      <c r="E256" s="5"/>
      <c r="F256" s="5"/>
      <c r="G256" s="5"/>
      <c r="H256" s="2">
        <f t="shared" si="12"/>
        <v>15</v>
      </c>
    </row>
    <row r="257" spans="1:8" x14ac:dyDescent="0.25">
      <c r="A257" s="26">
        <v>15</v>
      </c>
      <c r="B257" s="5"/>
      <c r="C257" s="5"/>
      <c r="D257" s="5"/>
      <c r="E257" s="5"/>
      <c r="F257" s="5"/>
      <c r="G257" s="5"/>
      <c r="H257" s="2">
        <f t="shared" si="12"/>
        <v>15</v>
      </c>
    </row>
    <row r="258" spans="1:8" x14ac:dyDescent="0.25">
      <c r="A258" s="26">
        <v>16</v>
      </c>
      <c r="B258" s="5"/>
      <c r="C258" s="5"/>
      <c r="D258" s="5"/>
      <c r="E258" s="5"/>
      <c r="F258" s="5"/>
      <c r="G258" s="5"/>
      <c r="H258" s="2">
        <f t="shared" si="12"/>
        <v>15</v>
      </c>
    </row>
    <row r="259" spans="1:8" x14ac:dyDescent="0.25">
      <c r="A259" s="26">
        <v>17</v>
      </c>
      <c r="B259" s="5"/>
      <c r="C259" s="5"/>
      <c r="D259" s="5"/>
      <c r="E259" s="5"/>
      <c r="F259" s="5"/>
      <c r="G259" s="5"/>
      <c r="H259" s="2">
        <f t="shared" si="12"/>
        <v>15</v>
      </c>
    </row>
    <row r="260" spans="1:8" x14ac:dyDescent="0.25">
      <c r="A260" s="26">
        <v>18</v>
      </c>
      <c r="B260" s="5"/>
      <c r="C260" s="5"/>
      <c r="D260" s="5"/>
      <c r="E260" s="5"/>
      <c r="F260" s="5"/>
      <c r="G260" s="5"/>
      <c r="H260" s="2">
        <f t="shared" si="12"/>
        <v>15</v>
      </c>
    </row>
    <row r="261" spans="1:8" x14ac:dyDescent="0.25">
      <c r="A261" s="26">
        <v>19</v>
      </c>
      <c r="B261" s="5"/>
      <c r="C261" s="5"/>
      <c r="D261" s="5"/>
      <c r="E261" s="5"/>
      <c r="F261" s="5"/>
      <c r="G261" s="5"/>
      <c r="H261" s="2">
        <f t="shared" si="12"/>
        <v>15</v>
      </c>
    </row>
    <row r="262" spans="1:8" x14ac:dyDescent="0.25">
      <c r="A262" s="26">
        <v>20</v>
      </c>
      <c r="B262" s="5"/>
      <c r="C262" s="5"/>
      <c r="D262" s="5"/>
      <c r="E262" s="5"/>
      <c r="F262" s="5"/>
      <c r="G262" s="5"/>
      <c r="H262" s="2">
        <f t="shared" si="12"/>
        <v>15</v>
      </c>
    </row>
    <row r="263" spans="1:8" x14ac:dyDescent="0.25">
      <c r="A263" s="26">
        <v>21</v>
      </c>
      <c r="B263" s="5"/>
      <c r="C263" s="5"/>
      <c r="D263" s="5"/>
      <c r="E263" s="5"/>
      <c r="F263" s="5"/>
      <c r="G263" s="5"/>
      <c r="H263" s="2">
        <f t="shared" si="12"/>
        <v>15</v>
      </c>
    </row>
    <row r="264" spans="1:8" x14ac:dyDescent="0.25">
      <c r="A264" s="26">
        <v>22</v>
      </c>
      <c r="B264" s="5"/>
      <c r="C264" s="5"/>
      <c r="D264" s="5"/>
      <c r="E264" s="5"/>
      <c r="F264" s="5"/>
      <c r="G264" s="5"/>
      <c r="H264" s="2">
        <f t="shared" si="12"/>
        <v>15</v>
      </c>
    </row>
    <row r="265" spans="1:8" x14ac:dyDescent="0.25">
      <c r="A265" s="26">
        <v>23</v>
      </c>
      <c r="B265" s="5"/>
      <c r="C265" s="5"/>
      <c r="D265" s="5"/>
      <c r="E265" s="5"/>
      <c r="F265" s="5"/>
      <c r="G265" s="5"/>
      <c r="H265" s="2">
        <f t="shared" si="12"/>
        <v>15</v>
      </c>
    </row>
    <row r="266" spans="1:8" x14ac:dyDescent="0.25">
      <c r="A266" s="26">
        <v>24</v>
      </c>
      <c r="B266" s="5"/>
      <c r="C266" s="5"/>
      <c r="D266" s="5"/>
      <c r="E266" s="5"/>
      <c r="F266" s="5"/>
      <c r="G266" s="5"/>
      <c r="H266" s="2">
        <f t="shared" si="12"/>
        <v>15</v>
      </c>
    </row>
    <row r="267" spans="1:8" x14ac:dyDescent="0.25">
      <c r="A267" s="26">
        <v>25</v>
      </c>
      <c r="B267" s="5"/>
      <c r="C267" s="5"/>
      <c r="D267" s="5"/>
      <c r="E267" s="5"/>
      <c r="F267" s="5"/>
      <c r="G267" s="5"/>
      <c r="H267" s="2">
        <f t="shared" si="12"/>
        <v>15</v>
      </c>
    </row>
    <row r="268" spans="1:8" x14ac:dyDescent="0.25">
      <c r="A268" s="26">
        <v>26</v>
      </c>
      <c r="B268" s="5"/>
      <c r="C268" s="5"/>
      <c r="D268" s="5"/>
      <c r="E268" s="5"/>
      <c r="F268" s="5"/>
      <c r="G268" s="5"/>
      <c r="H268" s="2">
        <f t="shared" si="12"/>
        <v>15</v>
      </c>
    </row>
    <row r="269" spans="1:8" x14ac:dyDescent="0.25">
      <c r="A269" s="26">
        <v>27</v>
      </c>
      <c r="B269" s="5"/>
      <c r="C269" s="5"/>
      <c r="D269" s="5"/>
      <c r="E269" s="5"/>
      <c r="F269" s="5"/>
      <c r="G269" s="5"/>
      <c r="H269" s="2">
        <f t="shared" si="12"/>
        <v>15</v>
      </c>
    </row>
    <row r="270" spans="1:8" x14ac:dyDescent="0.25">
      <c r="A270" s="26">
        <v>28</v>
      </c>
      <c r="B270" s="5"/>
      <c r="C270" s="5"/>
      <c r="D270" s="5"/>
      <c r="E270" s="5"/>
      <c r="F270" s="5"/>
      <c r="G270" s="5"/>
      <c r="H270" s="2">
        <f t="shared" si="12"/>
        <v>15</v>
      </c>
    </row>
    <row r="271" spans="1:8" x14ac:dyDescent="0.25">
      <c r="A271" s="26">
        <v>29</v>
      </c>
      <c r="B271" s="5"/>
      <c r="C271" s="5"/>
      <c r="D271" s="5"/>
      <c r="E271" s="5"/>
      <c r="F271" s="5"/>
      <c r="G271" s="5"/>
      <c r="H271" s="2">
        <f t="shared" si="12"/>
        <v>15</v>
      </c>
    </row>
    <row r="272" spans="1:8" x14ac:dyDescent="0.25">
      <c r="A272" s="11">
        <v>30</v>
      </c>
      <c r="B272" s="5"/>
      <c r="C272" s="5"/>
      <c r="D272" s="5"/>
      <c r="E272" s="5"/>
      <c r="F272" s="5"/>
      <c r="G272" s="5"/>
      <c r="H272" s="5">
        <f t="shared" si="12"/>
        <v>15</v>
      </c>
    </row>
    <row r="273" spans="1:8" ht="15.75" thickBot="1" x14ac:dyDescent="0.3">
      <c r="A273" s="63">
        <v>31</v>
      </c>
      <c r="B273" s="29"/>
      <c r="C273" s="29"/>
      <c r="D273" s="29"/>
      <c r="E273" s="29"/>
      <c r="F273" s="29"/>
      <c r="G273" s="29"/>
      <c r="H273" s="5">
        <f t="shared" si="12"/>
        <v>15</v>
      </c>
    </row>
    <row r="274" spans="1:8" ht="15.75" thickBot="1" x14ac:dyDescent="0.3">
      <c r="A274" s="60" t="s">
        <v>35</v>
      </c>
      <c r="B274" s="58">
        <f>SUM(B243:B273)-E274</f>
        <v>0</v>
      </c>
      <c r="C274" s="58">
        <f t="shared" ref="C274:H274" si="13">SUM(C243:C273)</f>
        <v>0</v>
      </c>
      <c r="D274" s="58">
        <f t="shared" si="13"/>
        <v>0</v>
      </c>
      <c r="E274" s="58">
        <f t="shared" si="13"/>
        <v>0</v>
      </c>
      <c r="F274" s="58">
        <f t="shared" si="13"/>
        <v>0</v>
      </c>
      <c r="G274" s="58">
        <f t="shared" si="13"/>
        <v>0</v>
      </c>
      <c r="H274" s="58">
        <f t="shared" si="13"/>
        <v>465</v>
      </c>
    </row>
    <row r="277" spans="1:8" ht="36" x14ac:dyDescent="0.55000000000000004">
      <c r="A277" s="605" t="s">
        <v>1</v>
      </c>
      <c r="B277" s="605"/>
      <c r="C277" s="605"/>
      <c r="D277" s="605"/>
      <c r="E277" s="605"/>
      <c r="F277" s="605"/>
      <c r="G277" s="605"/>
      <c r="H277" s="605"/>
    </row>
    <row r="278" spans="1:8" ht="27" thickBot="1" x14ac:dyDescent="0.45">
      <c r="A278" s="606" t="s">
        <v>0</v>
      </c>
      <c r="B278" s="606"/>
      <c r="C278" s="606"/>
      <c r="D278" s="606"/>
      <c r="E278" s="606"/>
      <c r="F278" s="606"/>
      <c r="G278" s="606"/>
      <c r="H278" s="606"/>
    </row>
    <row r="279" spans="1:8" ht="15.75" x14ac:dyDescent="0.25">
      <c r="A279" s="39" t="s">
        <v>2</v>
      </c>
      <c r="B279" s="19" t="s">
        <v>3</v>
      </c>
      <c r="C279" s="20"/>
      <c r="D279" s="21" t="s">
        <v>52</v>
      </c>
      <c r="E279" s="607" t="s">
        <v>37</v>
      </c>
      <c r="F279" s="608"/>
      <c r="G279" s="19" t="s">
        <v>16</v>
      </c>
      <c r="H279" s="32" t="s">
        <v>62</v>
      </c>
    </row>
    <row r="280" spans="1:8" ht="15.75" x14ac:dyDescent="0.25">
      <c r="A280" s="609" t="s">
        <v>6</v>
      </c>
      <c r="B280" s="610"/>
      <c r="C280" s="610"/>
      <c r="D280" s="610"/>
      <c r="E280" s="610"/>
      <c r="F280" s="611"/>
      <c r="G280" s="1"/>
      <c r="H280" s="2">
        <f>H273</f>
        <v>15</v>
      </c>
    </row>
    <row r="281" spans="1:8" ht="15.75" x14ac:dyDescent="0.25">
      <c r="A281" s="3" t="s">
        <v>7</v>
      </c>
      <c r="B281" s="1"/>
      <c r="C281" s="1"/>
      <c r="D281" s="1"/>
      <c r="E281" s="1"/>
      <c r="F281" s="1"/>
      <c r="G281" s="1"/>
      <c r="H281" s="2">
        <v>28</v>
      </c>
    </row>
    <row r="282" spans="1:8" ht="51.75" thickBot="1" x14ac:dyDescent="0.3">
      <c r="A282" s="40" t="s">
        <v>8</v>
      </c>
      <c r="B282" s="41" t="s">
        <v>9</v>
      </c>
      <c r="C282" s="41" t="s">
        <v>10</v>
      </c>
      <c r="D282" s="41" t="s">
        <v>11</v>
      </c>
      <c r="E282" s="41" t="s">
        <v>12</v>
      </c>
      <c r="F282" s="41" t="s">
        <v>13</v>
      </c>
      <c r="G282" s="41" t="s">
        <v>14</v>
      </c>
      <c r="H282" s="42" t="s">
        <v>15</v>
      </c>
    </row>
    <row r="283" spans="1:8" x14ac:dyDescent="0.25">
      <c r="A283" s="36">
        <v>1</v>
      </c>
      <c r="B283" s="37"/>
      <c r="C283" s="37"/>
      <c r="D283" s="37"/>
      <c r="E283" s="37"/>
      <c r="F283" s="37"/>
      <c r="G283" s="37"/>
      <c r="H283" s="38">
        <f>H280+B283+F283-(C283+D283+G283)-E283</f>
        <v>15</v>
      </c>
    </row>
    <row r="284" spans="1:8" x14ac:dyDescent="0.25">
      <c r="A284" s="26">
        <v>2</v>
      </c>
      <c r="B284" s="5"/>
      <c r="C284" s="5"/>
      <c r="D284" s="5"/>
      <c r="E284" s="5"/>
      <c r="F284" s="5"/>
      <c r="G284" s="5"/>
      <c r="H284" s="2">
        <f>H283+B284+F284-(C284+D284+G284)-E284</f>
        <v>15</v>
      </c>
    </row>
    <row r="285" spans="1:8" x14ac:dyDescent="0.25">
      <c r="A285" s="26">
        <v>3</v>
      </c>
      <c r="B285" s="5"/>
      <c r="C285" s="5"/>
      <c r="D285" s="5"/>
      <c r="E285" s="5"/>
      <c r="F285" s="5"/>
      <c r="G285" s="5"/>
      <c r="H285" s="2">
        <f>H284+B285+F285-(C285+D285+G285)-E285</f>
        <v>15</v>
      </c>
    </row>
    <row r="286" spans="1:8" x14ac:dyDescent="0.25">
      <c r="A286" s="26">
        <v>4</v>
      </c>
      <c r="B286" s="5"/>
      <c r="C286" s="5"/>
      <c r="D286" s="5"/>
      <c r="E286" s="5"/>
      <c r="F286" s="5"/>
      <c r="G286" s="5"/>
      <c r="H286" s="2">
        <f t="shared" ref="H286:H313" si="14">H285+B286+F286-(C286+D286+G286)-E286</f>
        <v>15</v>
      </c>
    </row>
    <row r="287" spans="1:8" x14ac:dyDescent="0.25">
      <c r="A287" s="26">
        <v>5</v>
      </c>
      <c r="B287" s="5"/>
      <c r="C287" s="5"/>
      <c r="D287" s="5"/>
      <c r="E287" s="5"/>
      <c r="F287" s="5"/>
      <c r="G287" s="5"/>
      <c r="H287" s="2">
        <f t="shared" si="14"/>
        <v>15</v>
      </c>
    </row>
    <row r="288" spans="1:8" x14ac:dyDescent="0.25">
      <c r="A288" s="26">
        <v>6</v>
      </c>
      <c r="B288" s="5"/>
      <c r="C288" s="5"/>
      <c r="D288" s="5"/>
      <c r="E288" s="5"/>
      <c r="F288" s="5"/>
      <c r="G288" s="5"/>
      <c r="H288" s="2">
        <f t="shared" si="14"/>
        <v>15</v>
      </c>
    </row>
    <row r="289" spans="1:8" x14ac:dyDescent="0.25">
      <c r="A289" s="26">
        <v>7</v>
      </c>
      <c r="B289" s="5"/>
      <c r="C289" s="5"/>
      <c r="D289" s="5"/>
      <c r="E289" s="5"/>
      <c r="F289" s="5"/>
      <c r="G289" s="5"/>
      <c r="H289" s="2">
        <f t="shared" si="14"/>
        <v>15</v>
      </c>
    </row>
    <row r="290" spans="1:8" x14ac:dyDescent="0.25">
      <c r="A290" s="26">
        <v>8</v>
      </c>
      <c r="B290" s="5"/>
      <c r="C290" s="5"/>
      <c r="D290" s="5"/>
      <c r="E290" s="5"/>
      <c r="F290" s="5"/>
      <c r="G290" s="5"/>
      <c r="H290" s="2">
        <f t="shared" si="14"/>
        <v>15</v>
      </c>
    </row>
    <row r="291" spans="1:8" x14ac:dyDescent="0.25">
      <c r="A291" s="26">
        <v>9</v>
      </c>
      <c r="B291" s="5"/>
      <c r="C291" s="5"/>
      <c r="D291" s="5"/>
      <c r="E291" s="5"/>
      <c r="F291" s="5"/>
      <c r="G291" s="5"/>
      <c r="H291" s="2">
        <f t="shared" si="14"/>
        <v>15</v>
      </c>
    </row>
    <row r="292" spans="1:8" x14ac:dyDescent="0.25">
      <c r="A292" s="26">
        <v>10</v>
      </c>
      <c r="B292" s="5"/>
      <c r="C292" s="5"/>
      <c r="D292" s="5"/>
      <c r="E292" s="5"/>
      <c r="F292" s="5"/>
      <c r="G292" s="5"/>
      <c r="H292" s="2">
        <f t="shared" si="14"/>
        <v>15</v>
      </c>
    </row>
    <row r="293" spans="1:8" x14ac:dyDescent="0.25">
      <c r="A293" s="26">
        <v>11</v>
      </c>
      <c r="B293" s="5"/>
      <c r="C293" s="5"/>
      <c r="D293" s="5"/>
      <c r="E293" s="5"/>
      <c r="F293" s="5"/>
      <c r="G293" s="5"/>
      <c r="H293" s="2">
        <f t="shared" si="14"/>
        <v>15</v>
      </c>
    </row>
    <row r="294" spans="1:8" x14ac:dyDescent="0.25">
      <c r="A294" s="26">
        <v>12</v>
      </c>
      <c r="B294" s="5"/>
      <c r="C294" s="5"/>
      <c r="D294" s="5"/>
      <c r="E294" s="5"/>
      <c r="F294" s="5"/>
      <c r="G294" s="5"/>
      <c r="H294" s="2">
        <f t="shared" si="14"/>
        <v>15</v>
      </c>
    </row>
    <row r="295" spans="1:8" x14ac:dyDescent="0.25">
      <c r="A295" s="26">
        <v>13</v>
      </c>
      <c r="B295" s="5"/>
      <c r="C295" s="5"/>
      <c r="D295" s="5"/>
      <c r="E295" s="5"/>
      <c r="F295" s="5"/>
      <c r="G295" s="5"/>
      <c r="H295" s="2">
        <f t="shared" si="14"/>
        <v>15</v>
      </c>
    </row>
    <row r="296" spans="1:8" x14ac:dyDescent="0.25">
      <c r="A296" s="26">
        <v>14</v>
      </c>
      <c r="B296" s="5"/>
      <c r="C296" s="5"/>
      <c r="D296" s="5"/>
      <c r="E296" s="5"/>
      <c r="F296" s="5"/>
      <c r="G296" s="5"/>
      <c r="H296" s="2">
        <f t="shared" si="14"/>
        <v>15</v>
      </c>
    </row>
    <row r="297" spans="1:8" x14ac:dyDescent="0.25">
      <c r="A297" s="26">
        <v>15</v>
      </c>
      <c r="B297" s="5"/>
      <c r="C297" s="5"/>
      <c r="D297" s="5"/>
      <c r="E297" s="5"/>
      <c r="F297" s="5"/>
      <c r="G297" s="5"/>
      <c r="H297" s="2">
        <f t="shared" si="14"/>
        <v>15</v>
      </c>
    </row>
    <row r="298" spans="1:8" x14ac:dyDescent="0.25">
      <c r="A298" s="26">
        <v>16</v>
      </c>
      <c r="B298" s="5"/>
      <c r="C298" s="5"/>
      <c r="D298" s="5"/>
      <c r="E298" s="5"/>
      <c r="F298" s="5"/>
      <c r="G298" s="5"/>
      <c r="H298" s="2">
        <f t="shared" si="14"/>
        <v>15</v>
      </c>
    </row>
    <row r="299" spans="1:8" x14ac:dyDescent="0.25">
      <c r="A299" s="26">
        <v>17</v>
      </c>
      <c r="B299" s="5"/>
      <c r="C299" s="5"/>
      <c r="D299" s="5"/>
      <c r="E299" s="5"/>
      <c r="F299" s="5"/>
      <c r="G299" s="5"/>
      <c r="H299" s="2">
        <f t="shared" si="14"/>
        <v>15</v>
      </c>
    </row>
    <row r="300" spans="1:8" x14ac:dyDescent="0.25">
      <c r="A300" s="26">
        <v>18</v>
      </c>
      <c r="B300" s="5"/>
      <c r="C300" s="5"/>
      <c r="D300" s="5"/>
      <c r="E300" s="5"/>
      <c r="F300" s="5"/>
      <c r="G300" s="5"/>
      <c r="H300" s="2">
        <f t="shared" si="14"/>
        <v>15</v>
      </c>
    </row>
    <row r="301" spans="1:8" x14ac:dyDescent="0.25">
      <c r="A301" s="26">
        <v>19</v>
      </c>
      <c r="B301" s="5"/>
      <c r="C301" s="5"/>
      <c r="D301" s="5"/>
      <c r="E301" s="5"/>
      <c r="F301" s="5"/>
      <c r="G301" s="5"/>
      <c r="H301" s="2">
        <f t="shared" si="14"/>
        <v>15</v>
      </c>
    </row>
    <row r="302" spans="1:8" x14ac:dyDescent="0.25">
      <c r="A302" s="26">
        <v>20</v>
      </c>
      <c r="B302" s="5"/>
      <c r="C302" s="5"/>
      <c r="D302" s="5"/>
      <c r="E302" s="5"/>
      <c r="F302" s="5"/>
      <c r="G302" s="5"/>
      <c r="H302" s="2">
        <f t="shared" si="14"/>
        <v>15</v>
      </c>
    </row>
    <row r="303" spans="1:8" x14ac:dyDescent="0.25">
      <c r="A303" s="26">
        <v>21</v>
      </c>
      <c r="B303" s="5"/>
      <c r="C303" s="5"/>
      <c r="D303" s="5"/>
      <c r="E303" s="5"/>
      <c r="F303" s="5"/>
      <c r="G303" s="5"/>
      <c r="H303" s="2">
        <f t="shared" si="14"/>
        <v>15</v>
      </c>
    </row>
    <row r="304" spans="1:8" x14ac:dyDescent="0.25">
      <c r="A304" s="26">
        <v>22</v>
      </c>
      <c r="B304" s="5"/>
      <c r="C304" s="5"/>
      <c r="D304" s="5"/>
      <c r="E304" s="5"/>
      <c r="F304" s="5"/>
      <c r="G304" s="5"/>
      <c r="H304" s="2">
        <f t="shared" si="14"/>
        <v>15</v>
      </c>
    </row>
    <row r="305" spans="1:8" x14ac:dyDescent="0.25">
      <c r="A305" s="26">
        <v>23</v>
      </c>
      <c r="B305" s="5"/>
      <c r="C305" s="5"/>
      <c r="D305" s="5"/>
      <c r="E305" s="5"/>
      <c r="F305" s="5"/>
      <c r="G305" s="5"/>
      <c r="H305" s="2">
        <f t="shared" si="14"/>
        <v>15</v>
      </c>
    </row>
    <row r="306" spans="1:8" x14ac:dyDescent="0.25">
      <c r="A306" s="26">
        <v>24</v>
      </c>
      <c r="B306" s="5"/>
      <c r="C306" s="5"/>
      <c r="D306" s="5"/>
      <c r="E306" s="5"/>
      <c r="F306" s="5"/>
      <c r="G306" s="5"/>
      <c r="H306" s="2">
        <f t="shared" si="14"/>
        <v>15</v>
      </c>
    </row>
    <row r="307" spans="1:8" x14ac:dyDescent="0.25">
      <c r="A307" s="26">
        <v>25</v>
      </c>
      <c r="B307" s="5"/>
      <c r="C307" s="5"/>
      <c r="D307" s="5"/>
      <c r="E307" s="5"/>
      <c r="F307" s="5"/>
      <c r="G307" s="5"/>
      <c r="H307" s="2">
        <f t="shared" si="14"/>
        <v>15</v>
      </c>
    </row>
    <row r="308" spans="1:8" x14ac:dyDescent="0.25">
      <c r="A308" s="26">
        <v>26</v>
      </c>
      <c r="B308" s="5"/>
      <c r="C308" s="5"/>
      <c r="D308" s="5"/>
      <c r="E308" s="5"/>
      <c r="F308" s="5"/>
      <c r="G308" s="5"/>
      <c r="H308" s="2">
        <f t="shared" si="14"/>
        <v>15</v>
      </c>
    </row>
    <row r="309" spans="1:8" x14ac:dyDescent="0.25">
      <c r="A309" s="26">
        <v>27</v>
      </c>
      <c r="B309" s="5"/>
      <c r="C309" s="5"/>
      <c r="D309" s="5"/>
      <c r="E309" s="5"/>
      <c r="F309" s="5"/>
      <c r="G309" s="5"/>
      <c r="H309" s="2">
        <f t="shared" si="14"/>
        <v>15</v>
      </c>
    </row>
    <row r="310" spans="1:8" x14ac:dyDescent="0.25">
      <c r="A310" s="26">
        <v>28</v>
      </c>
      <c r="B310" s="5"/>
      <c r="C310" s="5"/>
      <c r="D310" s="5"/>
      <c r="E310" s="5"/>
      <c r="F310" s="5"/>
      <c r="G310" s="5"/>
      <c r="H310" s="2">
        <f t="shared" si="14"/>
        <v>15</v>
      </c>
    </row>
    <row r="311" spans="1:8" x14ac:dyDescent="0.25">
      <c r="A311" s="26">
        <v>29</v>
      </c>
      <c r="B311" s="5"/>
      <c r="C311" s="5"/>
      <c r="D311" s="5"/>
      <c r="E311" s="5"/>
      <c r="F311" s="5"/>
      <c r="G311" s="5"/>
      <c r="H311" s="2">
        <f t="shared" si="14"/>
        <v>15</v>
      </c>
    </row>
    <row r="312" spans="1:8" x14ac:dyDescent="0.25">
      <c r="A312" s="11">
        <v>30</v>
      </c>
      <c r="B312" s="5"/>
      <c r="C312" s="5"/>
      <c r="D312" s="5"/>
      <c r="E312" s="5"/>
      <c r="F312" s="5"/>
      <c r="G312" s="5"/>
      <c r="H312" s="5">
        <f t="shared" si="14"/>
        <v>15</v>
      </c>
    </row>
    <row r="313" spans="1:8" ht="15.75" thickBot="1" x14ac:dyDescent="0.3">
      <c r="A313" s="63">
        <v>31</v>
      </c>
      <c r="B313" s="29"/>
      <c r="C313" s="29"/>
      <c r="D313" s="29"/>
      <c r="E313" s="29"/>
      <c r="F313" s="29"/>
      <c r="G313" s="29"/>
      <c r="H313" s="5">
        <f t="shared" si="14"/>
        <v>15</v>
      </c>
    </row>
    <row r="314" spans="1:8" ht="15.75" thickBot="1" x14ac:dyDescent="0.3">
      <c r="A314" s="60" t="s">
        <v>35</v>
      </c>
      <c r="B314" s="58">
        <f>SUM(B283:B313)-E314</f>
        <v>0</v>
      </c>
      <c r="C314" s="58">
        <f t="shared" ref="C314:H314" si="15">SUM(C283:C313)</f>
        <v>0</v>
      </c>
      <c r="D314" s="58">
        <f t="shared" si="15"/>
        <v>0</v>
      </c>
      <c r="E314" s="58">
        <f t="shared" si="15"/>
        <v>0</v>
      </c>
      <c r="F314" s="58">
        <f t="shared" si="15"/>
        <v>0</v>
      </c>
      <c r="G314" s="58">
        <f t="shared" si="15"/>
        <v>0</v>
      </c>
      <c r="H314" s="58">
        <f t="shared" si="15"/>
        <v>465</v>
      </c>
    </row>
    <row r="317" spans="1:8" ht="36" x14ac:dyDescent="0.55000000000000004">
      <c r="A317" s="605" t="s">
        <v>1</v>
      </c>
      <c r="B317" s="605"/>
      <c r="C317" s="605"/>
      <c r="D317" s="605"/>
      <c r="E317" s="605"/>
      <c r="F317" s="605"/>
      <c r="G317" s="605"/>
      <c r="H317" s="605"/>
    </row>
    <row r="318" spans="1:8" ht="27" thickBot="1" x14ac:dyDescent="0.45">
      <c r="A318" s="606" t="s">
        <v>0</v>
      </c>
      <c r="B318" s="606"/>
      <c r="C318" s="606"/>
      <c r="D318" s="606"/>
      <c r="E318" s="606"/>
      <c r="F318" s="606"/>
      <c r="G318" s="606"/>
      <c r="H318" s="606"/>
    </row>
    <row r="319" spans="1:8" ht="15.75" x14ac:dyDescent="0.25">
      <c r="A319" s="39" t="s">
        <v>2</v>
      </c>
      <c r="B319" s="19" t="s">
        <v>3</v>
      </c>
      <c r="C319" s="20"/>
      <c r="D319" s="21" t="s">
        <v>52</v>
      </c>
      <c r="E319" s="607" t="s">
        <v>37</v>
      </c>
      <c r="F319" s="608"/>
      <c r="G319" s="19" t="s">
        <v>16</v>
      </c>
      <c r="H319" s="32" t="s">
        <v>63</v>
      </c>
    </row>
    <row r="320" spans="1:8" ht="15.75" x14ac:dyDescent="0.25">
      <c r="A320" s="609" t="s">
        <v>6</v>
      </c>
      <c r="B320" s="610"/>
      <c r="C320" s="610"/>
      <c r="D320" s="610"/>
      <c r="E320" s="610"/>
      <c r="F320" s="611"/>
      <c r="G320" s="1"/>
      <c r="H320" s="2">
        <f>H313</f>
        <v>15</v>
      </c>
    </row>
    <row r="321" spans="1:8" ht="15.75" x14ac:dyDescent="0.25">
      <c r="A321" s="3" t="s">
        <v>7</v>
      </c>
      <c r="B321" s="1"/>
      <c r="C321" s="1"/>
      <c r="D321" s="1"/>
      <c r="E321" s="1"/>
      <c r="F321" s="1"/>
      <c r="G321" s="1"/>
      <c r="H321" s="2">
        <v>28</v>
      </c>
    </row>
    <row r="322" spans="1:8" ht="51.75" thickBot="1" x14ac:dyDescent="0.3">
      <c r="A322" s="40" t="s">
        <v>8</v>
      </c>
      <c r="B322" s="41" t="s">
        <v>9</v>
      </c>
      <c r="C322" s="41" t="s">
        <v>10</v>
      </c>
      <c r="D322" s="41" t="s">
        <v>11</v>
      </c>
      <c r="E322" s="41" t="s">
        <v>12</v>
      </c>
      <c r="F322" s="41" t="s">
        <v>13</v>
      </c>
      <c r="G322" s="41" t="s">
        <v>14</v>
      </c>
      <c r="H322" s="42" t="s">
        <v>15</v>
      </c>
    </row>
    <row r="323" spans="1:8" x14ac:dyDescent="0.25">
      <c r="A323" s="36">
        <v>1</v>
      </c>
      <c r="B323" s="37"/>
      <c r="C323" s="37"/>
      <c r="D323" s="37"/>
      <c r="E323" s="37"/>
      <c r="F323" s="37"/>
      <c r="G323" s="37"/>
      <c r="H323" s="38">
        <f>H320+B323+F323-(C323+D323+G323)-E323</f>
        <v>15</v>
      </c>
    </row>
    <row r="324" spans="1:8" x14ac:dyDescent="0.25">
      <c r="A324" s="26">
        <v>2</v>
      </c>
      <c r="B324" s="5"/>
      <c r="C324" s="5"/>
      <c r="D324" s="5"/>
      <c r="E324" s="5"/>
      <c r="F324" s="5"/>
      <c r="G324" s="5"/>
      <c r="H324" s="2">
        <f>H323+B324+F324-(C324+D324+G324)-E324</f>
        <v>15</v>
      </c>
    </row>
    <row r="325" spans="1:8" x14ac:dyDescent="0.25">
      <c r="A325" s="26">
        <v>3</v>
      </c>
      <c r="B325" s="5"/>
      <c r="C325" s="5"/>
      <c r="D325" s="5"/>
      <c r="E325" s="5"/>
      <c r="F325" s="5"/>
      <c r="G325" s="5"/>
      <c r="H325" s="2">
        <f>H324+B325+F325-(C325+D325+G325)-E325</f>
        <v>15</v>
      </c>
    </row>
    <row r="326" spans="1:8" x14ac:dyDescent="0.25">
      <c r="A326" s="26">
        <v>4</v>
      </c>
      <c r="B326" s="5"/>
      <c r="C326" s="5"/>
      <c r="D326" s="5"/>
      <c r="E326" s="5"/>
      <c r="F326" s="5"/>
      <c r="G326" s="5"/>
      <c r="H326" s="2">
        <f t="shared" ref="H326:H352" si="16">H325+B326+F326-(C326+D326+G326)-E326</f>
        <v>15</v>
      </c>
    </row>
    <row r="327" spans="1:8" x14ac:dyDescent="0.25">
      <c r="A327" s="26">
        <v>5</v>
      </c>
      <c r="B327" s="5"/>
      <c r="C327" s="5"/>
      <c r="D327" s="5"/>
      <c r="E327" s="5"/>
      <c r="F327" s="5"/>
      <c r="G327" s="5"/>
      <c r="H327" s="2">
        <f t="shared" si="16"/>
        <v>15</v>
      </c>
    </row>
    <row r="328" spans="1:8" x14ac:dyDescent="0.25">
      <c r="A328" s="26">
        <v>6</v>
      </c>
      <c r="B328" s="5"/>
      <c r="C328" s="5"/>
      <c r="D328" s="5"/>
      <c r="E328" s="5"/>
      <c r="F328" s="5"/>
      <c r="G328" s="5"/>
      <c r="H328" s="2">
        <f t="shared" si="16"/>
        <v>15</v>
      </c>
    </row>
    <row r="329" spans="1:8" x14ac:dyDescent="0.25">
      <c r="A329" s="26">
        <v>7</v>
      </c>
      <c r="B329" s="5"/>
      <c r="C329" s="5"/>
      <c r="D329" s="5"/>
      <c r="E329" s="5"/>
      <c r="F329" s="5"/>
      <c r="G329" s="5"/>
      <c r="H329" s="2">
        <f t="shared" si="16"/>
        <v>15</v>
      </c>
    </row>
    <row r="330" spans="1:8" x14ac:dyDescent="0.25">
      <c r="A330" s="26">
        <v>8</v>
      </c>
      <c r="B330" s="5"/>
      <c r="C330" s="5"/>
      <c r="D330" s="5"/>
      <c r="E330" s="5"/>
      <c r="F330" s="5"/>
      <c r="G330" s="5"/>
      <c r="H330" s="2">
        <f t="shared" si="16"/>
        <v>15</v>
      </c>
    </row>
    <row r="331" spans="1:8" x14ac:dyDescent="0.25">
      <c r="A331" s="26">
        <v>9</v>
      </c>
      <c r="B331" s="5"/>
      <c r="C331" s="5"/>
      <c r="D331" s="5"/>
      <c r="E331" s="5"/>
      <c r="F331" s="5"/>
      <c r="G331" s="5"/>
      <c r="H331" s="2">
        <f t="shared" si="16"/>
        <v>15</v>
      </c>
    </row>
    <row r="332" spans="1:8" x14ac:dyDescent="0.25">
      <c r="A332" s="26">
        <v>10</v>
      </c>
      <c r="B332" s="5"/>
      <c r="C332" s="5"/>
      <c r="D332" s="5"/>
      <c r="E332" s="5"/>
      <c r="F332" s="5"/>
      <c r="G332" s="5"/>
      <c r="H332" s="2">
        <f t="shared" si="16"/>
        <v>15</v>
      </c>
    </row>
    <row r="333" spans="1:8" x14ac:dyDescent="0.25">
      <c r="A333" s="26">
        <v>11</v>
      </c>
      <c r="B333" s="5"/>
      <c r="C333" s="5"/>
      <c r="D333" s="5"/>
      <c r="E333" s="5"/>
      <c r="F333" s="5"/>
      <c r="G333" s="5"/>
      <c r="H333" s="2">
        <f t="shared" si="16"/>
        <v>15</v>
      </c>
    </row>
    <row r="334" spans="1:8" x14ac:dyDescent="0.25">
      <c r="A334" s="26">
        <v>12</v>
      </c>
      <c r="B334" s="5"/>
      <c r="C334" s="5"/>
      <c r="D334" s="5"/>
      <c r="E334" s="5"/>
      <c r="F334" s="5"/>
      <c r="G334" s="5"/>
      <c r="H334" s="2">
        <f t="shared" si="16"/>
        <v>15</v>
      </c>
    </row>
    <row r="335" spans="1:8" x14ac:dyDescent="0.25">
      <c r="A335" s="26">
        <v>13</v>
      </c>
      <c r="B335" s="5"/>
      <c r="C335" s="5"/>
      <c r="D335" s="5"/>
      <c r="E335" s="5"/>
      <c r="F335" s="5"/>
      <c r="G335" s="5"/>
      <c r="H335" s="2">
        <f t="shared" si="16"/>
        <v>15</v>
      </c>
    </row>
    <row r="336" spans="1:8" x14ac:dyDescent="0.25">
      <c r="A336" s="26">
        <v>14</v>
      </c>
      <c r="B336" s="5"/>
      <c r="C336" s="5"/>
      <c r="D336" s="5"/>
      <c r="E336" s="5"/>
      <c r="F336" s="5"/>
      <c r="G336" s="5"/>
      <c r="H336" s="2">
        <f t="shared" si="16"/>
        <v>15</v>
      </c>
    </row>
    <row r="337" spans="1:8" x14ac:dyDescent="0.25">
      <c r="A337" s="26">
        <v>15</v>
      </c>
      <c r="B337" s="5"/>
      <c r="C337" s="5"/>
      <c r="D337" s="5"/>
      <c r="E337" s="5"/>
      <c r="F337" s="5"/>
      <c r="G337" s="5"/>
      <c r="H337" s="2">
        <f t="shared" si="16"/>
        <v>15</v>
      </c>
    </row>
    <row r="338" spans="1:8" x14ac:dyDescent="0.25">
      <c r="A338" s="26">
        <v>16</v>
      </c>
      <c r="B338" s="5"/>
      <c r="C338" s="5"/>
      <c r="D338" s="5"/>
      <c r="E338" s="5"/>
      <c r="F338" s="5"/>
      <c r="G338" s="5"/>
      <c r="H338" s="2">
        <f t="shared" si="16"/>
        <v>15</v>
      </c>
    </row>
    <row r="339" spans="1:8" x14ac:dyDescent="0.25">
      <c r="A339" s="26">
        <v>17</v>
      </c>
      <c r="B339" s="5"/>
      <c r="C339" s="5"/>
      <c r="D339" s="5"/>
      <c r="E339" s="5"/>
      <c r="F339" s="5"/>
      <c r="G339" s="5"/>
      <c r="H339" s="2">
        <f t="shared" si="16"/>
        <v>15</v>
      </c>
    </row>
    <row r="340" spans="1:8" x14ac:dyDescent="0.25">
      <c r="A340" s="26">
        <v>18</v>
      </c>
      <c r="B340" s="5"/>
      <c r="C340" s="5"/>
      <c r="D340" s="5"/>
      <c r="E340" s="5"/>
      <c r="F340" s="5"/>
      <c r="G340" s="5"/>
      <c r="H340" s="2">
        <f t="shared" si="16"/>
        <v>15</v>
      </c>
    </row>
    <row r="341" spans="1:8" x14ac:dyDescent="0.25">
      <c r="A341" s="26">
        <v>19</v>
      </c>
      <c r="B341" s="5"/>
      <c r="C341" s="5"/>
      <c r="D341" s="5"/>
      <c r="E341" s="5"/>
      <c r="F341" s="5"/>
      <c r="G341" s="5"/>
      <c r="H341" s="2">
        <f t="shared" si="16"/>
        <v>15</v>
      </c>
    </row>
    <row r="342" spans="1:8" x14ac:dyDescent="0.25">
      <c r="A342" s="26">
        <v>20</v>
      </c>
      <c r="B342" s="5"/>
      <c r="C342" s="5"/>
      <c r="D342" s="5"/>
      <c r="E342" s="5"/>
      <c r="F342" s="5"/>
      <c r="G342" s="5"/>
      <c r="H342" s="2">
        <f t="shared" si="16"/>
        <v>15</v>
      </c>
    </row>
    <row r="343" spans="1:8" x14ac:dyDescent="0.25">
      <c r="A343" s="26">
        <v>21</v>
      </c>
      <c r="B343" s="5"/>
      <c r="C343" s="5"/>
      <c r="D343" s="5"/>
      <c r="E343" s="5"/>
      <c r="F343" s="5"/>
      <c r="G343" s="5"/>
      <c r="H343" s="2">
        <f t="shared" si="16"/>
        <v>15</v>
      </c>
    </row>
    <row r="344" spans="1:8" x14ac:dyDescent="0.25">
      <c r="A344" s="26">
        <v>22</v>
      </c>
      <c r="B344" s="5"/>
      <c r="C344" s="5"/>
      <c r="D344" s="5"/>
      <c r="E344" s="5"/>
      <c r="F344" s="5"/>
      <c r="G344" s="5"/>
      <c r="H344" s="2">
        <f t="shared" si="16"/>
        <v>15</v>
      </c>
    </row>
    <row r="345" spans="1:8" x14ac:dyDescent="0.25">
      <c r="A345" s="26">
        <v>23</v>
      </c>
      <c r="B345" s="5"/>
      <c r="C345" s="5"/>
      <c r="D345" s="5"/>
      <c r="E345" s="5"/>
      <c r="F345" s="5"/>
      <c r="G345" s="5"/>
      <c r="H345" s="2">
        <f t="shared" si="16"/>
        <v>15</v>
      </c>
    </row>
    <row r="346" spans="1:8" x14ac:dyDescent="0.25">
      <c r="A346" s="26">
        <v>24</v>
      </c>
      <c r="B346" s="5"/>
      <c r="C346" s="5"/>
      <c r="D346" s="5"/>
      <c r="E346" s="5"/>
      <c r="F346" s="5"/>
      <c r="G346" s="5"/>
      <c r="H346" s="2">
        <f t="shared" si="16"/>
        <v>15</v>
      </c>
    </row>
    <row r="347" spans="1:8" x14ac:dyDescent="0.25">
      <c r="A347" s="26">
        <v>25</v>
      </c>
      <c r="B347" s="5"/>
      <c r="C347" s="5"/>
      <c r="D347" s="5"/>
      <c r="E347" s="5"/>
      <c r="F347" s="5"/>
      <c r="G347" s="5"/>
      <c r="H347" s="2">
        <f t="shared" si="16"/>
        <v>15</v>
      </c>
    </row>
    <row r="348" spans="1:8" x14ac:dyDescent="0.25">
      <c r="A348" s="26">
        <v>26</v>
      </c>
      <c r="B348" s="5"/>
      <c r="C348" s="5"/>
      <c r="D348" s="5"/>
      <c r="E348" s="5"/>
      <c r="F348" s="5"/>
      <c r="G348" s="5"/>
      <c r="H348" s="2">
        <f t="shared" si="16"/>
        <v>15</v>
      </c>
    </row>
    <row r="349" spans="1:8" x14ac:dyDescent="0.25">
      <c r="A349" s="26">
        <v>27</v>
      </c>
      <c r="B349" s="5"/>
      <c r="C349" s="5"/>
      <c r="D349" s="5"/>
      <c r="E349" s="5"/>
      <c r="F349" s="5"/>
      <c r="G349" s="5"/>
      <c r="H349" s="2">
        <f t="shared" si="16"/>
        <v>15</v>
      </c>
    </row>
    <row r="350" spans="1:8" x14ac:dyDescent="0.25">
      <c r="A350" s="26">
        <v>28</v>
      </c>
      <c r="B350" s="5"/>
      <c r="C350" s="5"/>
      <c r="D350" s="5"/>
      <c r="E350" s="5"/>
      <c r="F350" s="5"/>
      <c r="G350" s="5"/>
      <c r="H350" s="2">
        <f t="shared" si="16"/>
        <v>15</v>
      </c>
    </row>
    <row r="351" spans="1:8" x14ac:dyDescent="0.25">
      <c r="A351" s="26">
        <v>29</v>
      </c>
      <c r="B351" s="5"/>
      <c r="C351" s="5"/>
      <c r="D351" s="5"/>
      <c r="E351" s="5"/>
      <c r="F351" s="5"/>
      <c r="G351" s="5"/>
      <c r="H351" s="2">
        <f t="shared" si="16"/>
        <v>15</v>
      </c>
    </row>
    <row r="352" spans="1:8" ht="15.75" thickBot="1" x14ac:dyDescent="0.3">
      <c r="A352" s="11">
        <v>30</v>
      </c>
      <c r="B352" s="5"/>
      <c r="C352" s="5"/>
      <c r="D352" s="5"/>
      <c r="E352" s="5"/>
      <c r="F352" s="5"/>
      <c r="G352" s="5"/>
      <c r="H352" s="5">
        <f t="shared" si="16"/>
        <v>15</v>
      </c>
    </row>
    <row r="353" spans="1:8" ht="15.75" thickBot="1" x14ac:dyDescent="0.3">
      <c r="A353" s="60" t="s">
        <v>35</v>
      </c>
      <c r="B353" s="58">
        <f>SUM(B323:B352)-E353</f>
        <v>0</v>
      </c>
      <c r="C353" s="58">
        <f t="shared" ref="C353:H353" si="17">SUM(C323:C352)</f>
        <v>0</v>
      </c>
      <c r="D353" s="58">
        <f t="shared" si="17"/>
        <v>0</v>
      </c>
      <c r="E353" s="58">
        <f t="shared" si="17"/>
        <v>0</v>
      </c>
      <c r="F353" s="58">
        <f t="shared" si="17"/>
        <v>0</v>
      </c>
      <c r="G353" s="58">
        <f t="shared" si="17"/>
        <v>0</v>
      </c>
      <c r="H353" s="58">
        <f t="shared" si="17"/>
        <v>450</v>
      </c>
    </row>
    <row r="356" spans="1:8" ht="36" x14ac:dyDescent="0.55000000000000004">
      <c r="A356" s="605" t="s">
        <v>1</v>
      </c>
      <c r="B356" s="605"/>
      <c r="C356" s="605"/>
      <c r="D356" s="605"/>
      <c r="E356" s="605"/>
      <c r="F356" s="605"/>
      <c r="G356" s="605"/>
      <c r="H356" s="605"/>
    </row>
    <row r="357" spans="1:8" ht="27" thickBot="1" x14ac:dyDescent="0.45">
      <c r="A357" s="606" t="s">
        <v>0</v>
      </c>
      <c r="B357" s="606"/>
      <c r="C357" s="606"/>
      <c r="D357" s="606"/>
      <c r="E357" s="606"/>
      <c r="F357" s="606"/>
      <c r="G357" s="606"/>
      <c r="H357" s="606"/>
    </row>
    <row r="358" spans="1:8" ht="15.75" x14ac:dyDescent="0.25">
      <c r="A358" s="39" t="s">
        <v>2</v>
      </c>
      <c r="B358" s="19" t="s">
        <v>3</v>
      </c>
      <c r="C358" s="20"/>
      <c r="D358" s="21" t="s">
        <v>52</v>
      </c>
      <c r="E358" s="607" t="s">
        <v>37</v>
      </c>
      <c r="F358" s="608"/>
      <c r="G358" s="19" t="s">
        <v>16</v>
      </c>
      <c r="H358" s="32" t="s">
        <v>64</v>
      </c>
    </row>
    <row r="359" spans="1:8" ht="15.75" x14ac:dyDescent="0.25">
      <c r="A359" s="609" t="s">
        <v>6</v>
      </c>
      <c r="B359" s="610"/>
      <c r="C359" s="610"/>
      <c r="D359" s="610"/>
      <c r="E359" s="610"/>
      <c r="F359" s="611"/>
      <c r="G359" s="1"/>
      <c r="H359" s="2">
        <f>H352</f>
        <v>15</v>
      </c>
    </row>
    <row r="360" spans="1:8" ht="15.75" x14ac:dyDescent="0.25">
      <c r="A360" s="3" t="s">
        <v>7</v>
      </c>
      <c r="B360" s="1"/>
      <c r="C360" s="1"/>
      <c r="D360" s="1"/>
      <c r="E360" s="1"/>
      <c r="F360" s="1"/>
      <c r="G360" s="1"/>
      <c r="H360" s="2">
        <v>28</v>
      </c>
    </row>
    <row r="361" spans="1:8" ht="51.75" thickBot="1" x14ac:dyDescent="0.3">
      <c r="A361" s="40" t="s">
        <v>8</v>
      </c>
      <c r="B361" s="41" t="s">
        <v>9</v>
      </c>
      <c r="C361" s="41" t="s">
        <v>10</v>
      </c>
      <c r="D361" s="41" t="s">
        <v>11</v>
      </c>
      <c r="E361" s="41" t="s">
        <v>12</v>
      </c>
      <c r="F361" s="41" t="s">
        <v>13</v>
      </c>
      <c r="G361" s="41" t="s">
        <v>14</v>
      </c>
      <c r="H361" s="42" t="s">
        <v>15</v>
      </c>
    </row>
    <row r="362" spans="1:8" x14ac:dyDescent="0.25">
      <c r="A362" s="36">
        <v>1</v>
      </c>
      <c r="B362" s="527"/>
      <c r="C362" s="527"/>
      <c r="D362" s="527"/>
      <c r="E362" s="527"/>
      <c r="F362" s="527"/>
      <c r="G362" s="527"/>
      <c r="H362" s="38">
        <f>H359+B362+F362-(C362+D362+G362)-E362</f>
        <v>15</v>
      </c>
    </row>
    <row r="363" spans="1:8" x14ac:dyDescent="0.25">
      <c r="A363" s="26">
        <v>2</v>
      </c>
      <c r="B363" s="268"/>
      <c r="C363" s="268"/>
      <c r="D363" s="268"/>
      <c r="E363" s="268"/>
      <c r="F363" s="268"/>
      <c r="G363" s="268"/>
      <c r="H363" s="2">
        <f>H362+B363+F363-(C363+D363+G363)-E363</f>
        <v>15</v>
      </c>
    </row>
    <row r="364" spans="1:8" x14ac:dyDescent="0.25">
      <c r="A364" s="26">
        <v>3</v>
      </c>
      <c r="B364" s="268"/>
      <c r="C364" s="268"/>
      <c r="D364" s="268"/>
      <c r="E364" s="268"/>
      <c r="F364" s="268"/>
      <c r="G364" s="268"/>
      <c r="H364" s="2">
        <f>H363+B364+F364-(C364+D364+G364)-E364</f>
        <v>15</v>
      </c>
    </row>
    <row r="365" spans="1:8" x14ac:dyDescent="0.25">
      <c r="A365" s="26">
        <v>4</v>
      </c>
      <c r="B365" s="268"/>
      <c r="C365" s="268"/>
      <c r="D365" s="268"/>
      <c r="E365" s="268"/>
      <c r="F365" s="268"/>
      <c r="G365" s="268"/>
      <c r="H365" s="2">
        <f t="shared" ref="H365:H392" si="18">H364+B365+F365-(C365+D365+G365)-E365</f>
        <v>15</v>
      </c>
    </row>
    <row r="366" spans="1:8" x14ac:dyDescent="0.25">
      <c r="A366" s="26">
        <v>5</v>
      </c>
      <c r="B366" s="268"/>
      <c r="C366" s="268"/>
      <c r="D366" s="268"/>
      <c r="E366" s="268"/>
      <c r="F366" s="268"/>
      <c r="G366" s="268"/>
      <c r="H366" s="2">
        <f t="shared" si="18"/>
        <v>15</v>
      </c>
    </row>
    <row r="367" spans="1:8" x14ac:dyDescent="0.25">
      <c r="A367" s="26">
        <v>6</v>
      </c>
      <c r="B367" s="268"/>
      <c r="C367" s="268"/>
      <c r="D367" s="268"/>
      <c r="E367" s="268"/>
      <c r="F367" s="268"/>
      <c r="G367" s="268"/>
      <c r="H367" s="2">
        <f t="shared" si="18"/>
        <v>15</v>
      </c>
    </row>
    <row r="368" spans="1:8" x14ac:dyDescent="0.25">
      <c r="A368" s="26">
        <v>7</v>
      </c>
      <c r="B368" s="268"/>
      <c r="C368" s="268"/>
      <c r="D368" s="268"/>
      <c r="E368" s="268"/>
      <c r="F368" s="268"/>
      <c r="G368" s="268"/>
      <c r="H368" s="2">
        <f t="shared" si="18"/>
        <v>15</v>
      </c>
    </row>
    <row r="369" spans="1:8" x14ac:dyDescent="0.25">
      <c r="A369" s="26">
        <v>8</v>
      </c>
      <c r="B369" s="268"/>
      <c r="C369" s="268"/>
      <c r="D369" s="268"/>
      <c r="E369" s="268"/>
      <c r="F369" s="268"/>
      <c r="G369" s="268"/>
      <c r="H369" s="2">
        <f t="shared" si="18"/>
        <v>15</v>
      </c>
    </row>
    <row r="370" spans="1:8" x14ac:dyDescent="0.25">
      <c r="A370" s="26">
        <v>9</v>
      </c>
      <c r="B370" s="268"/>
      <c r="C370" s="268"/>
      <c r="D370" s="268"/>
      <c r="E370" s="268"/>
      <c r="F370" s="268"/>
      <c r="G370" s="268"/>
      <c r="H370" s="2">
        <f t="shared" si="18"/>
        <v>15</v>
      </c>
    </row>
    <row r="371" spans="1:8" x14ac:dyDescent="0.25">
      <c r="A371" s="26">
        <v>10</v>
      </c>
      <c r="B371" s="268"/>
      <c r="C371" s="268"/>
      <c r="D371" s="268"/>
      <c r="E371" s="268"/>
      <c r="F371" s="268"/>
      <c r="G371" s="268"/>
      <c r="H371" s="2">
        <f t="shared" si="18"/>
        <v>15</v>
      </c>
    </row>
    <row r="372" spans="1:8" x14ac:dyDescent="0.25">
      <c r="A372" s="26">
        <v>11</v>
      </c>
      <c r="B372" s="268"/>
      <c r="C372" s="268"/>
      <c r="D372" s="268"/>
      <c r="E372" s="268"/>
      <c r="F372" s="268"/>
      <c r="G372" s="268"/>
      <c r="H372" s="2">
        <f t="shared" si="18"/>
        <v>15</v>
      </c>
    </row>
    <row r="373" spans="1:8" x14ac:dyDescent="0.25">
      <c r="A373" s="26">
        <v>12</v>
      </c>
      <c r="B373" s="268"/>
      <c r="C373" s="268"/>
      <c r="D373" s="268"/>
      <c r="E373" s="268"/>
      <c r="F373" s="268"/>
      <c r="G373" s="268"/>
      <c r="H373" s="2">
        <f t="shared" si="18"/>
        <v>15</v>
      </c>
    </row>
    <row r="374" spans="1:8" x14ac:dyDescent="0.25">
      <c r="A374" s="26">
        <v>13</v>
      </c>
      <c r="B374" s="268"/>
      <c r="C374" s="268"/>
      <c r="D374" s="268"/>
      <c r="E374" s="268"/>
      <c r="F374" s="268"/>
      <c r="G374" s="268"/>
      <c r="H374" s="2">
        <f t="shared" si="18"/>
        <v>15</v>
      </c>
    </row>
    <row r="375" spans="1:8" x14ac:dyDescent="0.25">
      <c r="A375" s="26">
        <v>14</v>
      </c>
      <c r="B375" s="268"/>
      <c r="C375" s="268"/>
      <c r="D375" s="268"/>
      <c r="E375" s="268"/>
      <c r="F375" s="268"/>
      <c r="G375" s="268"/>
      <c r="H375" s="2">
        <f t="shared" si="18"/>
        <v>15</v>
      </c>
    </row>
    <row r="376" spans="1:8" x14ac:dyDescent="0.25">
      <c r="A376" s="26">
        <v>15</v>
      </c>
      <c r="B376" s="268"/>
      <c r="C376" s="268"/>
      <c r="D376" s="268"/>
      <c r="E376" s="268"/>
      <c r="F376" s="268"/>
      <c r="G376" s="268"/>
      <c r="H376" s="2">
        <f t="shared" si="18"/>
        <v>15</v>
      </c>
    </row>
    <row r="377" spans="1:8" x14ac:dyDescent="0.25">
      <c r="A377" s="26">
        <v>16</v>
      </c>
      <c r="B377" s="268"/>
      <c r="C377" s="268"/>
      <c r="D377" s="268"/>
      <c r="E377" s="268"/>
      <c r="F377" s="268"/>
      <c r="G377" s="268"/>
      <c r="H377" s="2">
        <f t="shared" si="18"/>
        <v>15</v>
      </c>
    </row>
    <row r="378" spans="1:8" x14ac:dyDescent="0.25">
      <c r="A378" s="26">
        <v>17</v>
      </c>
      <c r="B378" s="268"/>
      <c r="C378" s="268"/>
      <c r="D378" s="268"/>
      <c r="E378" s="268"/>
      <c r="F378" s="268"/>
      <c r="G378" s="268"/>
      <c r="H378" s="2">
        <f t="shared" si="18"/>
        <v>15</v>
      </c>
    </row>
    <row r="379" spans="1:8" x14ac:dyDescent="0.25">
      <c r="A379" s="26">
        <v>18</v>
      </c>
      <c r="B379" s="268"/>
      <c r="C379" s="268"/>
      <c r="D379" s="268"/>
      <c r="E379" s="268"/>
      <c r="F379" s="268"/>
      <c r="G379" s="268"/>
      <c r="H379" s="2">
        <f t="shared" si="18"/>
        <v>15</v>
      </c>
    </row>
    <row r="380" spans="1:8" x14ac:dyDescent="0.25">
      <c r="A380" s="26">
        <v>19</v>
      </c>
      <c r="B380" s="268"/>
      <c r="C380" s="268"/>
      <c r="D380" s="268"/>
      <c r="E380" s="268"/>
      <c r="F380" s="268"/>
      <c r="G380" s="268"/>
      <c r="H380" s="2">
        <f t="shared" si="18"/>
        <v>15</v>
      </c>
    </row>
    <row r="381" spans="1:8" x14ac:dyDescent="0.25">
      <c r="A381" s="26">
        <v>20</v>
      </c>
      <c r="B381" s="268"/>
      <c r="C381" s="268"/>
      <c r="D381" s="268"/>
      <c r="E381" s="268"/>
      <c r="F381" s="268"/>
      <c r="G381" s="268"/>
      <c r="H381" s="2">
        <f t="shared" si="18"/>
        <v>15</v>
      </c>
    </row>
    <row r="382" spans="1:8" x14ac:dyDescent="0.25">
      <c r="A382" s="26">
        <v>21</v>
      </c>
      <c r="B382" s="268"/>
      <c r="C382" s="268"/>
      <c r="D382" s="268"/>
      <c r="E382" s="268"/>
      <c r="F382" s="268"/>
      <c r="G382" s="268"/>
      <c r="H382" s="2">
        <f t="shared" si="18"/>
        <v>15</v>
      </c>
    </row>
    <row r="383" spans="1:8" x14ac:dyDescent="0.25">
      <c r="A383" s="26">
        <v>22</v>
      </c>
      <c r="B383" s="268"/>
      <c r="C383" s="268"/>
      <c r="D383" s="268"/>
      <c r="E383" s="268"/>
      <c r="F383" s="268"/>
      <c r="G383" s="268"/>
      <c r="H383" s="2">
        <f t="shared" si="18"/>
        <v>15</v>
      </c>
    </row>
    <row r="384" spans="1:8" x14ac:dyDescent="0.25">
      <c r="A384" s="26">
        <v>23</v>
      </c>
      <c r="B384" s="268"/>
      <c r="C384" s="268"/>
      <c r="D384" s="268"/>
      <c r="E384" s="268"/>
      <c r="F384" s="268"/>
      <c r="G384" s="268"/>
      <c r="H384" s="2">
        <f t="shared" si="18"/>
        <v>15</v>
      </c>
    </row>
    <row r="385" spans="1:8" x14ac:dyDescent="0.25">
      <c r="A385" s="26">
        <v>24</v>
      </c>
      <c r="B385" s="268"/>
      <c r="C385" s="268"/>
      <c r="D385" s="268"/>
      <c r="E385" s="268"/>
      <c r="F385" s="268"/>
      <c r="G385" s="268"/>
      <c r="H385" s="2">
        <f t="shared" si="18"/>
        <v>15</v>
      </c>
    </row>
    <row r="386" spans="1:8" x14ac:dyDescent="0.25">
      <c r="A386" s="26">
        <v>25</v>
      </c>
      <c r="B386" s="268"/>
      <c r="C386" s="268"/>
      <c r="D386" s="268"/>
      <c r="E386" s="268"/>
      <c r="F386" s="268"/>
      <c r="G386" s="268"/>
      <c r="H386" s="2">
        <f t="shared" si="18"/>
        <v>15</v>
      </c>
    </row>
    <row r="387" spans="1:8" x14ac:dyDescent="0.25">
      <c r="A387" s="26">
        <v>26</v>
      </c>
      <c r="B387" s="268"/>
      <c r="C387" s="268"/>
      <c r="D387" s="268"/>
      <c r="E387" s="268"/>
      <c r="F387" s="268"/>
      <c r="G387" s="268"/>
      <c r="H387" s="2">
        <f t="shared" si="18"/>
        <v>15</v>
      </c>
    </row>
    <row r="388" spans="1:8" x14ac:dyDescent="0.25">
      <c r="A388" s="26">
        <v>27</v>
      </c>
      <c r="B388" s="268"/>
      <c r="C388" s="268"/>
      <c r="D388" s="268"/>
      <c r="E388" s="268"/>
      <c r="F388" s="268"/>
      <c r="G388" s="268"/>
      <c r="H388" s="2">
        <f t="shared" si="18"/>
        <v>15</v>
      </c>
    </row>
    <row r="389" spans="1:8" x14ac:dyDescent="0.25">
      <c r="A389" s="26">
        <v>28</v>
      </c>
      <c r="B389" s="268"/>
      <c r="C389" s="268"/>
      <c r="D389" s="268"/>
      <c r="E389" s="268"/>
      <c r="F389" s="268"/>
      <c r="G389" s="268"/>
      <c r="H389" s="2">
        <f t="shared" si="18"/>
        <v>15</v>
      </c>
    </row>
    <row r="390" spans="1:8" x14ac:dyDescent="0.25">
      <c r="A390" s="26">
        <v>29</v>
      </c>
      <c r="B390" s="268"/>
      <c r="C390" s="268"/>
      <c r="D390" s="268"/>
      <c r="E390" s="268"/>
      <c r="F390" s="268"/>
      <c r="G390" s="268"/>
      <c r="H390" s="2">
        <f t="shared" si="18"/>
        <v>15</v>
      </c>
    </row>
    <row r="391" spans="1:8" x14ac:dyDescent="0.25">
      <c r="A391" s="26">
        <v>30</v>
      </c>
      <c r="B391" s="268"/>
      <c r="C391" s="268"/>
      <c r="D391" s="268"/>
      <c r="E391" s="268"/>
      <c r="F391" s="268"/>
      <c r="G391" s="268"/>
      <c r="H391" s="2">
        <f t="shared" si="18"/>
        <v>15</v>
      </c>
    </row>
    <row r="392" spans="1:8" ht="15.75" thickBot="1" x14ac:dyDescent="0.3">
      <c r="A392" s="64">
        <v>31</v>
      </c>
      <c r="B392" s="528"/>
      <c r="C392" s="528"/>
      <c r="D392" s="528"/>
      <c r="E392" s="528"/>
      <c r="F392" s="528"/>
      <c r="G392" s="528"/>
      <c r="H392" s="2">
        <f t="shared" si="18"/>
        <v>15</v>
      </c>
    </row>
    <row r="393" spans="1:8" ht="15.75" thickBot="1" x14ac:dyDescent="0.3">
      <c r="A393" s="60" t="s">
        <v>35</v>
      </c>
      <c r="B393" s="58">
        <f>SUM(B362:B392)-E393</f>
        <v>0</v>
      </c>
      <c r="C393" s="58">
        <f t="shared" ref="C393:H393" si="19">SUM(C362:C392)</f>
        <v>0</v>
      </c>
      <c r="D393" s="58">
        <f t="shared" si="19"/>
        <v>0</v>
      </c>
      <c r="E393" s="58">
        <f t="shared" si="19"/>
        <v>0</v>
      </c>
      <c r="F393" s="58">
        <f t="shared" si="19"/>
        <v>0</v>
      </c>
      <c r="G393" s="58">
        <f t="shared" si="19"/>
        <v>0</v>
      </c>
      <c r="H393" s="59">
        <f t="shared" si="19"/>
        <v>465</v>
      </c>
    </row>
    <row r="396" spans="1:8" ht="36" x14ac:dyDescent="0.55000000000000004">
      <c r="A396" s="605" t="s">
        <v>1</v>
      </c>
      <c r="B396" s="605"/>
      <c r="C396" s="605"/>
      <c r="D396" s="605"/>
      <c r="E396" s="605"/>
      <c r="F396" s="605"/>
      <c r="G396" s="605"/>
      <c r="H396" s="605"/>
    </row>
    <row r="397" spans="1:8" ht="27" thickBot="1" x14ac:dyDescent="0.45">
      <c r="A397" s="606" t="s">
        <v>0</v>
      </c>
      <c r="B397" s="606"/>
      <c r="C397" s="606"/>
      <c r="D397" s="606"/>
      <c r="E397" s="606"/>
      <c r="F397" s="606"/>
      <c r="G397" s="606"/>
      <c r="H397" s="606"/>
    </row>
    <row r="398" spans="1:8" ht="15.75" x14ac:dyDescent="0.25">
      <c r="A398" s="39" t="s">
        <v>2</v>
      </c>
      <c r="B398" s="19" t="s">
        <v>3</v>
      </c>
      <c r="C398" s="20"/>
      <c r="D398" s="21" t="s">
        <v>52</v>
      </c>
      <c r="E398" s="607" t="s">
        <v>37</v>
      </c>
      <c r="F398" s="608"/>
      <c r="G398" s="19" t="s">
        <v>16</v>
      </c>
      <c r="H398" s="161" t="s">
        <v>66</v>
      </c>
    </row>
    <row r="399" spans="1:8" ht="15.75" x14ac:dyDescent="0.25">
      <c r="A399" s="609" t="s">
        <v>6</v>
      </c>
      <c r="B399" s="610"/>
      <c r="C399" s="610"/>
      <c r="D399" s="610"/>
      <c r="E399" s="610"/>
      <c r="F399" s="611"/>
      <c r="G399" s="1"/>
      <c r="H399" s="2">
        <f>H392</f>
        <v>15</v>
      </c>
    </row>
    <row r="400" spans="1:8" ht="15.75" x14ac:dyDescent="0.25">
      <c r="A400" s="3" t="s">
        <v>7</v>
      </c>
      <c r="B400" s="1"/>
      <c r="C400" s="1"/>
      <c r="D400" s="1"/>
      <c r="E400" s="1"/>
      <c r="F400" s="1"/>
      <c r="G400" s="1"/>
      <c r="H400" s="2">
        <v>28</v>
      </c>
    </row>
    <row r="401" spans="1:8" ht="51.75" thickBot="1" x14ac:dyDescent="0.3">
      <c r="A401" s="40" t="s">
        <v>8</v>
      </c>
      <c r="B401" s="41" t="s">
        <v>9</v>
      </c>
      <c r="C401" s="41" t="s">
        <v>10</v>
      </c>
      <c r="D401" s="41" t="s">
        <v>11</v>
      </c>
      <c r="E401" s="41" t="s">
        <v>12</v>
      </c>
      <c r="F401" s="41" t="s">
        <v>13</v>
      </c>
      <c r="G401" s="41" t="s">
        <v>14</v>
      </c>
      <c r="H401" s="42" t="s">
        <v>15</v>
      </c>
    </row>
    <row r="402" spans="1:8" x14ac:dyDescent="0.25">
      <c r="A402" s="36">
        <v>1</v>
      </c>
      <c r="B402" s="527"/>
      <c r="C402" s="527"/>
      <c r="D402" s="527"/>
      <c r="E402" s="527"/>
      <c r="F402" s="527"/>
      <c r="G402" s="527"/>
      <c r="H402" s="38">
        <f>H399+B402+F402-(C402+D402+G402)-E402</f>
        <v>15</v>
      </c>
    </row>
    <row r="403" spans="1:8" x14ac:dyDescent="0.25">
      <c r="A403" s="26">
        <v>2</v>
      </c>
      <c r="B403" s="268"/>
      <c r="C403" s="268"/>
      <c r="D403" s="268"/>
      <c r="E403" s="268"/>
      <c r="F403" s="268"/>
      <c r="G403" s="268"/>
      <c r="H403" s="2">
        <f>H402+B403+F403-(C403+D403+G403)-E403</f>
        <v>15</v>
      </c>
    </row>
    <row r="404" spans="1:8" x14ac:dyDescent="0.25">
      <c r="A404" s="26">
        <v>3</v>
      </c>
      <c r="B404" s="268"/>
      <c r="C404" s="268"/>
      <c r="D404" s="268"/>
      <c r="E404" s="268"/>
      <c r="F404" s="268"/>
      <c r="G404" s="268"/>
      <c r="H404" s="2">
        <f>H403+B404+F404-(C404+D404+G404)-E404</f>
        <v>15</v>
      </c>
    </row>
    <row r="405" spans="1:8" x14ac:dyDescent="0.25">
      <c r="A405" s="26">
        <v>4</v>
      </c>
      <c r="B405" s="268"/>
      <c r="C405" s="268"/>
      <c r="D405" s="268"/>
      <c r="E405" s="268"/>
      <c r="F405" s="268"/>
      <c r="G405" s="268"/>
      <c r="H405" s="2">
        <f t="shared" ref="H405:H431" si="20">H404+B405+F405-(C405+D405+G405)-E405</f>
        <v>15</v>
      </c>
    </row>
    <row r="406" spans="1:8" x14ac:dyDescent="0.25">
      <c r="A406" s="26">
        <v>5</v>
      </c>
      <c r="B406" s="268"/>
      <c r="C406" s="268"/>
      <c r="D406" s="268"/>
      <c r="E406" s="268"/>
      <c r="F406" s="268"/>
      <c r="G406" s="268"/>
      <c r="H406" s="2">
        <f t="shared" si="20"/>
        <v>15</v>
      </c>
    </row>
    <row r="407" spans="1:8" x14ac:dyDescent="0.25">
      <c r="A407" s="26">
        <v>6</v>
      </c>
      <c r="B407" s="268"/>
      <c r="C407" s="268"/>
      <c r="D407" s="268"/>
      <c r="E407" s="268"/>
      <c r="F407" s="268"/>
      <c r="G407" s="268"/>
      <c r="H407" s="2">
        <f t="shared" si="20"/>
        <v>15</v>
      </c>
    </row>
    <row r="408" spans="1:8" x14ac:dyDescent="0.25">
      <c r="A408" s="26">
        <v>7</v>
      </c>
      <c r="B408" s="268"/>
      <c r="C408" s="268"/>
      <c r="D408" s="268"/>
      <c r="E408" s="268"/>
      <c r="F408" s="268"/>
      <c r="G408" s="268"/>
      <c r="H408" s="2">
        <f t="shared" si="20"/>
        <v>15</v>
      </c>
    </row>
    <row r="409" spans="1:8" x14ac:dyDescent="0.25">
      <c r="A409" s="26">
        <v>8</v>
      </c>
      <c r="B409" s="268"/>
      <c r="C409" s="268"/>
      <c r="D409" s="268"/>
      <c r="E409" s="268"/>
      <c r="F409" s="268"/>
      <c r="G409" s="268"/>
      <c r="H409" s="2">
        <f t="shared" si="20"/>
        <v>15</v>
      </c>
    </row>
    <row r="410" spans="1:8" x14ac:dyDescent="0.25">
      <c r="A410" s="26">
        <v>9</v>
      </c>
      <c r="B410" s="268"/>
      <c r="C410" s="268"/>
      <c r="D410" s="268"/>
      <c r="E410" s="268"/>
      <c r="F410" s="268"/>
      <c r="G410" s="268"/>
      <c r="H410" s="2">
        <f t="shared" si="20"/>
        <v>15</v>
      </c>
    </row>
    <row r="411" spans="1:8" x14ac:dyDescent="0.25">
      <c r="A411" s="26">
        <v>10</v>
      </c>
      <c r="B411" s="268"/>
      <c r="C411" s="268"/>
      <c r="D411" s="268"/>
      <c r="E411" s="268"/>
      <c r="F411" s="268"/>
      <c r="G411" s="268"/>
      <c r="H411" s="2">
        <f t="shared" si="20"/>
        <v>15</v>
      </c>
    </row>
    <row r="412" spans="1:8" x14ac:dyDescent="0.25">
      <c r="A412" s="26">
        <v>11</v>
      </c>
      <c r="B412" s="268"/>
      <c r="C412" s="268"/>
      <c r="D412" s="268"/>
      <c r="E412" s="268"/>
      <c r="F412" s="268"/>
      <c r="G412" s="268"/>
      <c r="H412" s="2">
        <f t="shared" si="20"/>
        <v>15</v>
      </c>
    </row>
    <row r="413" spans="1:8" x14ac:dyDescent="0.25">
      <c r="A413" s="26">
        <v>12</v>
      </c>
      <c r="B413" s="268"/>
      <c r="C413" s="268"/>
      <c r="D413" s="268"/>
      <c r="E413" s="268"/>
      <c r="F413" s="268"/>
      <c r="G413" s="268"/>
      <c r="H413" s="2">
        <f t="shared" si="20"/>
        <v>15</v>
      </c>
    </row>
    <row r="414" spans="1:8" x14ac:dyDescent="0.25">
      <c r="A414" s="26">
        <v>13</v>
      </c>
      <c r="B414" s="268"/>
      <c r="C414" s="268"/>
      <c r="D414" s="268"/>
      <c r="E414" s="268"/>
      <c r="F414" s="268"/>
      <c r="G414" s="268"/>
      <c r="H414" s="2">
        <f t="shared" si="20"/>
        <v>15</v>
      </c>
    </row>
    <row r="415" spans="1:8" x14ac:dyDescent="0.25">
      <c r="A415" s="26">
        <v>14</v>
      </c>
      <c r="B415" s="268"/>
      <c r="C415" s="268"/>
      <c r="D415" s="268"/>
      <c r="E415" s="268"/>
      <c r="F415" s="268"/>
      <c r="G415" s="268"/>
      <c r="H415" s="2">
        <f t="shared" si="20"/>
        <v>15</v>
      </c>
    </row>
    <row r="416" spans="1:8" x14ac:dyDescent="0.25">
      <c r="A416" s="26">
        <v>15</v>
      </c>
      <c r="B416" s="268"/>
      <c r="C416" s="268"/>
      <c r="D416" s="268"/>
      <c r="E416" s="268"/>
      <c r="F416" s="268"/>
      <c r="G416" s="268"/>
      <c r="H416" s="2">
        <f t="shared" si="20"/>
        <v>15</v>
      </c>
    </row>
    <row r="417" spans="1:10" x14ac:dyDescent="0.25">
      <c r="A417" s="26">
        <v>16</v>
      </c>
      <c r="B417" s="268"/>
      <c r="C417" s="268"/>
      <c r="D417" s="268"/>
      <c r="E417" s="268"/>
      <c r="F417" s="268"/>
      <c r="G417" s="268"/>
      <c r="H417" s="2">
        <f t="shared" si="20"/>
        <v>15</v>
      </c>
    </row>
    <row r="418" spans="1:10" x14ac:dyDescent="0.25">
      <c r="A418" s="26">
        <v>17</v>
      </c>
      <c r="B418" s="268"/>
      <c r="C418" s="268"/>
      <c r="D418" s="268"/>
      <c r="E418" s="268"/>
      <c r="F418" s="268"/>
      <c r="G418" s="268"/>
      <c r="H418" s="2">
        <f t="shared" si="20"/>
        <v>15</v>
      </c>
    </row>
    <row r="419" spans="1:10" x14ac:dyDescent="0.25">
      <c r="A419" s="26">
        <v>18</v>
      </c>
      <c r="B419" s="268"/>
      <c r="C419" s="268"/>
      <c r="D419" s="268"/>
      <c r="E419" s="268"/>
      <c r="F419" s="268"/>
      <c r="G419" s="268"/>
      <c r="H419" s="2">
        <f t="shared" si="20"/>
        <v>15</v>
      </c>
    </row>
    <row r="420" spans="1:10" x14ac:dyDescent="0.25">
      <c r="A420" s="26">
        <v>19</v>
      </c>
      <c r="B420" s="268"/>
      <c r="C420" s="268"/>
      <c r="D420" s="268"/>
      <c r="E420" s="268"/>
      <c r="F420" s="268"/>
      <c r="G420" s="268"/>
      <c r="H420" s="2">
        <f t="shared" si="20"/>
        <v>15</v>
      </c>
    </row>
    <row r="421" spans="1:10" x14ac:dyDescent="0.25">
      <c r="A421" s="26">
        <v>20</v>
      </c>
      <c r="B421" s="268"/>
      <c r="C421" s="268"/>
      <c r="D421" s="268"/>
      <c r="E421" s="268"/>
      <c r="F421" s="268"/>
      <c r="G421" s="268"/>
      <c r="H421" s="2">
        <f t="shared" si="20"/>
        <v>15</v>
      </c>
    </row>
    <row r="422" spans="1:10" x14ac:dyDescent="0.25">
      <c r="A422" s="26">
        <v>21</v>
      </c>
      <c r="B422" s="268"/>
      <c r="C422" s="268"/>
      <c r="D422" s="268"/>
      <c r="E422" s="268"/>
      <c r="F422" s="268"/>
      <c r="G422" s="268"/>
      <c r="H422" s="2">
        <f t="shared" si="20"/>
        <v>15</v>
      </c>
    </row>
    <row r="423" spans="1:10" x14ac:dyDescent="0.25">
      <c r="A423" s="26">
        <v>22</v>
      </c>
      <c r="B423" s="268"/>
      <c r="C423" s="268"/>
      <c r="D423" s="268"/>
      <c r="E423" s="268"/>
      <c r="F423" s="268"/>
      <c r="G423" s="268"/>
      <c r="H423" s="2">
        <f t="shared" si="20"/>
        <v>15</v>
      </c>
    </row>
    <row r="424" spans="1:10" x14ac:dyDescent="0.25">
      <c r="A424" s="26">
        <v>23</v>
      </c>
      <c r="B424" s="268"/>
      <c r="C424" s="268"/>
      <c r="D424" s="268"/>
      <c r="E424" s="268"/>
      <c r="F424" s="268"/>
      <c r="G424" s="268"/>
      <c r="H424" s="2">
        <f t="shared" si="20"/>
        <v>15</v>
      </c>
      <c r="J424" t="s">
        <v>49</v>
      </c>
    </row>
    <row r="425" spans="1:10" x14ac:dyDescent="0.25">
      <c r="A425" s="26">
        <v>24</v>
      </c>
      <c r="B425" s="268"/>
      <c r="C425" s="268"/>
      <c r="D425" s="268"/>
      <c r="E425" s="268"/>
      <c r="F425" s="268"/>
      <c r="G425" s="268"/>
      <c r="H425" s="2">
        <f t="shared" si="20"/>
        <v>15</v>
      </c>
    </row>
    <row r="426" spans="1:10" x14ac:dyDescent="0.25">
      <c r="A426" s="26">
        <v>25</v>
      </c>
      <c r="B426" s="268"/>
      <c r="C426" s="268"/>
      <c r="D426" s="268"/>
      <c r="E426" s="268"/>
      <c r="F426" s="268"/>
      <c r="G426" s="268"/>
      <c r="H426" s="2">
        <f t="shared" si="20"/>
        <v>15</v>
      </c>
    </row>
    <row r="427" spans="1:10" x14ac:dyDescent="0.25">
      <c r="A427" s="26">
        <v>26</v>
      </c>
      <c r="B427" s="268"/>
      <c r="C427" s="268"/>
      <c r="D427" s="268"/>
      <c r="E427" s="268"/>
      <c r="F427" s="268"/>
      <c r="G427" s="268"/>
      <c r="H427" s="2">
        <f t="shared" si="20"/>
        <v>15</v>
      </c>
    </row>
    <row r="428" spans="1:10" x14ac:dyDescent="0.25">
      <c r="A428" s="26">
        <v>27</v>
      </c>
      <c r="B428" s="268"/>
      <c r="C428" s="268"/>
      <c r="D428" s="268"/>
      <c r="E428" s="268"/>
      <c r="F428" s="268"/>
      <c r="G428" s="268"/>
      <c r="H428" s="2">
        <f t="shared" si="20"/>
        <v>15</v>
      </c>
    </row>
    <row r="429" spans="1:10" x14ac:dyDescent="0.25">
      <c r="A429" s="26">
        <v>28</v>
      </c>
      <c r="B429" s="268"/>
      <c r="C429" s="268"/>
      <c r="D429" s="268"/>
      <c r="E429" s="268"/>
      <c r="F429" s="268"/>
      <c r="G429" s="268"/>
      <c r="H429" s="2">
        <f t="shared" si="20"/>
        <v>15</v>
      </c>
    </row>
    <row r="430" spans="1:10" x14ac:dyDescent="0.25">
      <c r="A430" s="26">
        <v>29</v>
      </c>
      <c r="B430" s="268"/>
      <c r="C430" s="268"/>
      <c r="D430" s="268"/>
      <c r="E430" s="268"/>
      <c r="F430" s="268"/>
      <c r="G430" s="268"/>
      <c r="H430" s="2">
        <f t="shared" si="20"/>
        <v>15</v>
      </c>
    </row>
    <row r="431" spans="1:10" ht="15.75" thickBot="1" x14ac:dyDescent="0.3">
      <c r="A431" s="26">
        <v>30</v>
      </c>
      <c r="B431" s="268"/>
      <c r="C431" s="268"/>
      <c r="D431" s="268"/>
      <c r="E431" s="268"/>
      <c r="F431" s="268"/>
      <c r="G431" s="268"/>
      <c r="H431" s="2">
        <f t="shared" si="20"/>
        <v>15</v>
      </c>
    </row>
    <row r="432" spans="1:10" ht="15.75" thickBot="1" x14ac:dyDescent="0.3">
      <c r="A432" s="60" t="s">
        <v>35</v>
      </c>
      <c r="B432" s="58">
        <f>SUM(B402:B431)-E432</f>
        <v>0</v>
      </c>
      <c r="C432" s="58">
        <f t="shared" ref="C432:H432" si="21">SUM(C402:C431)</f>
        <v>0</v>
      </c>
      <c r="D432" s="58">
        <f t="shared" si="21"/>
        <v>0</v>
      </c>
      <c r="E432" s="58">
        <f t="shared" si="21"/>
        <v>0</v>
      </c>
      <c r="F432" s="58">
        <f t="shared" si="21"/>
        <v>0</v>
      </c>
      <c r="G432" s="58">
        <f t="shared" si="21"/>
        <v>0</v>
      </c>
      <c r="H432" s="59">
        <f t="shared" si="21"/>
        <v>450</v>
      </c>
    </row>
    <row r="435" spans="1:8" ht="36" x14ac:dyDescent="0.55000000000000004">
      <c r="A435" s="605" t="s">
        <v>1</v>
      </c>
      <c r="B435" s="605"/>
      <c r="C435" s="605"/>
      <c r="D435" s="605"/>
      <c r="E435" s="605"/>
      <c r="F435" s="605"/>
      <c r="G435" s="605"/>
      <c r="H435" s="605"/>
    </row>
    <row r="436" spans="1:8" ht="27" thickBot="1" x14ac:dyDescent="0.45">
      <c r="A436" s="606" t="s">
        <v>0</v>
      </c>
      <c r="B436" s="606"/>
      <c r="C436" s="606"/>
      <c r="D436" s="606"/>
      <c r="E436" s="606"/>
      <c r="F436" s="606"/>
      <c r="G436" s="606"/>
      <c r="H436" s="606"/>
    </row>
    <row r="437" spans="1:8" ht="15.75" x14ac:dyDescent="0.25">
      <c r="A437" s="39" t="s">
        <v>2</v>
      </c>
      <c r="B437" s="19" t="s">
        <v>3</v>
      </c>
      <c r="C437" s="20"/>
      <c r="D437" s="21" t="s">
        <v>52</v>
      </c>
      <c r="E437" s="607" t="s">
        <v>37</v>
      </c>
      <c r="F437" s="608"/>
      <c r="G437" s="19" t="s">
        <v>16</v>
      </c>
      <c r="H437" s="161" t="s">
        <v>67</v>
      </c>
    </row>
    <row r="438" spans="1:8" ht="15.75" x14ac:dyDescent="0.25">
      <c r="A438" s="609" t="s">
        <v>6</v>
      </c>
      <c r="B438" s="610"/>
      <c r="C438" s="610"/>
      <c r="D438" s="610"/>
      <c r="E438" s="610"/>
      <c r="F438" s="611"/>
      <c r="G438" s="1"/>
      <c r="H438" s="2">
        <f>H431</f>
        <v>15</v>
      </c>
    </row>
    <row r="439" spans="1:8" ht="15.75" x14ac:dyDescent="0.25">
      <c r="A439" s="3" t="s">
        <v>7</v>
      </c>
      <c r="B439" s="1"/>
      <c r="C439" s="1"/>
      <c r="D439" s="1"/>
      <c r="E439" s="1"/>
      <c r="F439" s="1"/>
      <c r="G439" s="1"/>
      <c r="H439" s="2">
        <v>28</v>
      </c>
    </row>
    <row r="440" spans="1:8" ht="51.75" thickBot="1" x14ac:dyDescent="0.3">
      <c r="A440" s="40" t="s">
        <v>8</v>
      </c>
      <c r="B440" s="41" t="s">
        <v>9</v>
      </c>
      <c r="C440" s="41" t="s">
        <v>10</v>
      </c>
      <c r="D440" s="41" t="s">
        <v>11</v>
      </c>
      <c r="E440" s="41" t="s">
        <v>12</v>
      </c>
      <c r="F440" s="41" t="s">
        <v>13</v>
      </c>
      <c r="G440" s="41" t="s">
        <v>14</v>
      </c>
      <c r="H440" s="42" t="s">
        <v>15</v>
      </c>
    </row>
    <row r="441" spans="1:8" x14ac:dyDescent="0.25">
      <c r="A441" s="36">
        <v>1</v>
      </c>
      <c r="B441" s="527"/>
      <c r="C441" s="527"/>
      <c r="D441" s="527"/>
      <c r="E441" s="527"/>
      <c r="F441" s="527"/>
      <c r="G441" s="527"/>
      <c r="H441" s="38">
        <f>H438+B441+F441-(C441+D441+G441)-E441</f>
        <v>15</v>
      </c>
    </row>
    <row r="442" spans="1:8" x14ac:dyDescent="0.25">
      <c r="A442" s="26">
        <v>2</v>
      </c>
      <c r="B442" s="268"/>
      <c r="C442" s="268"/>
      <c r="D442" s="268"/>
      <c r="E442" s="268"/>
      <c r="F442" s="268"/>
      <c r="G442" s="268"/>
      <c r="H442" s="2">
        <f>H441+B442+F442-(C442+D442+G442)-E442</f>
        <v>15</v>
      </c>
    </row>
    <row r="443" spans="1:8" x14ac:dyDescent="0.25">
      <c r="A443" s="26">
        <v>3</v>
      </c>
      <c r="B443" s="268"/>
      <c r="C443" s="268"/>
      <c r="D443" s="268"/>
      <c r="E443" s="268"/>
      <c r="F443" s="268"/>
      <c r="G443" s="268"/>
      <c r="H443" s="2">
        <f>H442+B443+F443-(C443+D443+G443)-E443</f>
        <v>15</v>
      </c>
    </row>
    <row r="444" spans="1:8" x14ac:dyDescent="0.25">
      <c r="A444" s="26">
        <v>4</v>
      </c>
      <c r="B444" s="268"/>
      <c r="C444" s="268"/>
      <c r="D444" s="268"/>
      <c r="E444" s="268"/>
      <c r="F444" s="268"/>
      <c r="G444" s="268"/>
      <c r="H444" s="2">
        <f t="shared" ref="H444:H471" si="22">H443+B444+F444-(C444+D444+G444)-E444</f>
        <v>15</v>
      </c>
    </row>
    <row r="445" spans="1:8" x14ac:dyDescent="0.25">
      <c r="A445" s="26">
        <v>5</v>
      </c>
      <c r="B445" s="268"/>
      <c r="C445" s="268"/>
      <c r="D445" s="268"/>
      <c r="E445" s="268"/>
      <c r="F445" s="268"/>
      <c r="G445" s="268"/>
      <c r="H445" s="2">
        <f t="shared" si="22"/>
        <v>15</v>
      </c>
    </row>
    <row r="446" spans="1:8" x14ac:dyDescent="0.25">
      <c r="A446" s="26">
        <v>6</v>
      </c>
      <c r="B446" s="268"/>
      <c r="C446" s="268"/>
      <c r="D446" s="268"/>
      <c r="E446" s="268"/>
      <c r="F446" s="268"/>
      <c r="G446" s="268"/>
      <c r="H446" s="2">
        <f t="shared" si="22"/>
        <v>15</v>
      </c>
    </row>
    <row r="447" spans="1:8" x14ac:dyDescent="0.25">
      <c r="A447" s="26">
        <v>7</v>
      </c>
      <c r="B447" s="268"/>
      <c r="C447" s="268"/>
      <c r="D447" s="268"/>
      <c r="E447" s="268"/>
      <c r="F447" s="268"/>
      <c r="G447" s="268"/>
      <c r="H447" s="2">
        <f t="shared" si="22"/>
        <v>15</v>
      </c>
    </row>
    <row r="448" spans="1:8" x14ac:dyDescent="0.25">
      <c r="A448" s="26">
        <v>8</v>
      </c>
      <c r="B448" s="268"/>
      <c r="C448" s="268"/>
      <c r="D448" s="268"/>
      <c r="E448" s="268"/>
      <c r="F448" s="268"/>
      <c r="G448" s="268"/>
      <c r="H448" s="2">
        <f t="shared" si="22"/>
        <v>15</v>
      </c>
    </row>
    <row r="449" spans="1:8" x14ac:dyDescent="0.25">
      <c r="A449" s="26">
        <v>9</v>
      </c>
      <c r="B449" s="268"/>
      <c r="C449" s="268"/>
      <c r="D449" s="268"/>
      <c r="E449" s="268"/>
      <c r="F449" s="268"/>
      <c r="G449" s="268"/>
      <c r="H449" s="2">
        <f t="shared" si="22"/>
        <v>15</v>
      </c>
    </row>
    <row r="450" spans="1:8" x14ac:dyDescent="0.25">
      <c r="A450" s="26">
        <v>10</v>
      </c>
      <c r="B450" s="268"/>
      <c r="C450" s="268"/>
      <c r="D450" s="268"/>
      <c r="E450" s="268"/>
      <c r="F450" s="268"/>
      <c r="G450" s="268"/>
      <c r="H450" s="2">
        <f t="shared" si="22"/>
        <v>15</v>
      </c>
    </row>
    <row r="451" spans="1:8" x14ac:dyDescent="0.25">
      <c r="A451" s="26">
        <v>11</v>
      </c>
      <c r="B451" s="268"/>
      <c r="C451" s="268"/>
      <c r="D451" s="268"/>
      <c r="E451" s="268"/>
      <c r="F451" s="268"/>
      <c r="G451" s="268"/>
      <c r="H451" s="2">
        <f t="shared" si="22"/>
        <v>15</v>
      </c>
    </row>
    <row r="452" spans="1:8" x14ac:dyDescent="0.25">
      <c r="A452" s="26">
        <v>12</v>
      </c>
      <c r="B452" s="268"/>
      <c r="C452" s="268"/>
      <c r="D452" s="268"/>
      <c r="E452" s="268"/>
      <c r="F452" s="268"/>
      <c r="G452" s="268"/>
      <c r="H452" s="2">
        <f t="shared" si="22"/>
        <v>15</v>
      </c>
    </row>
    <row r="453" spans="1:8" x14ac:dyDescent="0.25">
      <c r="A453" s="26">
        <v>13</v>
      </c>
      <c r="B453" s="268"/>
      <c r="C453" s="268"/>
      <c r="D453" s="268"/>
      <c r="E453" s="268"/>
      <c r="F453" s="268"/>
      <c r="G453" s="268"/>
      <c r="H453" s="2">
        <f t="shared" si="22"/>
        <v>15</v>
      </c>
    </row>
    <row r="454" spans="1:8" x14ac:dyDescent="0.25">
      <c r="A454" s="26">
        <v>14</v>
      </c>
      <c r="B454" s="268"/>
      <c r="C454" s="268"/>
      <c r="D454" s="268"/>
      <c r="E454" s="268"/>
      <c r="F454" s="268"/>
      <c r="G454" s="268"/>
      <c r="H454" s="2">
        <f t="shared" si="22"/>
        <v>15</v>
      </c>
    </row>
    <row r="455" spans="1:8" x14ac:dyDescent="0.25">
      <c r="A455" s="26">
        <v>15</v>
      </c>
      <c r="B455" s="268"/>
      <c r="C455" s="268"/>
      <c r="D455" s="268"/>
      <c r="E455" s="268"/>
      <c r="F455" s="268"/>
      <c r="G455" s="268"/>
      <c r="H455" s="2">
        <f t="shared" si="22"/>
        <v>15</v>
      </c>
    </row>
    <row r="456" spans="1:8" x14ac:dyDescent="0.25">
      <c r="A456" s="26">
        <v>16</v>
      </c>
      <c r="B456" s="268"/>
      <c r="C456" s="268"/>
      <c r="D456" s="268"/>
      <c r="E456" s="268"/>
      <c r="F456" s="268"/>
      <c r="G456" s="268"/>
      <c r="H456" s="2">
        <f t="shared" si="22"/>
        <v>15</v>
      </c>
    </row>
    <row r="457" spans="1:8" x14ac:dyDescent="0.25">
      <c r="A457" s="26">
        <v>17</v>
      </c>
      <c r="B457" s="268"/>
      <c r="C457" s="268"/>
      <c r="D457" s="268"/>
      <c r="E457" s="268"/>
      <c r="F457" s="268"/>
      <c r="G457" s="268"/>
      <c r="H457" s="2">
        <f t="shared" si="22"/>
        <v>15</v>
      </c>
    </row>
    <row r="458" spans="1:8" x14ac:dyDescent="0.25">
      <c r="A458" s="26">
        <v>18</v>
      </c>
      <c r="B458" s="268"/>
      <c r="C458" s="268"/>
      <c r="D458" s="268"/>
      <c r="E458" s="268"/>
      <c r="F458" s="268"/>
      <c r="G458" s="268"/>
      <c r="H458" s="2">
        <f t="shared" si="22"/>
        <v>15</v>
      </c>
    </row>
    <row r="459" spans="1:8" x14ac:dyDescent="0.25">
      <c r="A459" s="26">
        <v>19</v>
      </c>
      <c r="B459" s="268"/>
      <c r="C459" s="268"/>
      <c r="D459" s="268"/>
      <c r="E459" s="268"/>
      <c r="F459" s="268"/>
      <c r="G459" s="268"/>
      <c r="H459" s="2">
        <f t="shared" si="22"/>
        <v>15</v>
      </c>
    </row>
    <row r="460" spans="1:8" x14ac:dyDescent="0.25">
      <c r="A460" s="26">
        <v>20</v>
      </c>
      <c r="B460" s="268"/>
      <c r="C460" s="268"/>
      <c r="D460" s="268"/>
      <c r="E460" s="268"/>
      <c r="F460" s="268"/>
      <c r="G460" s="268"/>
      <c r="H460" s="2">
        <f t="shared" si="22"/>
        <v>15</v>
      </c>
    </row>
    <row r="461" spans="1:8" x14ac:dyDescent="0.25">
      <c r="A461" s="26">
        <v>21</v>
      </c>
      <c r="B461" s="268"/>
      <c r="C461" s="268"/>
      <c r="D461" s="268"/>
      <c r="E461" s="268"/>
      <c r="F461" s="268"/>
      <c r="G461" s="268"/>
      <c r="H461" s="2">
        <f t="shared" si="22"/>
        <v>15</v>
      </c>
    </row>
    <row r="462" spans="1:8" x14ac:dyDescent="0.25">
      <c r="A462" s="26">
        <v>22</v>
      </c>
      <c r="B462" s="268"/>
      <c r="C462" s="268"/>
      <c r="D462" s="268"/>
      <c r="E462" s="268"/>
      <c r="F462" s="268"/>
      <c r="G462" s="268"/>
      <c r="H462" s="2">
        <f t="shared" si="22"/>
        <v>15</v>
      </c>
    </row>
    <row r="463" spans="1:8" x14ac:dyDescent="0.25">
      <c r="A463" s="26">
        <v>23</v>
      </c>
      <c r="B463" s="268"/>
      <c r="C463" s="268"/>
      <c r="D463" s="268"/>
      <c r="E463" s="268"/>
      <c r="F463" s="268"/>
      <c r="G463" s="268"/>
      <c r="H463" s="2">
        <f t="shared" si="22"/>
        <v>15</v>
      </c>
    </row>
    <row r="464" spans="1:8" x14ac:dyDescent="0.25">
      <c r="A464" s="26">
        <v>24</v>
      </c>
      <c r="B464" s="268"/>
      <c r="C464" s="268"/>
      <c r="D464" s="268"/>
      <c r="E464" s="268"/>
      <c r="F464" s="268"/>
      <c r="G464" s="268"/>
      <c r="H464" s="2">
        <f t="shared" si="22"/>
        <v>15</v>
      </c>
    </row>
    <row r="465" spans="1:8" x14ac:dyDescent="0.25">
      <c r="A465" s="26">
        <v>25</v>
      </c>
      <c r="B465" s="268"/>
      <c r="C465" s="268"/>
      <c r="D465" s="268"/>
      <c r="E465" s="268"/>
      <c r="F465" s="268"/>
      <c r="G465" s="268"/>
      <c r="H465" s="2">
        <f t="shared" si="22"/>
        <v>15</v>
      </c>
    </row>
    <row r="466" spans="1:8" x14ac:dyDescent="0.25">
      <c r="A466" s="26">
        <v>26</v>
      </c>
      <c r="B466" s="268"/>
      <c r="C466" s="268"/>
      <c r="D466" s="268"/>
      <c r="E466" s="268"/>
      <c r="F466" s="268"/>
      <c r="G466" s="268"/>
      <c r="H466" s="2">
        <f t="shared" si="22"/>
        <v>15</v>
      </c>
    </row>
    <row r="467" spans="1:8" x14ac:dyDescent="0.25">
      <c r="A467" s="26">
        <v>27</v>
      </c>
      <c r="B467" s="268"/>
      <c r="C467" s="268"/>
      <c r="D467" s="268"/>
      <c r="E467" s="268"/>
      <c r="F467" s="268"/>
      <c r="G467" s="268"/>
      <c r="H467" s="2">
        <f t="shared" si="22"/>
        <v>15</v>
      </c>
    </row>
    <row r="468" spans="1:8" x14ac:dyDescent="0.25">
      <c r="A468" s="26">
        <v>28</v>
      </c>
      <c r="B468" s="268"/>
      <c r="C468" s="268"/>
      <c r="D468" s="268"/>
      <c r="E468" s="268"/>
      <c r="F468" s="268"/>
      <c r="G468" s="268"/>
      <c r="H468" s="2">
        <f t="shared" si="22"/>
        <v>15</v>
      </c>
    </row>
    <row r="469" spans="1:8" x14ac:dyDescent="0.25">
      <c r="A469" s="26">
        <v>29</v>
      </c>
      <c r="B469" s="268"/>
      <c r="C469" s="268"/>
      <c r="D469" s="268"/>
      <c r="E469" s="268"/>
      <c r="F469" s="268"/>
      <c r="G469" s="268"/>
      <c r="H469" s="2">
        <f t="shared" si="22"/>
        <v>15</v>
      </c>
    </row>
    <row r="470" spans="1:8" x14ac:dyDescent="0.25">
      <c r="A470" s="26">
        <v>30</v>
      </c>
      <c r="B470" s="268"/>
      <c r="C470" s="268"/>
      <c r="D470" s="268"/>
      <c r="E470" s="268"/>
      <c r="F470" s="268"/>
      <c r="G470" s="268"/>
      <c r="H470" s="2">
        <f t="shared" si="22"/>
        <v>15</v>
      </c>
    </row>
    <row r="471" spans="1:8" ht="15.75" thickBot="1" x14ac:dyDescent="0.3">
      <c r="A471" s="64">
        <v>31</v>
      </c>
      <c r="B471" s="528"/>
      <c r="C471" s="528"/>
      <c r="D471" s="528"/>
      <c r="E471" s="528"/>
      <c r="F471" s="528"/>
      <c r="G471" s="528"/>
      <c r="H471" s="2">
        <f t="shared" si="22"/>
        <v>15</v>
      </c>
    </row>
    <row r="472" spans="1:8" ht="15.75" thickBot="1" x14ac:dyDescent="0.3">
      <c r="A472" s="60" t="s">
        <v>35</v>
      </c>
      <c r="B472" s="58">
        <f>SUM(B441:B471)-E472</f>
        <v>0</v>
      </c>
      <c r="C472" s="58">
        <f t="shared" ref="C472:H472" si="23">SUM(C441:C471)</f>
        <v>0</v>
      </c>
      <c r="D472" s="58">
        <f t="shared" si="23"/>
        <v>0</v>
      </c>
      <c r="E472" s="58">
        <f t="shared" si="23"/>
        <v>0</v>
      </c>
      <c r="F472" s="58">
        <f t="shared" si="23"/>
        <v>0</v>
      </c>
      <c r="G472" s="58">
        <f t="shared" si="23"/>
        <v>0</v>
      </c>
      <c r="H472" s="59">
        <f t="shared" si="23"/>
        <v>465</v>
      </c>
    </row>
  </sheetData>
  <mergeCells count="48">
    <mergeCell ref="A436:H436"/>
    <mergeCell ref="E437:F437"/>
    <mergeCell ref="A438:F438"/>
    <mergeCell ref="A396:H396"/>
    <mergeCell ref="A397:H397"/>
    <mergeCell ref="E398:F398"/>
    <mergeCell ref="A399:F399"/>
    <mergeCell ref="A435:H435"/>
    <mergeCell ref="A356:H356"/>
    <mergeCell ref="A357:H357"/>
    <mergeCell ref="E358:F358"/>
    <mergeCell ref="A359:F359"/>
    <mergeCell ref="A317:H317"/>
    <mergeCell ref="A318:H318"/>
    <mergeCell ref="E319:F319"/>
    <mergeCell ref="A320:F320"/>
    <mergeCell ref="A277:H277"/>
    <mergeCell ref="A278:H278"/>
    <mergeCell ref="E279:F279"/>
    <mergeCell ref="A280:F280"/>
    <mergeCell ref="A79:H79"/>
    <mergeCell ref="A80:H80"/>
    <mergeCell ref="E81:F81"/>
    <mergeCell ref="A82:F82"/>
    <mergeCell ref="A237:H237"/>
    <mergeCell ref="A238:H238"/>
    <mergeCell ref="E239:F239"/>
    <mergeCell ref="A240:F240"/>
    <mergeCell ref="A119:H119"/>
    <mergeCell ref="A120:H120"/>
    <mergeCell ref="A122:F122"/>
    <mergeCell ref="E121:F121"/>
    <mergeCell ref="E200:F200"/>
    <mergeCell ref="A201:F201"/>
    <mergeCell ref="A158:H158"/>
    <mergeCell ref="A159:H159"/>
    <mergeCell ref="E160:F160"/>
    <mergeCell ref="A161:F161"/>
    <mergeCell ref="E43:F43"/>
    <mergeCell ref="A44:F44"/>
    <mergeCell ref="A41:H41"/>
    <mergeCell ref="A198:H198"/>
    <mergeCell ref="A199:H199"/>
    <mergeCell ref="A4:F4"/>
    <mergeCell ref="E3:F3"/>
    <mergeCell ref="A2:H2"/>
    <mergeCell ref="A1:H1"/>
    <mergeCell ref="A42:H4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7" tint="-0.249977111117893"/>
  </sheetPr>
  <dimension ref="A1:K472"/>
  <sheetViews>
    <sheetView tabSelected="1" topLeftCell="A321" zoomScale="85" zoomScaleNormal="85" workbookViewId="0">
      <selection activeCell="O428" sqref="O428"/>
    </sheetView>
  </sheetViews>
  <sheetFormatPr defaultRowHeight="15" x14ac:dyDescent="0.25"/>
  <cols>
    <col min="1" max="1" width="10.140625" style="539" customWidth="1"/>
    <col min="2" max="2" width="12.140625" style="539" customWidth="1"/>
    <col min="3" max="3" width="12.42578125" style="539" customWidth="1"/>
    <col min="4" max="4" width="8.28515625" style="539" customWidth="1"/>
    <col min="5" max="5" width="9.28515625" style="539" customWidth="1"/>
    <col min="6" max="7" width="11.7109375" style="539" customWidth="1"/>
    <col min="8" max="8" width="14.140625" style="539" customWidth="1"/>
    <col min="9" max="16384" width="9.140625" style="539"/>
  </cols>
  <sheetData>
    <row r="1" spans="1:11" ht="36" x14ac:dyDescent="0.55000000000000004">
      <c r="A1" s="696" t="s">
        <v>1</v>
      </c>
      <c r="B1" s="696"/>
      <c r="C1" s="696"/>
      <c r="D1" s="696"/>
      <c r="E1" s="696"/>
      <c r="F1" s="696"/>
      <c r="G1" s="696"/>
      <c r="H1" s="696"/>
    </row>
    <row r="2" spans="1:11" ht="27" thickBot="1" x14ac:dyDescent="0.45">
      <c r="A2" s="697" t="s">
        <v>0</v>
      </c>
      <c r="B2" s="697"/>
      <c r="C2" s="697"/>
      <c r="D2" s="697"/>
      <c r="E2" s="697"/>
      <c r="F2" s="697"/>
      <c r="G2" s="697"/>
      <c r="H2" s="697"/>
    </row>
    <row r="3" spans="1:11" ht="15.75" x14ac:dyDescent="0.25">
      <c r="A3" s="698" t="s">
        <v>2</v>
      </c>
      <c r="B3" s="699" t="s">
        <v>3</v>
      </c>
      <c r="C3" s="694"/>
      <c r="D3" s="700" t="s">
        <v>18</v>
      </c>
      <c r="E3" s="701" t="s">
        <v>36</v>
      </c>
      <c r="F3" s="702"/>
      <c r="G3" s="699" t="s">
        <v>16</v>
      </c>
      <c r="H3" s="703" t="s">
        <v>17</v>
      </c>
    </row>
    <row r="4" spans="1:11" ht="15.75" x14ac:dyDescent="0.25">
      <c r="A4" s="704" t="s">
        <v>6</v>
      </c>
      <c r="B4" s="705"/>
      <c r="C4" s="705"/>
      <c r="D4" s="705"/>
      <c r="E4" s="705"/>
      <c r="F4" s="705"/>
      <c r="G4" s="706"/>
      <c r="H4" s="707">
        <v>6</v>
      </c>
    </row>
    <row r="5" spans="1:11" ht="15.75" x14ac:dyDescent="0.25">
      <c r="A5" s="708" t="s">
        <v>7</v>
      </c>
      <c r="B5" s="709"/>
      <c r="C5" s="709"/>
      <c r="D5" s="709"/>
      <c r="E5" s="709"/>
      <c r="F5" s="709"/>
      <c r="G5" s="709"/>
      <c r="H5" s="707">
        <v>27</v>
      </c>
    </row>
    <row r="6" spans="1:11" ht="51.75" thickBot="1" x14ac:dyDescent="0.3">
      <c r="A6" s="710" t="s">
        <v>8</v>
      </c>
      <c r="B6" s="711" t="s">
        <v>9</v>
      </c>
      <c r="C6" s="711" t="s">
        <v>10</v>
      </c>
      <c r="D6" s="711" t="s">
        <v>11</v>
      </c>
      <c r="E6" s="711" t="s">
        <v>12</v>
      </c>
      <c r="F6" s="711" t="s">
        <v>13</v>
      </c>
      <c r="G6" s="711" t="s">
        <v>14</v>
      </c>
      <c r="H6" s="712" t="s">
        <v>15</v>
      </c>
      <c r="K6" s="539" t="s">
        <v>49</v>
      </c>
    </row>
    <row r="7" spans="1:11" x14ac:dyDescent="0.25">
      <c r="A7" s="713">
        <v>1</v>
      </c>
      <c r="B7" s="527"/>
      <c r="C7" s="527"/>
      <c r="D7" s="527"/>
      <c r="E7" s="527"/>
      <c r="F7" s="527"/>
      <c r="G7" s="527"/>
      <c r="H7" s="714">
        <f>H4+B7+F7-(C7+D7+G7)-E7</f>
        <v>6</v>
      </c>
    </row>
    <row r="8" spans="1:11" x14ac:dyDescent="0.25">
      <c r="A8" s="715">
        <v>2</v>
      </c>
      <c r="B8" s="268"/>
      <c r="C8" s="268"/>
      <c r="D8" s="268"/>
      <c r="E8" s="268"/>
      <c r="F8" s="268"/>
      <c r="G8" s="268"/>
      <c r="H8" s="707">
        <f>H7+B8+F8-(C8+D8+G8)-E8</f>
        <v>6</v>
      </c>
    </row>
    <row r="9" spans="1:11" x14ac:dyDescent="0.25">
      <c r="A9" s="715">
        <v>3</v>
      </c>
      <c r="B9" s="268"/>
      <c r="C9" s="268"/>
      <c r="D9" s="268"/>
      <c r="E9" s="268"/>
      <c r="F9" s="268"/>
      <c r="G9" s="268"/>
      <c r="H9" s="707">
        <f t="shared" ref="H9:H37" si="0">H8+B9+F9-(C9+D9+G9)-E9</f>
        <v>6</v>
      </c>
    </row>
    <row r="10" spans="1:11" x14ac:dyDescent="0.25">
      <c r="A10" s="715">
        <v>4</v>
      </c>
      <c r="B10" s="268"/>
      <c r="C10" s="268"/>
      <c r="D10" s="268"/>
      <c r="E10" s="268"/>
      <c r="F10" s="268"/>
      <c r="G10" s="268"/>
      <c r="H10" s="707">
        <f>H9+B10+F10-(C10+D10+G10)-E10</f>
        <v>6</v>
      </c>
    </row>
    <row r="11" spans="1:11" x14ac:dyDescent="0.25">
      <c r="A11" s="715">
        <v>5</v>
      </c>
      <c r="B11" s="268"/>
      <c r="C11" s="268"/>
      <c r="D11" s="268"/>
      <c r="E11" s="268"/>
      <c r="F11" s="268"/>
      <c r="G11" s="268"/>
      <c r="H11" s="707">
        <f t="shared" si="0"/>
        <v>6</v>
      </c>
    </row>
    <row r="12" spans="1:11" x14ac:dyDescent="0.25">
      <c r="A12" s="715">
        <v>6</v>
      </c>
      <c r="B12" s="268"/>
      <c r="C12" s="268"/>
      <c r="D12" s="268"/>
      <c r="E12" s="268"/>
      <c r="F12" s="268"/>
      <c r="G12" s="268"/>
      <c r="H12" s="707">
        <f t="shared" si="0"/>
        <v>6</v>
      </c>
    </row>
    <row r="13" spans="1:11" x14ac:dyDescent="0.25">
      <c r="A13" s="715">
        <v>7</v>
      </c>
      <c r="B13" s="268"/>
      <c r="C13" s="268"/>
      <c r="D13" s="268"/>
      <c r="E13" s="268"/>
      <c r="F13" s="268"/>
      <c r="G13" s="268"/>
      <c r="H13" s="707">
        <f t="shared" si="0"/>
        <v>6</v>
      </c>
    </row>
    <row r="14" spans="1:11" x14ac:dyDescent="0.25">
      <c r="A14" s="715">
        <v>8</v>
      </c>
      <c r="B14" s="268"/>
      <c r="C14" s="268"/>
      <c r="D14" s="268"/>
      <c r="E14" s="268"/>
      <c r="F14" s="268"/>
      <c r="G14" s="268"/>
      <c r="H14" s="707">
        <f t="shared" si="0"/>
        <v>6</v>
      </c>
    </row>
    <row r="15" spans="1:11" x14ac:dyDescent="0.25">
      <c r="A15" s="715">
        <v>9</v>
      </c>
      <c r="B15" s="268"/>
      <c r="C15" s="268"/>
      <c r="D15" s="268"/>
      <c r="E15" s="268"/>
      <c r="F15" s="268"/>
      <c r="G15" s="268"/>
      <c r="H15" s="707">
        <f t="shared" si="0"/>
        <v>6</v>
      </c>
    </row>
    <row r="16" spans="1:11" x14ac:dyDescent="0.25">
      <c r="A16" s="715">
        <v>10</v>
      </c>
      <c r="B16" s="268"/>
      <c r="C16" s="268"/>
      <c r="D16" s="268"/>
      <c r="E16" s="268"/>
      <c r="F16" s="268"/>
      <c r="G16" s="268"/>
      <c r="H16" s="707">
        <f t="shared" si="0"/>
        <v>6</v>
      </c>
    </row>
    <row r="17" spans="1:8" x14ac:dyDescent="0.25">
      <c r="A17" s="715">
        <v>11</v>
      </c>
      <c r="B17" s="268"/>
      <c r="C17" s="268"/>
      <c r="D17" s="268"/>
      <c r="E17" s="268"/>
      <c r="F17" s="268"/>
      <c r="G17" s="268"/>
      <c r="H17" s="707">
        <f t="shared" si="0"/>
        <v>6</v>
      </c>
    </row>
    <row r="18" spans="1:8" x14ac:dyDescent="0.25">
      <c r="A18" s="715">
        <v>12</v>
      </c>
      <c r="B18" s="268"/>
      <c r="C18" s="268"/>
      <c r="D18" s="268"/>
      <c r="E18" s="268"/>
      <c r="F18" s="268"/>
      <c r="G18" s="268"/>
      <c r="H18" s="707">
        <f t="shared" si="0"/>
        <v>6</v>
      </c>
    </row>
    <row r="19" spans="1:8" x14ac:dyDescent="0.25">
      <c r="A19" s="715">
        <v>13</v>
      </c>
      <c r="B19" s="268"/>
      <c r="C19" s="268"/>
      <c r="D19" s="268"/>
      <c r="E19" s="268"/>
      <c r="F19" s="268"/>
      <c r="G19" s="268"/>
      <c r="H19" s="707">
        <f t="shared" si="0"/>
        <v>6</v>
      </c>
    </row>
    <row r="20" spans="1:8" x14ac:dyDescent="0.25">
      <c r="A20" s="715">
        <v>14</v>
      </c>
      <c r="B20" s="268"/>
      <c r="C20" s="268"/>
      <c r="D20" s="268"/>
      <c r="E20" s="268"/>
      <c r="F20" s="268"/>
      <c r="G20" s="268"/>
      <c r="H20" s="707">
        <f t="shared" si="0"/>
        <v>6</v>
      </c>
    </row>
    <row r="21" spans="1:8" x14ac:dyDescent="0.25">
      <c r="A21" s="715">
        <v>15</v>
      </c>
      <c r="B21" s="268"/>
      <c r="C21" s="268"/>
      <c r="D21" s="268"/>
      <c r="E21" s="268"/>
      <c r="F21" s="268"/>
      <c r="G21" s="268"/>
      <c r="H21" s="707">
        <f t="shared" si="0"/>
        <v>6</v>
      </c>
    </row>
    <row r="22" spans="1:8" x14ac:dyDescent="0.25">
      <c r="A22" s="715">
        <v>16</v>
      </c>
      <c r="B22" s="268"/>
      <c r="C22" s="268"/>
      <c r="D22" s="268"/>
      <c r="E22" s="268"/>
      <c r="F22" s="268"/>
      <c r="G22" s="268"/>
      <c r="H22" s="707">
        <f t="shared" si="0"/>
        <v>6</v>
      </c>
    </row>
    <row r="23" spans="1:8" x14ac:dyDescent="0.25">
      <c r="A23" s="715">
        <v>17</v>
      </c>
      <c r="B23" s="268"/>
      <c r="C23" s="268"/>
      <c r="D23" s="268"/>
      <c r="E23" s="268"/>
      <c r="F23" s="268"/>
      <c r="G23" s="268"/>
      <c r="H23" s="707">
        <f t="shared" si="0"/>
        <v>6</v>
      </c>
    </row>
    <row r="24" spans="1:8" x14ac:dyDescent="0.25">
      <c r="A24" s="715">
        <v>18</v>
      </c>
      <c r="B24" s="268"/>
      <c r="C24" s="268"/>
      <c r="D24" s="268"/>
      <c r="E24" s="268"/>
      <c r="F24" s="268"/>
      <c r="G24" s="268"/>
      <c r="H24" s="707">
        <f t="shared" si="0"/>
        <v>6</v>
      </c>
    </row>
    <row r="25" spans="1:8" x14ac:dyDescent="0.25">
      <c r="A25" s="715">
        <v>19</v>
      </c>
      <c r="B25" s="268"/>
      <c r="C25" s="268"/>
      <c r="D25" s="268"/>
      <c r="E25" s="268"/>
      <c r="F25" s="268"/>
      <c r="G25" s="268"/>
      <c r="H25" s="707">
        <f t="shared" si="0"/>
        <v>6</v>
      </c>
    </row>
    <row r="26" spans="1:8" x14ac:dyDescent="0.25">
      <c r="A26" s="715">
        <v>20</v>
      </c>
      <c r="B26" s="268"/>
      <c r="C26" s="268"/>
      <c r="D26" s="268"/>
      <c r="E26" s="268"/>
      <c r="F26" s="268"/>
      <c r="G26" s="268"/>
      <c r="H26" s="707">
        <f t="shared" si="0"/>
        <v>6</v>
      </c>
    </row>
    <row r="27" spans="1:8" x14ac:dyDescent="0.25">
      <c r="A27" s="715">
        <v>21</v>
      </c>
      <c r="B27" s="268"/>
      <c r="C27" s="268"/>
      <c r="D27" s="268"/>
      <c r="E27" s="268"/>
      <c r="F27" s="268"/>
      <c r="G27" s="268"/>
      <c r="H27" s="707">
        <f t="shared" si="0"/>
        <v>6</v>
      </c>
    </row>
    <row r="28" spans="1:8" x14ac:dyDescent="0.25">
      <c r="A28" s="715">
        <v>22</v>
      </c>
      <c r="B28" s="268"/>
      <c r="C28" s="268"/>
      <c r="D28" s="268"/>
      <c r="E28" s="268"/>
      <c r="F28" s="268"/>
      <c r="G28" s="268"/>
      <c r="H28" s="707">
        <f t="shared" si="0"/>
        <v>6</v>
      </c>
    </row>
    <row r="29" spans="1:8" x14ac:dyDescent="0.25">
      <c r="A29" s="715">
        <v>23</v>
      </c>
      <c r="B29" s="268"/>
      <c r="C29" s="268"/>
      <c r="D29" s="268"/>
      <c r="E29" s="268"/>
      <c r="F29" s="268"/>
      <c r="G29" s="268"/>
      <c r="H29" s="707">
        <f t="shared" si="0"/>
        <v>6</v>
      </c>
    </row>
    <row r="30" spans="1:8" x14ac:dyDescent="0.25">
      <c r="A30" s="715">
        <v>24</v>
      </c>
      <c r="B30" s="268"/>
      <c r="C30" s="268"/>
      <c r="D30" s="268"/>
      <c r="E30" s="268"/>
      <c r="F30" s="268"/>
      <c r="G30" s="268"/>
      <c r="H30" s="707">
        <f t="shared" si="0"/>
        <v>6</v>
      </c>
    </row>
    <row r="31" spans="1:8" x14ac:dyDescent="0.25">
      <c r="A31" s="715">
        <v>25</v>
      </c>
      <c r="B31" s="268"/>
      <c r="C31" s="268"/>
      <c r="D31" s="268"/>
      <c r="E31" s="268"/>
      <c r="F31" s="268"/>
      <c r="G31" s="268"/>
      <c r="H31" s="707">
        <f t="shared" si="0"/>
        <v>6</v>
      </c>
    </row>
    <row r="32" spans="1:8" x14ac:dyDescent="0.25">
      <c r="A32" s="715">
        <v>26</v>
      </c>
      <c r="B32" s="268"/>
      <c r="C32" s="268"/>
      <c r="D32" s="268"/>
      <c r="E32" s="268"/>
      <c r="F32" s="268"/>
      <c r="G32" s="268"/>
      <c r="H32" s="707">
        <f t="shared" si="0"/>
        <v>6</v>
      </c>
    </row>
    <row r="33" spans="1:8" x14ac:dyDescent="0.25">
      <c r="A33" s="715">
        <v>27</v>
      </c>
      <c r="B33" s="268"/>
      <c r="C33" s="268"/>
      <c r="D33" s="268"/>
      <c r="E33" s="268"/>
      <c r="F33" s="268"/>
      <c r="G33" s="268"/>
      <c r="H33" s="707">
        <f t="shared" si="0"/>
        <v>6</v>
      </c>
    </row>
    <row r="34" spans="1:8" x14ac:dyDescent="0.25">
      <c r="A34" s="715">
        <v>28</v>
      </c>
      <c r="B34" s="268"/>
      <c r="C34" s="268"/>
      <c r="D34" s="268"/>
      <c r="E34" s="268"/>
      <c r="F34" s="268"/>
      <c r="G34" s="268"/>
      <c r="H34" s="707">
        <f t="shared" si="0"/>
        <v>6</v>
      </c>
    </row>
    <row r="35" spans="1:8" x14ac:dyDescent="0.25">
      <c r="A35" s="715">
        <v>29</v>
      </c>
      <c r="B35" s="268"/>
      <c r="C35" s="268"/>
      <c r="D35" s="268"/>
      <c r="E35" s="268"/>
      <c r="F35" s="268"/>
      <c r="G35" s="268"/>
      <c r="H35" s="707">
        <f t="shared" si="0"/>
        <v>6</v>
      </c>
    </row>
    <row r="36" spans="1:8" x14ac:dyDescent="0.25">
      <c r="A36" s="715">
        <v>30</v>
      </c>
      <c r="B36" s="268"/>
      <c r="C36" s="268"/>
      <c r="D36" s="268"/>
      <c r="E36" s="268"/>
      <c r="F36" s="268"/>
      <c r="G36" s="268"/>
      <c r="H36" s="707">
        <f t="shared" si="0"/>
        <v>6</v>
      </c>
    </row>
    <row r="37" spans="1:8" ht="15.75" thickBot="1" x14ac:dyDescent="0.3">
      <c r="A37" s="716">
        <v>31</v>
      </c>
      <c r="B37" s="695"/>
      <c r="C37" s="695"/>
      <c r="D37" s="695"/>
      <c r="E37" s="695"/>
      <c r="F37" s="695"/>
      <c r="G37" s="695"/>
      <c r="H37" s="707">
        <f t="shared" si="0"/>
        <v>6</v>
      </c>
    </row>
    <row r="38" spans="1:8" ht="15.75" thickBot="1" x14ac:dyDescent="0.3">
      <c r="A38" s="717" t="s">
        <v>35</v>
      </c>
      <c r="B38" s="718">
        <f>SUM(B7:B37)-E38</f>
        <v>0</v>
      </c>
      <c r="C38" s="718">
        <f t="shared" ref="C38:H38" si="1">SUM(C7:C37)</f>
        <v>0</v>
      </c>
      <c r="D38" s="718">
        <f t="shared" si="1"/>
        <v>0</v>
      </c>
      <c r="E38" s="718">
        <f t="shared" si="1"/>
        <v>0</v>
      </c>
      <c r="F38" s="718">
        <f t="shared" si="1"/>
        <v>0</v>
      </c>
      <c r="G38" s="718">
        <f t="shared" si="1"/>
        <v>0</v>
      </c>
      <c r="H38" s="719">
        <f t="shared" si="1"/>
        <v>186</v>
      </c>
    </row>
    <row r="41" spans="1:8" ht="36" x14ac:dyDescent="0.55000000000000004">
      <c r="A41" s="696" t="s">
        <v>1</v>
      </c>
      <c r="B41" s="696"/>
      <c r="C41" s="696"/>
      <c r="D41" s="696"/>
      <c r="E41" s="696"/>
      <c r="F41" s="696"/>
      <c r="G41" s="696"/>
      <c r="H41" s="696"/>
    </row>
    <row r="42" spans="1:8" ht="27" thickBot="1" x14ac:dyDescent="0.45">
      <c r="A42" s="697" t="s">
        <v>0</v>
      </c>
      <c r="B42" s="697"/>
      <c r="C42" s="697"/>
      <c r="D42" s="697"/>
      <c r="E42" s="697"/>
      <c r="F42" s="697"/>
      <c r="G42" s="697"/>
      <c r="H42" s="697"/>
    </row>
    <row r="43" spans="1:8" ht="15.75" x14ac:dyDescent="0.25">
      <c r="A43" s="698" t="s">
        <v>2</v>
      </c>
      <c r="B43" s="699" t="s">
        <v>3</v>
      </c>
      <c r="C43" s="694"/>
      <c r="D43" s="700" t="s">
        <v>18</v>
      </c>
      <c r="E43" s="701" t="s">
        <v>36</v>
      </c>
      <c r="F43" s="702"/>
      <c r="G43" s="699" t="s">
        <v>16</v>
      </c>
      <c r="H43" s="703" t="s">
        <v>41</v>
      </c>
    </row>
    <row r="44" spans="1:8" ht="15.75" x14ac:dyDescent="0.25">
      <c r="A44" s="704" t="s">
        <v>6</v>
      </c>
      <c r="B44" s="705"/>
      <c r="C44" s="705"/>
      <c r="D44" s="705"/>
      <c r="E44" s="705"/>
      <c r="F44" s="706"/>
      <c r="G44" s="709"/>
      <c r="H44" s="707">
        <f>H37</f>
        <v>6</v>
      </c>
    </row>
    <row r="45" spans="1:8" ht="15.75" x14ac:dyDescent="0.25">
      <c r="A45" s="708" t="s">
        <v>7</v>
      </c>
      <c r="B45" s="709"/>
      <c r="C45" s="709"/>
      <c r="D45" s="709"/>
      <c r="E45" s="709"/>
      <c r="F45" s="709"/>
      <c r="G45" s="709"/>
      <c r="H45" s="707">
        <v>27</v>
      </c>
    </row>
    <row r="46" spans="1:8" ht="51.75" thickBot="1" x14ac:dyDescent="0.3">
      <c r="A46" s="710" t="s">
        <v>8</v>
      </c>
      <c r="B46" s="711" t="s">
        <v>9</v>
      </c>
      <c r="C46" s="711" t="s">
        <v>10</v>
      </c>
      <c r="D46" s="711" t="s">
        <v>11</v>
      </c>
      <c r="E46" s="711" t="s">
        <v>12</v>
      </c>
      <c r="F46" s="711" t="s">
        <v>13</v>
      </c>
      <c r="G46" s="711" t="s">
        <v>14</v>
      </c>
      <c r="H46" s="712" t="s">
        <v>15</v>
      </c>
    </row>
    <row r="47" spans="1:8" x14ac:dyDescent="0.25">
      <c r="A47" s="720">
        <v>1</v>
      </c>
      <c r="B47" s="694"/>
      <c r="C47" s="694"/>
      <c r="D47" s="694"/>
      <c r="E47" s="694"/>
      <c r="F47" s="694"/>
      <c r="G47" s="694"/>
      <c r="H47" s="721">
        <f>H44+B47+F47-(C47+D47+G47)-E47</f>
        <v>6</v>
      </c>
    </row>
    <row r="48" spans="1:8" x14ac:dyDescent="0.25">
      <c r="A48" s="715">
        <v>2</v>
      </c>
      <c r="B48" s="268"/>
      <c r="C48" s="268"/>
      <c r="D48" s="268"/>
      <c r="E48" s="268"/>
      <c r="F48" s="268"/>
      <c r="G48" s="268"/>
      <c r="H48" s="707">
        <f>H47+B48+F48-(C48+D48+G48)-E48</f>
        <v>6</v>
      </c>
    </row>
    <row r="49" spans="1:8" x14ac:dyDescent="0.25">
      <c r="A49" s="715">
        <v>3</v>
      </c>
      <c r="B49" s="268"/>
      <c r="C49" s="268"/>
      <c r="D49" s="268"/>
      <c r="E49" s="268"/>
      <c r="F49" s="268"/>
      <c r="G49" s="268"/>
      <c r="H49" s="707">
        <f t="shared" ref="H49:H75" si="2">H48+B49+F49-(C49+D49+G49)-E49</f>
        <v>6</v>
      </c>
    </row>
    <row r="50" spans="1:8" x14ac:dyDescent="0.25">
      <c r="A50" s="715">
        <v>4</v>
      </c>
      <c r="B50" s="268"/>
      <c r="C50" s="268"/>
      <c r="D50" s="268"/>
      <c r="E50" s="268"/>
      <c r="F50" s="268"/>
      <c r="G50" s="268"/>
      <c r="H50" s="707">
        <f t="shared" si="2"/>
        <v>6</v>
      </c>
    </row>
    <row r="51" spans="1:8" x14ac:dyDescent="0.25">
      <c r="A51" s="715">
        <v>5</v>
      </c>
      <c r="B51" s="268"/>
      <c r="C51" s="268"/>
      <c r="D51" s="268"/>
      <c r="E51" s="268"/>
      <c r="F51" s="268"/>
      <c r="G51" s="268"/>
      <c r="H51" s="707">
        <f t="shared" si="2"/>
        <v>6</v>
      </c>
    </row>
    <row r="52" spans="1:8" x14ac:dyDescent="0.25">
      <c r="A52" s="715">
        <v>6</v>
      </c>
      <c r="B52" s="268"/>
      <c r="C52" s="268"/>
      <c r="D52" s="268"/>
      <c r="E52" s="268"/>
      <c r="F52" s="268"/>
      <c r="G52" s="268"/>
      <c r="H52" s="707">
        <f t="shared" si="2"/>
        <v>6</v>
      </c>
    </row>
    <row r="53" spans="1:8" x14ac:dyDescent="0.25">
      <c r="A53" s="715">
        <v>7</v>
      </c>
      <c r="B53" s="268"/>
      <c r="C53" s="268"/>
      <c r="D53" s="268"/>
      <c r="E53" s="268"/>
      <c r="F53" s="268"/>
      <c r="G53" s="268"/>
      <c r="H53" s="707">
        <f t="shared" si="2"/>
        <v>6</v>
      </c>
    </row>
    <row r="54" spans="1:8" x14ac:dyDescent="0.25">
      <c r="A54" s="715">
        <v>8</v>
      </c>
      <c r="B54" s="268"/>
      <c r="C54" s="268"/>
      <c r="D54" s="268"/>
      <c r="E54" s="268"/>
      <c r="F54" s="268"/>
      <c r="G54" s="268"/>
      <c r="H54" s="707">
        <f t="shared" si="2"/>
        <v>6</v>
      </c>
    </row>
    <row r="55" spans="1:8" x14ac:dyDescent="0.25">
      <c r="A55" s="715">
        <v>9</v>
      </c>
      <c r="B55" s="268"/>
      <c r="C55" s="268"/>
      <c r="D55" s="268"/>
      <c r="E55" s="268"/>
      <c r="F55" s="268"/>
      <c r="G55" s="268"/>
      <c r="H55" s="707">
        <f t="shared" si="2"/>
        <v>6</v>
      </c>
    </row>
    <row r="56" spans="1:8" x14ac:dyDescent="0.25">
      <c r="A56" s="715">
        <v>10</v>
      </c>
      <c r="B56" s="268"/>
      <c r="C56" s="268"/>
      <c r="D56" s="268"/>
      <c r="E56" s="268"/>
      <c r="F56" s="268"/>
      <c r="G56" s="268"/>
      <c r="H56" s="707">
        <f t="shared" si="2"/>
        <v>6</v>
      </c>
    </row>
    <row r="57" spans="1:8" x14ac:dyDescent="0.25">
      <c r="A57" s="715">
        <v>11</v>
      </c>
      <c r="B57" s="268"/>
      <c r="C57" s="268"/>
      <c r="D57" s="268"/>
      <c r="E57" s="268"/>
      <c r="F57" s="268"/>
      <c r="G57" s="268"/>
      <c r="H57" s="707">
        <f t="shared" si="2"/>
        <v>6</v>
      </c>
    </row>
    <row r="58" spans="1:8" x14ac:dyDescent="0.25">
      <c r="A58" s="715">
        <v>12</v>
      </c>
      <c r="B58" s="268"/>
      <c r="C58" s="268"/>
      <c r="D58" s="268"/>
      <c r="E58" s="268"/>
      <c r="F58" s="268"/>
      <c r="G58" s="268"/>
      <c r="H58" s="707">
        <f t="shared" si="2"/>
        <v>6</v>
      </c>
    </row>
    <row r="59" spans="1:8" x14ac:dyDescent="0.25">
      <c r="A59" s="715">
        <v>13</v>
      </c>
      <c r="B59" s="268"/>
      <c r="C59" s="268"/>
      <c r="D59" s="268"/>
      <c r="E59" s="268"/>
      <c r="F59" s="268"/>
      <c r="G59" s="268"/>
      <c r="H59" s="707">
        <f t="shared" si="2"/>
        <v>6</v>
      </c>
    </row>
    <row r="60" spans="1:8" x14ac:dyDescent="0.25">
      <c r="A60" s="715">
        <v>14</v>
      </c>
      <c r="B60" s="268"/>
      <c r="C60" s="268"/>
      <c r="D60" s="268"/>
      <c r="E60" s="268"/>
      <c r="F60" s="268"/>
      <c r="G60" s="268"/>
      <c r="H60" s="707">
        <f t="shared" si="2"/>
        <v>6</v>
      </c>
    </row>
    <row r="61" spans="1:8" x14ac:dyDescent="0.25">
      <c r="A61" s="715">
        <v>15</v>
      </c>
      <c r="B61" s="268"/>
      <c r="C61" s="268"/>
      <c r="D61" s="268"/>
      <c r="E61" s="268"/>
      <c r="F61" s="268"/>
      <c r="G61" s="268"/>
      <c r="H61" s="707">
        <f t="shared" si="2"/>
        <v>6</v>
      </c>
    </row>
    <row r="62" spans="1:8" x14ac:dyDescent="0.25">
      <c r="A62" s="715">
        <v>16</v>
      </c>
      <c r="B62" s="268"/>
      <c r="C62" s="268"/>
      <c r="D62" s="268"/>
      <c r="E62" s="268"/>
      <c r="F62" s="268"/>
      <c r="G62" s="268"/>
      <c r="H62" s="707">
        <f t="shared" si="2"/>
        <v>6</v>
      </c>
    </row>
    <row r="63" spans="1:8" x14ac:dyDescent="0.25">
      <c r="A63" s="715">
        <v>17</v>
      </c>
      <c r="B63" s="268"/>
      <c r="C63" s="268"/>
      <c r="D63" s="268"/>
      <c r="E63" s="268"/>
      <c r="F63" s="268"/>
      <c r="G63" s="268"/>
      <c r="H63" s="707">
        <f t="shared" si="2"/>
        <v>6</v>
      </c>
    </row>
    <row r="64" spans="1:8" x14ac:dyDescent="0.25">
      <c r="A64" s="715">
        <v>18</v>
      </c>
      <c r="B64" s="268"/>
      <c r="C64" s="268"/>
      <c r="D64" s="268"/>
      <c r="E64" s="268"/>
      <c r="F64" s="268"/>
      <c r="G64" s="268"/>
      <c r="H64" s="707">
        <f t="shared" si="2"/>
        <v>6</v>
      </c>
    </row>
    <row r="65" spans="1:8" x14ac:dyDescent="0.25">
      <c r="A65" s="715">
        <v>19</v>
      </c>
      <c r="B65" s="268"/>
      <c r="C65" s="268"/>
      <c r="D65" s="268"/>
      <c r="E65" s="268"/>
      <c r="F65" s="268"/>
      <c r="G65" s="268"/>
      <c r="H65" s="707">
        <f t="shared" si="2"/>
        <v>6</v>
      </c>
    </row>
    <row r="66" spans="1:8" x14ac:dyDescent="0.25">
      <c r="A66" s="715">
        <v>20</v>
      </c>
      <c r="B66" s="268"/>
      <c r="C66" s="268"/>
      <c r="D66" s="268"/>
      <c r="E66" s="268"/>
      <c r="F66" s="268"/>
      <c r="G66" s="268"/>
      <c r="H66" s="707">
        <f t="shared" si="2"/>
        <v>6</v>
      </c>
    </row>
    <row r="67" spans="1:8" x14ac:dyDescent="0.25">
      <c r="A67" s="715">
        <v>21</v>
      </c>
      <c r="B67" s="268"/>
      <c r="C67" s="268"/>
      <c r="D67" s="268"/>
      <c r="E67" s="268"/>
      <c r="F67" s="268"/>
      <c r="G67" s="268"/>
      <c r="H67" s="707">
        <f t="shared" si="2"/>
        <v>6</v>
      </c>
    </row>
    <row r="68" spans="1:8" x14ac:dyDescent="0.25">
      <c r="A68" s="715">
        <v>22</v>
      </c>
      <c r="B68" s="268"/>
      <c r="C68" s="268"/>
      <c r="D68" s="268"/>
      <c r="E68" s="268"/>
      <c r="F68" s="268"/>
      <c r="G68" s="268"/>
      <c r="H68" s="707">
        <f t="shared" si="2"/>
        <v>6</v>
      </c>
    </row>
    <row r="69" spans="1:8" x14ac:dyDescent="0.25">
      <c r="A69" s="715">
        <v>23</v>
      </c>
      <c r="B69" s="268"/>
      <c r="C69" s="268"/>
      <c r="D69" s="268"/>
      <c r="E69" s="268"/>
      <c r="F69" s="268"/>
      <c r="G69" s="268"/>
      <c r="H69" s="707">
        <f t="shared" si="2"/>
        <v>6</v>
      </c>
    </row>
    <row r="70" spans="1:8" x14ac:dyDescent="0.25">
      <c r="A70" s="715">
        <v>24</v>
      </c>
      <c r="B70" s="268"/>
      <c r="C70" s="268"/>
      <c r="D70" s="268"/>
      <c r="E70" s="268"/>
      <c r="F70" s="268"/>
      <c r="G70" s="268"/>
      <c r="H70" s="707">
        <f t="shared" si="2"/>
        <v>6</v>
      </c>
    </row>
    <row r="71" spans="1:8" x14ac:dyDescent="0.25">
      <c r="A71" s="715">
        <v>25</v>
      </c>
      <c r="B71" s="268"/>
      <c r="C71" s="268"/>
      <c r="D71" s="268"/>
      <c r="E71" s="268"/>
      <c r="F71" s="268"/>
      <c r="G71" s="268"/>
      <c r="H71" s="707">
        <f t="shared" si="2"/>
        <v>6</v>
      </c>
    </row>
    <row r="72" spans="1:8" x14ac:dyDescent="0.25">
      <c r="A72" s="715">
        <v>26</v>
      </c>
      <c r="B72" s="268"/>
      <c r="C72" s="268"/>
      <c r="D72" s="268"/>
      <c r="E72" s="268"/>
      <c r="F72" s="268"/>
      <c r="G72" s="268"/>
      <c r="H72" s="707">
        <f t="shared" si="2"/>
        <v>6</v>
      </c>
    </row>
    <row r="73" spans="1:8" x14ac:dyDescent="0.25">
      <c r="A73" s="715">
        <v>27</v>
      </c>
      <c r="B73" s="268"/>
      <c r="C73" s="268"/>
      <c r="D73" s="268"/>
      <c r="E73" s="268"/>
      <c r="F73" s="268"/>
      <c r="G73" s="268"/>
      <c r="H73" s="707">
        <f t="shared" si="2"/>
        <v>6</v>
      </c>
    </row>
    <row r="74" spans="1:8" x14ac:dyDescent="0.25">
      <c r="A74" s="715">
        <v>28</v>
      </c>
      <c r="B74" s="268"/>
      <c r="C74" s="268"/>
      <c r="D74" s="268"/>
      <c r="E74" s="268"/>
      <c r="F74" s="268"/>
      <c r="G74" s="268"/>
      <c r="H74" s="707">
        <f t="shared" si="2"/>
        <v>6</v>
      </c>
    </row>
    <row r="75" spans="1:8" x14ac:dyDescent="0.25">
      <c r="A75" s="715">
        <v>29</v>
      </c>
      <c r="B75" s="268"/>
      <c r="C75" s="268"/>
      <c r="D75" s="268"/>
      <c r="E75" s="268"/>
      <c r="F75" s="268"/>
      <c r="G75" s="268"/>
      <c r="H75" s="707">
        <f t="shared" si="2"/>
        <v>6</v>
      </c>
    </row>
    <row r="76" spans="1:8" ht="15.75" thickBot="1" x14ac:dyDescent="0.3">
      <c r="A76" s="722" t="s">
        <v>35</v>
      </c>
      <c r="B76" s="723">
        <f>SUM(B47:B75)-E76</f>
        <v>0</v>
      </c>
      <c r="C76" s="723">
        <f t="shared" ref="C76:H76" si="3">SUM(C47:C75)</f>
        <v>0</v>
      </c>
      <c r="D76" s="723">
        <f t="shared" si="3"/>
        <v>0</v>
      </c>
      <c r="E76" s="723">
        <f t="shared" si="3"/>
        <v>0</v>
      </c>
      <c r="F76" s="723">
        <f t="shared" si="3"/>
        <v>0</v>
      </c>
      <c r="G76" s="723">
        <f t="shared" si="3"/>
        <v>0</v>
      </c>
      <c r="H76" s="724">
        <f t="shared" si="3"/>
        <v>174</v>
      </c>
    </row>
    <row r="79" spans="1:8" ht="36" x14ac:dyDescent="0.55000000000000004">
      <c r="A79" s="696" t="s">
        <v>1</v>
      </c>
      <c r="B79" s="696"/>
      <c r="C79" s="696"/>
      <c r="D79" s="696"/>
      <c r="E79" s="696"/>
      <c r="F79" s="696"/>
      <c r="G79" s="696"/>
      <c r="H79" s="696"/>
    </row>
    <row r="80" spans="1:8" ht="27" thickBot="1" x14ac:dyDescent="0.45">
      <c r="A80" s="697" t="s">
        <v>0</v>
      </c>
      <c r="B80" s="697"/>
      <c r="C80" s="697"/>
      <c r="D80" s="697"/>
      <c r="E80" s="697"/>
      <c r="F80" s="697"/>
      <c r="G80" s="697"/>
      <c r="H80" s="697"/>
    </row>
    <row r="81" spans="1:8" ht="15.75" x14ac:dyDescent="0.25">
      <c r="A81" s="698" t="s">
        <v>2</v>
      </c>
      <c r="B81" s="699" t="s">
        <v>3</v>
      </c>
      <c r="C81" s="694"/>
      <c r="D81" s="700" t="s">
        <v>18</v>
      </c>
      <c r="E81" s="701" t="s">
        <v>36</v>
      </c>
      <c r="F81" s="702"/>
      <c r="G81" s="699" t="s">
        <v>16</v>
      </c>
      <c r="H81" s="703" t="s">
        <v>42</v>
      </c>
    </row>
    <row r="82" spans="1:8" ht="15.75" x14ac:dyDescent="0.25">
      <c r="A82" s="704" t="s">
        <v>6</v>
      </c>
      <c r="B82" s="705"/>
      <c r="C82" s="705"/>
      <c r="D82" s="705"/>
      <c r="E82" s="705"/>
      <c r="F82" s="706"/>
      <c r="G82" s="709"/>
      <c r="H82" s="707">
        <f>H75</f>
        <v>6</v>
      </c>
    </row>
    <row r="83" spans="1:8" ht="16.5" thickBot="1" x14ac:dyDescent="0.3">
      <c r="A83" s="725" t="s">
        <v>7</v>
      </c>
      <c r="B83" s="726"/>
      <c r="C83" s="726"/>
      <c r="D83" s="726"/>
      <c r="E83" s="726"/>
      <c r="F83" s="726"/>
      <c r="G83" s="726"/>
      <c r="H83" s="727">
        <v>27</v>
      </c>
    </row>
    <row r="84" spans="1:8" ht="51.75" thickBot="1" x14ac:dyDescent="0.3">
      <c r="A84" s="728" t="s">
        <v>8</v>
      </c>
      <c r="B84" s="729" t="s">
        <v>9</v>
      </c>
      <c r="C84" s="729" t="s">
        <v>10</v>
      </c>
      <c r="D84" s="729" t="s">
        <v>11</v>
      </c>
      <c r="E84" s="729" t="s">
        <v>12</v>
      </c>
      <c r="F84" s="729" t="s">
        <v>13</v>
      </c>
      <c r="G84" s="729" t="s">
        <v>14</v>
      </c>
      <c r="H84" s="730" t="s">
        <v>15</v>
      </c>
    </row>
    <row r="85" spans="1:8" x14ac:dyDescent="0.25">
      <c r="A85" s="713">
        <v>1</v>
      </c>
      <c r="B85" s="527"/>
      <c r="C85" s="527"/>
      <c r="D85" s="527"/>
      <c r="E85" s="527"/>
      <c r="F85" s="527"/>
      <c r="G85" s="527"/>
      <c r="H85" s="714">
        <f>H82+B85+F85-(C85+D85+G85)-E85</f>
        <v>6</v>
      </c>
    </row>
    <row r="86" spans="1:8" x14ac:dyDescent="0.25">
      <c r="A86" s="715">
        <v>2</v>
      </c>
      <c r="B86" s="268"/>
      <c r="C86" s="268"/>
      <c r="D86" s="268"/>
      <c r="E86" s="268"/>
      <c r="F86" s="268"/>
      <c r="G86" s="268"/>
      <c r="H86" s="707">
        <f>H85+B86+F86-(C86+D86+G86)-E86</f>
        <v>6</v>
      </c>
    </row>
    <row r="87" spans="1:8" x14ac:dyDescent="0.25">
      <c r="A87" s="715">
        <v>3</v>
      </c>
      <c r="B87" s="268"/>
      <c r="C87" s="268"/>
      <c r="D87" s="268"/>
      <c r="E87" s="268"/>
      <c r="F87" s="268"/>
      <c r="G87" s="268"/>
      <c r="H87" s="707">
        <f t="shared" ref="H87:H115" si="4">H86+B87+F87-(C87+D87+G87)-E87</f>
        <v>6</v>
      </c>
    </row>
    <row r="88" spans="1:8" x14ac:dyDescent="0.25">
      <c r="A88" s="715">
        <v>4</v>
      </c>
      <c r="B88" s="268"/>
      <c r="C88" s="268"/>
      <c r="D88" s="268"/>
      <c r="E88" s="268"/>
      <c r="F88" s="268"/>
      <c r="G88" s="268"/>
      <c r="H88" s="707">
        <f t="shared" si="4"/>
        <v>6</v>
      </c>
    </row>
    <row r="89" spans="1:8" x14ac:dyDescent="0.25">
      <c r="A89" s="715">
        <v>5</v>
      </c>
      <c r="B89" s="268"/>
      <c r="C89" s="268"/>
      <c r="D89" s="268"/>
      <c r="E89" s="268"/>
      <c r="F89" s="268"/>
      <c r="G89" s="268"/>
      <c r="H89" s="707">
        <f t="shared" si="4"/>
        <v>6</v>
      </c>
    </row>
    <row r="90" spans="1:8" x14ac:dyDescent="0.25">
      <c r="A90" s="715">
        <v>6</v>
      </c>
      <c r="B90" s="268"/>
      <c r="C90" s="268"/>
      <c r="D90" s="268"/>
      <c r="E90" s="268"/>
      <c r="F90" s="268"/>
      <c r="G90" s="268"/>
      <c r="H90" s="707">
        <f t="shared" si="4"/>
        <v>6</v>
      </c>
    </row>
    <row r="91" spans="1:8" x14ac:dyDescent="0.25">
      <c r="A91" s="715">
        <v>7</v>
      </c>
      <c r="B91" s="268"/>
      <c r="C91" s="268"/>
      <c r="D91" s="268"/>
      <c r="E91" s="268"/>
      <c r="F91" s="268"/>
      <c r="G91" s="268"/>
      <c r="H91" s="707">
        <f t="shared" si="4"/>
        <v>6</v>
      </c>
    </row>
    <row r="92" spans="1:8" x14ac:dyDescent="0.25">
      <c r="A92" s="715">
        <v>8</v>
      </c>
      <c r="B92" s="268"/>
      <c r="C92" s="268"/>
      <c r="D92" s="268"/>
      <c r="E92" s="268"/>
      <c r="F92" s="268"/>
      <c r="G92" s="268"/>
      <c r="H92" s="707">
        <f t="shared" si="4"/>
        <v>6</v>
      </c>
    </row>
    <row r="93" spans="1:8" x14ac:dyDescent="0.25">
      <c r="A93" s="715">
        <v>9</v>
      </c>
      <c r="B93" s="268"/>
      <c r="C93" s="268"/>
      <c r="D93" s="268"/>
      <c r="E93" s="268"/>
      <c r="F93" s="268"/>
      <c r="G93" s="268"/>
      <c r="H93" s="707">
        <f t="shared" si="4"/>
        <v>6</v>
      </c>
    </row>
    <row r="94" spans="1:8" x14ac:dyDescent="0.25">
      <c r="A94" s="715">
        <v>10</v>
      </c>
      <c r="B94" s="268"/>
      <c r="C94" s="268"/>
      <c r="D94" s="268"/>
      <c r="E94" s="268"/>
      <c r="F94" s="268"/>
      <c r="G94" s="268"/>
      <c r="H94" s="707">
        <f t="shared" si="4"/>
        <v>6</v>
      </c>
    </row>
    <row r="95" spans="1:8" x14ac:dyDescent="0.25">
      <c r="A95" s="715">
        <v>11</v>
      </c>
      <c r="B95" s="268"/>
      <c r="C95" s="268"/>
      <c r="D95" s="268"/>
      <c r="E95" s="268"/>
      <c r="F95" s="268"/>
      <c r="G95" s="268"/>
      <c r="H95" s="707">
        <f t="shared" si="4"/>
        <v>6</v>
      </c>
    </row>
    <row r="96" spans="1:8" x14ac:dyDescent="0.25">
      <c r="A96" s="715">
        <v>12</v>
      </c>
      <c r="B96" s="268"/>
      <c r="C96" s="268"/>
      <c r="D96" s="268"/>
      <c r="E96" s="268"/>
      <c r="F96" s="268"/>
      <c r="G96" s="268"/>
      <c r="H96" s="707">
        <f t="shared" si="4"/>
        <v>6</v>
      </c>
    </row>
    <row r="97" spans="1:8" x14ac:dyDescent="0.25">
      <c r="A97" s="715">
        <v>13</v>
      </c>
      <c r="B97" s="268"/>
      <c r="C97" s="268"/>
      <c r="D97" s="268"/>
      <c r="E97" s="268"/>
      <c r="F97" s="268"/>
      <c r="G97" s="268"/>
      <c r="H97" s="707">
        <f t="shared" si="4"/>
        <v>6</v>
      </c>
    </row>
    <row r="98" spans="1:8" x14ac:dyDescent="0.25">
      <c r="A98" s="715">
        <v>14</v>
      </c>
      <c r="B98" s="268"/>
      <c r="C98" s="268"/>
      <c r="D98" s="268"/>
      <c r="E98" s="268"/>
      <c r="F98" s="268"/>
      <c r="G98" s="268"/>
      <c r="H98" s="707">
        <f t="shared" si="4"/>
        <v>6</v>
      </c>
    </row>
    <row r="99" spans="1:8" x14ac:dyDescent="0.25">
      <c r="A99" s="715">
        <v>15</v>
      </c>
      <c r="B99" s="268"/>
      <c r="C99" s="268"/>
      <c r="D99" s="268"/>
      <c r="E99" s="268"/>
      <c r="F99" s="268"/>
      <c r="G99" s="268"/>
      <c r="H99" s="707">
        <f t="shared" si="4"/>
        <v>6</v>
      </c>
    </row>
    <row r="100" spans="1:8" x14ac:dyDescent="0.25">
      <c r="A100" s="715">
        <v>16</v>
      </c>
      <c r="B100" s="268"/>
      <c r="C100" s="268"/>
      <c r="D100" s="268"/>
      <c r="E100" s="268"/>
      <c r="F100" s="268"/>
      <c r="G100" s="268"/>
      <c r="H100" s="707">
        <f t="shared" si="4"/>
        <v>6</v>
      </c>
    </row>
    <row r="101" spans="1:8" x14ac:dyDescent="0.25">
      <c r="A101" s="715">
        <v>17</v>
      </c>
      <c r="B101" s="268"/>
      <c r="C101" s="268"/>
      <c r="D101" s="268"/>
      <c r="E101" s="268"/>
      <c r="F101" s="268"/>
      <c r="G101" s="268"/>
      <c r="H101" s="707">
        <f t="shared" si="4"/>
        <v>6</v>
      </c>
    </row>
    <row r="102" spans="1:8" x14ac:dyDescent="0.25">
      <c r="A102" s="715">
        <v>18</v>
      </c>
      <c r="B102" s="268"/>
      <c r="C102" s="268"/>
      <c r="D102" s="268"/>
      <c r="E102" s="268"/>
      <c r="F102" s="268"/>
      <c r="G102" s="268"/>
      <c r="H102" s="707">
        <f t="shared" si="4"/>
        <v>6</v>
      </c>
    </row>
    <row r="103" spans="1:8" x14ac:dyDescent="0.25">
      <c r="A103" s="715">
        <v>19</v>
      </c>
      <c r="B103" s="268"/>
      <c r="C103" s="268"/>
      <c r="D103" s="268"/>
      <c r="E103" s="268"/>
      <c r="F103" s="268"/>
      <c r="G103" s="268"/>
      <c r="H103" s="707">
        <f t="shared" si="4"/>
        <v>6</v>
      </c>
    </row>
    <row r="104" spans="1:8" x14ac:dyDescent="0.25">
      <c r="A104" s="715">
        <v>20</v>
      </c>
      <c r="B104" s="268"/>
      <c r="C104" s="268"/>
      <c r="D104" s="268"/>
      <c r="E104" s="268"/>
      <c r="F104" s="268"/>
      <c r="G104" s="268"/>
      <c r="H104" s="707">
        <f t="shared" si="4"/>
        <v>6</v>
      </c>
    </row>
    <row r="105" spans="1:8" x14ac:dyDescent="0.25">
      <c r="A105" s="715">
        <v>21</v>
      </c>
      <c r="B105" s="268"/>
      <c r="C105" s="268"/>
      <c r="D105" s="268"/>
      <c r="E105" s="268"/>
      <c r="F105" s="268"/>
      <c r="G105" s="268"/>
      <c r="H105" s="707">
        <f t="shared" si="4"/>
        <v>6</v>
      </c>
    </row>
    <row r="106" spans="1:8" x14ac:dyDescent="0.25">
      <c r="A106" s="715">
        <v>22</v>
      </c>
      <c r="B106" s="268"/>
      <c r="C106" s="268"/>
      <c r="D106" s="268"/>
      <c r="E106" s="268"/>
      <c r="F106" s="268"/>
      <c r="G106" s="268"/>
      <c r="H106" s="707">
        <f t="shared" si="4"/>
        <v>6</v>
      </c>
    </row>
    <row r="107" spans="1:8" x14ac:dyDescent="0.25">
      <c r="A107" s="715">
        <v>23</v>
      </c>
      <c r="B107" s="268"/>
      <c r="C107" s="268"/>
      <c r="D107" s="268"/>
      <c r="E107" s="268"/>
      <c r="F107" s="268"/>
      <c r="G107" s="268"/>
      <c r="H107" s="707">
        <f t="shared" si="4"/>
        <v>6</v>
      </c>
    </row>
    <row r="108" spans="1:8" x14ac:dyDescent="0.25">
      <c r="A108" s="715">
        <v>24</v>
      </c>
      <c r="B108" s="268"/>
      <c r="C108" s="268"/>
      <c r="D108" s="268"/>
      <c r="E108" s="268"/>
      <c r="F108" s="268"/>
      <c r="G108" s="268"/>
      <c r="H108" s="707">
        <f t="shared" si="4"/>
        <v>6</v>
      </c>
    </row>
    <row r="109" spans="1:8" x14ac:dyDescent="0.25">
      <c r="A109" s="715">
        <v>25</v>
      </c>
      <c r="B109" s="268"/>
      <c r="C109" s="268"/>
      <c r="D109" s="268"/>
      <c r="E109" s="268"/>
      <c r="F109" s="268"/>
      <c r="G109" s="268"/>
      <c r="H109" s="707">
        <f t="shared" si="4"/>
        <v>6</v>
      </c>
    </row>
    <row r="110" spans="1:8" x14ac:dyDescent="0.25">
      <c r="A110" s="715">
        <v>26</v>
      </c>
      <c r="B110" s="268"/>
      <c r="C110" s="268"/>
      <c r="D110" s="268"/>
      <c r="E110" s="268"/>
      <c r="F110" s="268"/>
      <c r="G110" s="268"/>
      <c r="H110" s="707">
        <f t="shared" si="4"/>
        <v>6</v>
      </c>
    </row>
    <row r="111" spans="1:8" x14ac:dyDescent="0.25">
      <c r="A111" s="715">
        <v>27</v>
      </c>
      <c r="B111" s="268"/>
      <c r="C111" s="268"/>
      <c r="D111" s="268"/>
      <c r="E111" s="268"/>
      <c r="F111" s="268"/>
      <c r="G111" s="268"/>
      <c r="H111" s="707">
        <f t="shared" si="4"/>
        <v>6</v>
      </c>
    </row>
    <row r="112" spans="1:8" x14ac:dyDescent="0.25">
      <c r="A112" s="715">
        <v>28</v>
      </c>
      <c r="B112" s="268"/>
      <c r="C112" s="268"/>
      <c r="D112" s="268"/>
      <c r="E112" s="268"/>
      <c r="F112" s="268"/>
      <c r="G112" s="268"/>
      <c r="H112" s="707">
        <f t="shared" si="4"/>
        <v>6</v>
      </c>
    </row>
    <row r="113" spans="1:8" x14ac:dyDescent="0.25">
      <c r="A113" s="715">
        <v>29</v>
      </c>
      <c r="B113" s="268"/>
      <c r="C113" s="268"/>
      <c r="D113" s="268"/>
      <c r="E113" s="268"/>
      <c r="F113" s="268"/>
      <c r="G113" s="268"/>
      <c r="H113" s="707">
        <f t="shared" si="4"/>
        <v>6</v>
      </c>
    </row>
    <row r="114" spans="1:8" x14ac:dyDescent="0.25">
      <c r="A114" s="715">
        <v>30</v>
      </c>
      <c r="B114" s="268"/>
      <c r="C114" s="268"/>
      <c r="D114" s="268"/>
      <c r="E114" s="268"/>
      <c r="F114" s="268"/>
      <c r="G114" s="268"/>
      <c r="H114" s="707">
        <f t="shared" si="4"/>
        <v>6</v>
      </c>
    </row>
    <row r="115" spans="1:8" ht="15.75" thickBot="1" x14ac:dyDescent="0.3">
      <c r="A115" s="716">
        <v>31</v>
      </c>
      <c r="B115" s="695"/>
      <c r="C115" s="695"/>
      <c r="D115" s="695"/>
      <c r="E115" s="695"/>
      <c r="F115" s="695"/>
      <c r="G115" s="695"/>
      <c r="H115" s="731">
        <f t="shared" si="4"/>
        <v>6</v>
      </c>
    </row>
    <row r="116" spans="1:8" ht="15.75" thickBot="1" x14ac:dyDescent="0.3">
      <c r="A116" s="717" t="s">
        <v>35</v>
      </c>
      <c r="B116" s="718">
        <f>SUM(B85:B115)-E116</f>
        <v>0</v>
      </c>
      <c r="C116" s="718">
        <f t="shared" ref="C116:H116" si="5">SUM(C85:C115)</f>
        <v>0</v>
      </c>
      <c r="D116" s="718">
        <f t="shared" si="5"/>
        <v>0</v>
      </c>
      <c r="E116" s="718">
        <f t="shared" si="5"/>
        <v>0</v>
      </c>
      <c r="F116" s="718">
        <f t="shared" si="5"/>
        <v>0</v>
      </c>
      <c r="G116" s="718">
        <f t="shared" si="5"/>
        <v>0</v>
      </c>
      <c r="H116" s="719">
        <f t="shared" si="5"/>
        <v>186</v>
      </c>
    </row>
    <row r="119" spans="1:8" ht="36" x14ac:dyDescent="0.55000000000000004">
      <c r="A119" s="696" t="s">
        <v>1</v>
      </c>
      <c r="B119" s="696"/>
      <c r="C119" s="696"/>
      <c r="D119" s="696"/>
      <c r="E119" s="696"/>
      <c r="F119" s="696"/>
      <c r="G119" s="696"/>
      <c r="H119" s="696"/>
    </row>
    <row r="120" spans="1:8" ht="27" thickBot="1" x14ac:dyDescent="0.45">
      <c r="A120" s="697" t="s">
        <v>0</v>
      </c>
      <c r="B120" s="697"/>
      <c r="C120" s="697"/>
      <c r="D120" s="697"/>
      <c r="E120" s="697"/>
      <c r="F120" s="697"/>
      <c r="G120" s="697"/>
      <c r="H120" s="697"/>
    </row>
    <row r="121" spans="1:8" ht="15.75" x14ac:dyDescent="0.25">
      <c r="A121" s="698" t="s">
        <v>2</v>
      </c>
      <c r="B121" s="699" t="s">
        <v>3</v>
      </c>
      <c r="C121" s="694"/>
      <c r="D121" s="700" t="s">
        <v>4</v>
      </c>
      <c r="E121" s="732" t="s">
        <v>36</v>
      </c>
      <c r="F121" s="733"/>
      <c r="G121" s="699" t="s">
        <v>16</v>
      </c>
      <c r="H121" s="703" t="s">
        <v>50</v>
      </c>
    </row>
    <row r="122" spans="1:8" ht="15.75" x14ac:dyDescent="0.25">
      <c r="A122" s="704" t="s">
        <v>6</v>
      </c>
      <c r="B122" s="705"/>
      <c r="C122" s="705"/>
      <c r="D122" s="705"/>
      <c r="E122" s="705"/>
      <c r="F122" s="706"/>
      <c r="G122" s="709"/>
      <c r="H122" s="707">
        <f>H115</f>
        <v>6</v>
      </c>
    </row>
    <row r="123" spans="1:8" ht="15.75" x14ac:dyDescent="0.25">
      <c r="A123" s="708" t="s">
        <v>7</v>
      </c>
      <c r="B123" s="709"/>
      <c r="C123" s="709"/>
      <c r="D123" s="709"/>
      <c r="E123" s="709"/>
      <c r="F123" s="709"/>
      <c r="G123" s="709"/>
      <c r="H123" s="707">
        <v>27</v>
      </c>
    </row>
    <row r="124" spans="1:8" ht="51.75" thickBot="1" x14ac:dyDescent="0.3">
      <c r="A124" s="710" t="s">
        <v>8</v>
      </c>
      <c r="B124" s="734" t="s">
        <v>9</v>
      </c>
      <c r="C124" s="734" t="s">
        <v>10</v>
      </c>
      <c r="D124" s="734" t="s">
        <v>11</v>
      </c>
      <c r="E124" s="734" t="s">
        <v>12</v>
      </c>
      <c r="F124" s="734" t="s">
        <v>13</v>
      </c>
      <c r="G124" s="734" t="s">
        <v>14</v>
      </c>
      <c r="H124" s="735" t="s">
        <v>15</v>
      </c>
    </row>
    <row r="125" spans="1:8" x14ac:dyDescent="0.25">
      <c r="A125" s="713">
        <v>1</v>
      </c>
      <c r="B125" s="527"/>
      <c r="C125" s="527"/>
      <c r="D125" s="527"/>
      <c r="E125" s="527"/>
      <c r="F125" s="527"/>
      <c r="G125" s="527"/>
      <c r="H125" s="714">
        <f>H122+B125+F125-(C125+D125+G125)-E125</f>
        <v>6</v>
      </c>
    </row>
    <row r="126" spans="1:8" x14ac:dyDescent="0.25">
      <c r="A126" s="715">
        <v>2</v>
      </c>
      <c r="B126" s="268"/>
      <c r="C126" s="268"/>
      <c r="D126" s="268"/>
      <c r="E126" s="268"/>
      <c r="F126" s="268"/>
      <c r="G126" s="268"/>
      <c r="H126" s="707">
        <f>H125+B126+F126-(C126+D126+G126)-E126</f>
        <v>6</v>
      </c>
    </row>
    <row r="127" spans="1:8" x14ac:dyDescent="0.25">
      <c r="A127" s="715">
        <v>3</v>
      </c>
      <c r="B127" s="268"/>
      <c r="C127" s="268"/>
      <c r="D127" s="268"/>
      <c r="E127" s="268"/>
      <c r="F127" s="268"/>
      <c r="G127" s="268"/>
      <c r="H127" s="707">
        <f>H126+B127+F127-(C127+D127+G127)-E127</f>
        <v>6</v>
      </c>
    </row>
    <row r="128" spans="1:8" x14ac:dyDescent="0.25">
      <c r="A128" s="715">
        <v>4</v>
      </c>
      <c r="B128" s="268"/>
      <c r="C128" s="268"/>
      <c r="D128" s="268"/>
      <c r="E128" s="268"/>
      <c r="F128" s="268"/>
      <c r="G128" s="268"/>
      <c r="H128" s="707">
        <f t="shared" ref="H128:H154" si="6">H127+B128+F128-(C128+D128+G128)-E128</f>
        <v>6</v>
      </c>
    </row>
    <row r="129" spans="1:8" x14ac:dyDescent="0.25">
      <c r="A129" s="715">
        <v>5</v>
      </c>
      <c r="B129" s="268"/>
      <c r="C129" s="268"/>
      <c r="D129" s="268"/>
      <c r="E129" s="268"/>
      <c r="F129" s="268"/>
      <c r="G129" s="268"/>
      <c r="H129" s="707">
        <f t="shared" si="6"/>
        <v>6</v>
      </c>
    </row>
    <row r="130" spans="1:8" x14ac:dyDescent="0.25">
      <c r="A130" s="715">
        <v>6</v>
      </c>
      <c r="B130" s="268"/>
      <c r="C130" s="268"/>
      <c r="D130" s="268"/>
      <c r="E130" s="268"/>
      <c r="F130" s="268"/>
      <c r="G130" s="268"/>
      <c r="H130" s="707">
        <f t="shared" si="6"/>
        <v>6</v>
      </c>
    </row>
    <row r="131" spans="1:8" x14ac:dyDescent="0.25">
      <c r="A131" s="715">
        <v>7</v>
      </c>
      <c r="B131" s="268"/>
      <c r="C131" s="268"/>
      <c r="D131" s="268"/>
      <c r="E131" s="268"/>
      <c r="F131" s="268"/>
      <c r="G131" s="268"/>
      <c r="H131" s="707">
        <f t="shared" si="6"/>
        <v>6</v>
      </c>
    </row>
    <row r="132" spans="1:8" x14ac:dyDescent="0.25">
      <c r="A132" s="715">
        <v>8</v>
      </c>
      <c r="B132" s="268"/>
      <c r="C132" s="268"/>
      <c r="D132" s="268"/>
      <c r="E132" s="268"/>
      <c r="F132" s="268"/>
      <c r="G132" s="268"/>
      <c r="H132" s="707">
        <f t="shared" si="6"/>
        <v>6</v>
      </c>
    </row>
    <row r="133" spans="1:8" x14ac:dyDescent="0.25">
      <c r="A133" s="715">
        <v>9</v>
      </c>
      <c r="B133" s="268"/>
      <c r="C133" s="268"/>
      <c r="D133" s="268"/>
      <c r="E133" s="268"/>
      <c r="F133" s="268"/>
      <c r="G133" s="268"/>
      <c r="H133" s="707">
        <f t="shared" si="6"/>
        <v>6</v>
      </c>
    </row>
    <row r="134" spans="1:8" x14ac:dyDescent="0.25">
      <c r="A134" s="715">
        <v>10</v>
      </c>
      <c r="B134" s="268"/>
      <c r="C134" s="268"/>
      <c r="D134" s="268"/>
      <c r="E134" s="268"/>
      <c r="F134" s="268"/>
      <c r="G134" s="268"/>
      <c r="H134" s="707">
        <f t="shared" si="6"/>
        <v>6</v>
      </c>
    </row>
    <row r="135" spans="1:8" x14ac:dyDescent="0.25">
      <c r="A135" s="715">
        <v>11</v>
      </c>
      <c r="B135" s="268"/>
      <c r="C135" s="268"/>
      <c r="D135" s="268"/>
      <c r="E135" s="268"/>
      <c r="F135" s="268"/>
      <c r="G135" s="268"/>
      <c r="H135" s="707">
        <f t="shared" si="6"/>
        <v>6</v>
      </c>
    </row>
    <row r="136" spans="1:8" x14ac:dyDescent="0.25">
      <c r="A136" s="715">
        <v>12</v>
      </c>
      <c r="B136" s="268"/>
      <c r="C136" s="268"/>
      <c r="D136" s="268"/>
      <c r="E136" s="268"/>
      <c r="F136" s="268"/>
      <c r="G136" s="268"/>
      <c r="H136" s="707">
        <f t="shared" si="6"/>
        <v>6</v>
      </c>
    </row>
    <row r="137" spans="1:8" x14ac:dyDescent="0.25">
      <c r="A137" s="715">
        <v>13</v>
      </c>
      <c r="B137" s="268"/>
      <c r="C137" s="268"/>
      <c r="D137" s="268"/>
      <c r="E137" s="268"/>
      <c r="F137" s="268"/>
      <c r="G137" s="268"/>
      <c r="H137" s="707">
        <f t="shared" si="6"/>
        <v>6</v>
      </c>
    </row>
    <row r="138" spans="1:8" x14ac:dyDescent="0.25">
      <c r="A138" s="715">
        <v>14</v>
      </c>
      <c r="B138" s="268"/>
      <c r="C138" s="268"/>
      <c r="D138" s="268"/>
      <c r="E138" s="268"/>
      <c r="F138" s="268"/>
      <c r="G138" s="268"/>
      <c r="H138" s="707">
        <f t="shared" si="6"/>
        <v>6</v>
      </c>
    </row>
    <row r="139" spans="1:8" x14ac:dyDescent="0.25">
      <c r="A139" s="715">
        <v>15</v>
      </c>
      <c r="B139" s="268"/>
      <c r="C139" s="268"/>
      <c r="D139" s="268"/>
      <c r="E139" s="268"/>
      <c r="F139" s="268"/>
      <c r="G139" s="268"/>
      <c r="H139" s="707">
        <f t="shared" si="6"/>
        <v>6</v>
      </c>
    </row>
    <row r="140" spans="1:8" x14ac:dyDescent="0.25">
      <c r="A140" s="715">
        <v>16</v>
      </c>
      <c r="B140" s="268"/>
      <c r="C140" s="268"/>
      <c r="D140" s="268"/>
      <c r="E140" s="268"/>
      <c r="F140" s="268"/>
      <c r="G140" s="268"/>
      <c r="H140" s="707">
        <f t="shared" si="6"/>
        <v>6</v>
      </c>
    </row>
    <row r="141" spans="1:8" x14ac:dyDescent="0.25">
      <c r="A141" s="715">
        <v>17</v>
      </c>
      <c r="B141" s="268"/>
      <c r="C141" s="268"/>
      <c r="D141" s="268"/>
      <c r="E141" s="268"/>
      <c r="F141" s="268"/>
      <c r="G141" s="268"/>
      <c r="H141" s="707">
        <f t="shared" si="6"/>
        <v>6</v>
      </c>
    </row>
    <row r="142" spans="1:8" x14ac:dyDescent="0.25">
      <c r="A142" s="715">
        <v>18</v>
      </c>
      <c r="B142" s="268"/>
      <c r="C142" s="268"/>
      <c r="D142" s="268"/>
      <c r="E142" s="268"/>
      <c r="F142" s="268"/>
      <c r="G142" s="268"/>
      <c r="H142" s="707">
        <f t="shared" si="6"/>
        <v>6</v>
      </c>
    </row>
    <row r="143" spans="1:8" x14ac:dyDescent="0.25">
      <c r="A143" s="715">
        <v>19</v>
      </c>
      <c r="B143" s="268"/>
      <c r="C143" s="268"/>
      <c r="D143" s="268"/>
      <c r="E143" s="268"/>
      <c r="F143" s="268"/>
      <c r="G143" s="268"/>
      <c r="H143" s="707">
        <f t="shared" si="6"/>
        <v>6</v>
      </c>
    </row>
    <row r="144" spans="1:8" x14ac:dyDescent="0.25">
      <c r="A144" s="715">
        <v>20</v>
      </c>
      <c r="B144" s="268"/>
      <c r="C144" s="268"/>
      <c r="D144" s="268"/>
      <c r="E144" s="268"/>
      <c r="F144" s="268"/>
      <c r="G144" s="268"/>
      <c r="H144" s="707">
        <f t="shared" si="6"/>
        <v>6</v>
      </c>
    </row>
    <row r="145" spans="1:8" x14ac:dyDescent="0.25">
      <c r="A145" s="715">
        <v>21</v>
      </c>
      <c r="B145" s="268"/>
      <c r="C145" s="268"/>
      <c r="D145" s="268"/>
      <c r="E145" s="268"/>
      <c r="F145" s="268"/>
      <c r="G145" s="268"/>
      <c r="H145" s="707">
        <f t="shared" si="6"/>
        <v>6</v>
      </c>
    </row>
    <row r="146" spans="1:8" x14ac:dyDescent="0.25">
      <c r="A146" s="715">
        <v>22</v>
      </c>
      <c r="B146" s="268"/>
      <c r="C146" s="268"/>
      <c r="D146" s="268"/>
      <c r="E146" s="268"/>
      <c r="F146" s="268"/>
      <c r="G146" s="268"/>
      <c r="H146" s="707">
        <f t="shared" si="6"/>
        <v>6</v>
      </c>
    </row>
    <row r="147" spans="1:8" x14ac:dyDescent="0.25">
      <c r="A147" s="715">
        <v>23</v>
      </c>
      <c r="B147" s="268"/>
      <c r="C147" s="268"/>
      <c r="D147" s="268"/>
      <c r="E147" s="268"/>
      <c r="F147" s="268"/>
      <c r="G147" s="268"/>
      <c r="H147" s="707">
        <f t="shared" si="6"/>
        <v>6</v>
      </c>
    </row>
    <row r="148" spans="1:8" x14ac:dyDescent="0.25">
      <c r="A148" s="715">
        <v>24</v>
      </c>
      <c r="B148" s="268"/>
      <c r="C148" s="268"/>
      <c r="D148" s="268"/>
      <c r="E148" s="268"/>
      <c r="F148" s="268"/>
      <c r="G148" s="268"/>
      <c r="H148" s="707">
        <f t="shared" si="6"/>
        <v>6</v>
      </c>
    </row>
    <row r="149" spans="1:8" x14ac:dyDescent="0.25">
      <c r="A149" s="715">
        <v>25</v>
      </c>
      <c r="B149" s="268"/>
      <c r="C149" s="268"/>
      <c r="D149" s="268"/>
      <c r="E149" s="268"/>
      <c r="F149" s="268"/>
      <c r="G149" s="268"/>
      <c r="H149" s="707">
        <f t="shared" si="6"/>
        <v>6</v>
      </c>
    </row>
    <row r="150" spans="1:8" x14ac:dyDescent="0.25">
      <c r="A150" s="715">
        <v>26</v>
      </c>
      <c r="B150" s="268"/>
      <c r="C150" s="268"/>
      <c r="D150" s="268"/>
      <c r="E150" s="268"/>
      <c r="F150" s="268"/>
      <c r="G150" s="268"/>
      <c r="H150" s="707">
        <f t="shared" si="6"/>
        <v>6</v>
      </c>
    </row>
    <row r="151" spans="1:8" x14ac:dyDescent="0.25">
      <c r="A151" s="715">
        <v>27</v>
      </c>
      <c r="B151" s="268"/>
      <c r="C151" s="268"/>
      <c r="D151" s="268"/>
      <c r="E151" s="268"/>
      <c r="F151" s="268"/>
      <c r="G151" s="268"/>
      <c r="H151" s="707">
        <f t="shared" si="6"/>
        <v>6</v>
      </c>
    </row>
    <row r="152" spans="1:8" x14ac:dyDescent="0.25">
      <c r="A152" s="715">
        <v>28</v>
      </c>
      <c r="B152" s="268"/>
      <c r="C152" s="268"/>
      <c r="D152" s="268"/>
      <c r="E152" s="268"/>
      <c r="F152" s="268"/>
      <c r="G152" s="268"/>
      <c r="H152" s="707">
        <f t="shared" si="6"/>
        <v>6</v>
      </c>
    </row>
    <row r="153" spans="1:8" x14ac:dyDescent="0.25">
      <c r="A153" s="715">
        <v>29</v>
      </c>
      <c r="B153" s="268"/>
      <c r="C153" s="268"/>
      <c r="D153" s="268"/>
      <c r="E153" s="268"/>
      <c r="F153" s="268"/>
      <c r="G153" s="268"/>
      <c r="H153" s="707">
        <f t="shared" si="6"/>
        <v>6</v>
      </c>
    </row>
    <row r="154" spans="1:8" ht="15.75" thickBot="1" x14ac:dyDescent="0.3">
      <c r="A154" s="716">
        <v>30</v>
      </c>
      <c r="B154" s="695"/>
      <c r="C154" s="695"/>
      <c r="D154" s="695"/>
      <c r="E154" s="695"/>
      <c r="F154" s="695"/>
      <c r="G154" s="695"/>
      <c r="H154" s="731">
        <f t="shared" si="6"/>
        <v>6</v>
      </c>
    </row>
    <row r="155" spans="1:8" ht="15.75" thickBot="1" x14ac:dyDescent="0.3">
      <c r="A155" s="736" t="s">
        <v>35</v>
      </c>
      <c r="B155" s="718">
        <f>SUM(B125:B154)-E155</f>
        <v>0</v>
      </c>
      <c r="C155" s="718">
        <f t="shared" ref="C155:H155" si="7">SUM(C125:C154)</f>
        <v>0</v>
      </c>
      <c r="D155" s="718">
        <f t="shared" si="7"/>
        <v>0</v>
      </c>
      <c r="E155" s="718">
        <f t="shared" si="7"/>
        <v>0</v>
      </c>
      <c r="F155" s="718">
        <f t="shared" si="7"/>
        <v>0</v>
      </c>
      <c r="G155" s="718">
        <f t="shared" si="7"/>
        <v>0</v>
      </c>
      <c r="H155" s="719">
        <f t="shared" si="7"/>
        <v>180</v>
      </c>
    </row>
    <row r="158" spans="1:8" ht="36" x14ac:dyDescent="0.55000000000000004">
      <c r="A158" s="696" t="s">
        <v>1</v>
      </c>
      <c r="B158" s="696"/>
      <c r="C158" s="696"/>
      <c r="D158" s="696"/>
      <c r="E158" s="696"/>
      <c r="F158" s="696"/>
      <c r="G158" s="696"/>
      <c r="H158" s="696"/>
    </row>
    <row r="159" spans="1:8" ht="27" thickBot="1" x14ac:dyDescent="0.45">
      <c r="A159" s="697" t="s">
        <v>0</v>
      </c>
      <c r="B159" s="697"/>
      <c r="C159" s="697"/>
      <c r="D159" s="697"/>
      <c r="E159" s="697"/>
      <c r="F159" s="697"/>
      <c r="G159" s="697"/>
      <c r="H159" s="697"/>
    </row>
    <row r="160" spans="1:8" ht="15.75" x14ac:dyDescent="0.25">
      <c r="A160" s="698" t="s">
        <v>2</v>
      </c>
      <c r="B160" s="699" t="s">
        <v>3</v>
      </c>
      <c r="C160" s="694"/>
      <c r="D160" s="700" t="s">
        <v>52</v>
      </c>
      <c r="E160" s="732" t="s">
        <v>36</v>
      </c>
      <c r="F160" s="733"/>
      <c r="G160" s="699" t="s">
        <v>16</v>
      </c>
      <c r="H160" s="737" t="s">
        <v>58</v>
      </c>
    </row>
    <row r="161" spans="1:8" ht="15.75" x14ac:dyDescent="0.25">
      <c r="A161" s="704" t="s">
        <v>6</v>
      </c>
      <c r="B161" s="705"/>
      <c r="C161" s="705"/>
      <c r="D161" s="705"/>
      <c r="E161" s="705"/>
      <c r="F161" s="706"/>
      <c r="G161" s="709"/>
      <c r="H161" s="707">
        <f>H154</f>
        <v>6</v>
      </c>
    </row>
    <row r="162" spans="1:8" ht="15.75" x14ac:dyDescent="0.25">
      <c r="A162" s="708" t="s">
        <v>7</v>
      </c>
      <c r="B162" s="709"/>
      <c r="C162" s="709"/>
      <c r="D162" s="709"/>
      <c r="E162" s="709"/>
      <c r="F162" s="709"/>
      <c r="G162" s="709"/>
      <c r="H162" s="707">
        <v>27</v>
      </c>
    </row>
    <row r="163" spans="1:8" ht="51.75" thickBot="1" x14ac:dyDescent="0.3">
      <c r="A163" s="710" t="s">
        <v>8</v>
      </c>
      <c r="B163" s="734" t="s">
        <v>9</v>
      </c>
      <c r="C163" s="734" t="s">
        <v>10</v>
      </c>
      <c r="D163" s="734" t="s">
        <v>11</v>
      </c>
      <c r="E163" s="734" t="s">
        <v>12</v>
      </c>
      <c r="F163" s="734" t="s">
        <v>13</v>
      </c>
      <c r="G163" s="734" t="s">
        <v>14</v>
      </c>
      <c r="H163" s="735" t="s">
        <v>15</v>
      </c>
    </row>
    <row r="164" spans="1:8" x14ac:dyDescent="0.25">
      <c r="A164" s="713">
        <v>1</v>
      </c>
      <c r="B164" s="527"/>
      <c r="C164" s="527"/>
      <c r="D164" s="527"/>
      <c r="E164" s="527"/>
      <c r="F164" s="527"/>
      <c r="G164" s="527"/>
      <c r="H164" s="714">
        <f>H161+B164+F164-(C164+D164+G164)-E164</f>
        <v>6</v>
      </c>
    </row>
    <row r="165" spans="1:8" x14ac:dyDescent="0.25">
      <c r="A165" s="715">
        <v>2</v>
      </c>
      <c r="B165" s="268"/>
      <c r="C165" s="268"/>
      <c r="D165" s="268"/>
      <c r="E165" s="268"/>
      <c r="F165" s="268"/>
      <c r="G165" s="268"/>
      <c r="H165" s="707">
        <f>H164+B165+F165-(C165+D165+G165)-E165</f>
        <v>6</v>
      </c>
    </row>
    <row r="166" spans="1:8" x14ac:dyDescent="0.25">
      <c r="A166" s="715">
        <v>3</v>
      </c>
      <c r="B166" s="268"/>
      <c r="C166" s="268"/>
      <c r="D166" s="268"/>
      <c r="E166" s="268"/>
      <c r="F166" s="268"/>
      <c r="G166" s="268"/>
      <c r="H166" s="707">
        <f>H165+B166+F166-(C166+D166+G166)-E166</f>
        <v>6</v>
      </c>
    </row>
    <row r="167" spans="1:8" x14ac:dyDescent="0.25">
      <c r="A167" s="715">
        <v>4</v>
      </c>
      <c r="B167" s="268"/>
      <c r="C167" s="268"/>
      <c r="D167" s="268"/>
      <c r="E167" s="268"/>
      <c r="F167" s="268"/>
      <c r="G167" s="268"/>
      <c r="H167" s="707">
        <f t="shared" ref="H167:H194" si="8">H166+B167+F167-(C167+D167+G167)-E167</f>
        <v>6</v>
      </c>
    </row>
    <row r="168" spans="1:8" x14ac:dyDescent="0.25">
      <c r="A168" s="715">
        <v>5</v>
      </c>
      <c r="B168" s="268"/>
      <c r="C168" s="268"/>
      <c r="D168" s="268"/>
      <c r="E168" s="268"/>
      <c r="F168" s="268"/>
      <c r="G168" s="268"/>
      <c r="H168" s="707">
        <f t="shared" si="8"/>
        <v>6</v>
      </c>
    </row>
    <row r="169" spans="1:8" x14ac:dyDescent="0.25">
      <c r="A169" s="715">
        <v>6</v>
      </c>
      <c r="B169" s="268"/>
      <c r="C169" s="268"/>
      <c r="D169" s="268"/>
      <c r="E169" s="268"/>
      <c r="F169" s="268"/>
      <c r="G169" s="268"/>
      <c r="H169" s="707">
        <f t="shared" si="8"/>
        <v>6</v>
      </c>
    </row>
    <row r="170" spans="1:8" x14ac:dyDescent="0.25">
      <c r="A170" s="715">
        <v>7</v>
      </c>
      <c r="B170" s="268"/>
      <c r="C170" s="268"/>
      <c r="D170" s="268"/>
      <c r="E170" s="268"/>
      <c r="F170" s="268"/>
      <c r="G170" s="268"/>
      <c r="H170" s="707">
        <f t="shared" si="8"/>
        <v>6</v>
      </c>
    </row>
    <row r="171" spans="1:8" x14ac:dyDescent="0.25">
      <c r="A171" s="715">
        <v>8</v>
      </c>
      <c r="B171" s="268"/>
      <c r="C171" s="268"/>
      <c r="D171" s="268"/>
      <c r="E171" s="268"/>
      <c r="F171" s="268"/>
      <c r="G171" s="268"/>
      <c r="H171" s="707">
        <f t="shared" si="8"/>
        <v>6</v>
      </c>
    </row>
    <row r="172" spans="1:8" x14ac:dyDescent="0.25">
      <c r="A172" s="715">
        <v>9</v>
      </c>
      <c r="B172" s="268"/>
      <c r="C172" s="268"/>
      <c r="D172" s="268"/>
      <c r="E172" s="268"/>
      <c r="F172" s="268"/>
      <c r="G172" s="268"/>
      <c r="H172" s="707">
        <f t="shared" si="8"/>
        <v>6</v>
      </c>
    </row>
    <row r="173" spans="1:8" x14ac:dyDescent="0.25">
      <c r="A173" s="715">
        <v>10</v>
      </c>
      <c r="B173" s="268"/>
      <c r="C173" s="268"/>
      <c r="D173" s="268"/>
      <c r="E173" s="268"/>
      <c r="F173" s="268"/>
      <c r="G173" s="268"/>
      <c r="H173" s="707">
        <f t="shared" si="8"/>
        <v>6</v>
      </c>
    </row>
    <row r="174" spans="1:8" x14ac:dyDescent="0.25">
      <c r="A174" s="715">
        <v>11</v>
      </c>
      <c r="B174" s="268"/>
      <c r="C174" s="268"/>
      <c r="D174" s="268"/>
      <c r="E174" s="268"/>
      <c r="F174" s="268"/>
      <c r="G174" s="268"/>
      <c r="H174" s="707">
        <f t="shared" si="8"/>
        <v>6</v>
      </c>
    </row>
    <row r="175" spans="1:8" x14ac:dyDescent="0.25">
      <c r="A175" s="715">
        <v>12</v>
      </c>
      <c r="B175" s="268"/>
      <c r="C175" s="268"/>
      <c r="D175" s="268"/>
      <c r="E175" s="268"/>
      <c r="F175" s="268"/>
      <c r="G175" s="268"/>
      <c r="H175" s="707">
        <f t="shared" si="8"/>
        <v>6</v>
      </c>
    </row>
    <row r="176" spans="1:8" x14ac:dyDescent="0.25">
      <c r="A176" s="715">
        <v>13</v>
      </c>
      <c r="B176" s="268"/>
      <c r="C176" s="268"/>
      <c r="D176" s="268"/>
      <c r="E176" s="268"/>
      <c r="F176" s="268"/>
      <c r="G176" s="268"/>
      <c r="H176" s="707">
        <f t="shared" si="8"/>
        <v>6</v>
      </c>
    </row>
    <row r="177" spans="1:8" x14ac:dyDescent="0.25">
      <c r="A177" s="715">
        <v>14</v>
      </c>
      <c r="B177" s="268"/>
      <c r="C177" s="268"/>
      <c r="D177" s="268"/>
      <c r="E177" s="268"/>
      <c r="F177" s="268"/>
      <c r="G177" s="268"/>
      <c r="H177" s="707">
        <f t="shared" si="8"/>
        <v>6</v>
      </c>
    </row>
    <row r="178" spans="1:8" x14ac:dyDescent="0.25">
      <c r="A178" s="715">
        <v>15</v>
      </c>
      <c r="B178" s="268"/>
      <c r="C178" s="268"/>
      <c r="D178" s="268"/>
      <c r="E178" s="268"/>
      <c r="F178" s="268"/>
      <c r="G178" s="268"/>
      <c r="H178" s="707">
        <f t="shared" si="8"/>
        <v>6</v>
      </c>
    </row>
    <row r="179" spans="1:8" x14ac:dyDescent="0.25">
      <c r="A179" s="715">
        <v>16</v>
      </c>
      <c r="B179" s="268"/>
      <c r="C179" s="268"/>
      <c r="D179" s="268"/>
      <c r="E179" s="268"/>
      <c r="F179" s="268"/>
      <c r="G179" s="268"/>
      <c r="H179" s="707">
        <f t="shared" si="8"/>
        <v>6</v>
      </c>
    </row>
    <row r="180" spans="1:8" x14ac:dyDescent="0.25">
      <c r="A180" s="715">
        <v>17</v>
      </c>
      <c r="B180" s="268"/>
      <c r="C180" s="268"/>
      <c r="D180" s="268"/>
      <c r="E180" s="268"/>
      <c r="F180" s="268"/>
      <c r="G180" s="268"/>
      <c r="H180" s="707">
        <f t="shared" si="8"/>
        <v>6</v>
      </c>
    </row>
    <row r="181" spans="1:8" x14ac:dyDescent="0.25">
      <c r="A181" s="715">
        <v>18</v>
      </c>
      <c r="B181" s="268"/>
      <c r="C181" s="268"/>
      <c r="D181" s="268"/>
      <c r="E181" s="268"/>
      <c r="F181" s="268"/>
      <c r="G181" s="268"/>
      <c r="H181" s="707">
        <f t="shared" si="8"/>
        <v>6</v>
      </c>
    </row>
    <row r="182" spans="1:8" x14ac:dyDescent="0.25">
      <c r="A182" s="715">
        <v>19</v>
      </c>
      <c r="B182" s="268"/>
      <c r="C182" s="268"/>
      <c r="D182" s="268"/>
      <c r="E182" s="268"/>
      <c r="F182" s="268"/>
      <c r="G182" s="268"/>
      <c r="H182" s="707">
        <f t="shared" si="8"/>
        <v>6</v>
      </c>
    </row>
    <row r="183" spans="1:8" x14ac:dyDescent="0.25">
      <c r="A183" s="715">
        <v>20</v>
      </c>
      <c r="B183" s="268"/>
      <c r="C183" s="268"/>
      <c r="D183" s="268"/>
      <c r="E183" s="268"/>
      <c r="F183" s="268"/>
      <c r="G183" s="268"/>
      <c r="H183" s="707">
        <f t="shared" si="8"/>
        <v>6</v>
      </c>
    </row>
    <row r="184" spans="1:8" x14ac:dyDescent="0.25">
      <c r="A184" s="715">
        <v>21</v>
      </c>
      <c r="B184" s="268"/>
      <c r="C184" s="268"/>
      <c r="D184" s="268"/>
      <c r="E184" s="268"/>
      <c r="F184" s="268"/>
      <c r="G184" s="268"/>
      <c r="H184" s="707">
        <f t="shared" si="8"/>
        <v>6</v>
      </c>
    </row>
    <row r="185" spans="1:8" x14ac:dyDescent="0.25">
      <c r="A185" s="715">
        <v>22</v>
      </c>
      <c r="B185" s="268"/>
      <c r="C185" s="268"/>
      <c r="D185" s="268"/>
      <c r="E185" s="268"/>
      <c r="F185" s="268"/>
      <c r="G185" s="268"/>
      <c r="H185" s="707">
        <f t="shared" si="8"/>
        <v>6</v>
      </c>
    </row>
    <row r="186" spans="1:8" x14ac:dyDescent="0.25">
      <c r="A186" s="715">
        <v>23</v>
      </c>
      <c r="B186" s="268"/>
      <c r="C186" s="268"/>
      <c r="D186" s="268"/>
      <c r="E186" s="268"/>
      <c r="F186" s="268"/>
      <c r="G186" s="268"/>
      <c r="H186" s="707">
        <f t="shared" si="8"/>
        <v>6</v>
      </c>
    </row>
    <row r="187" spans="1:8" x14ac:dyDescent="0.25">
      <c r="A187" s="715">
        <v>24</v>
      </c>
      <c r="B187" s="268"/>
      <c r="C187" s="268"/>
      <c r="D187" s="268"/>
      <c r="E187" s="268"/>
      <c r="F187" s="268"/>
      <c r="G187" s="268"/>
      <c r="H187" s="707">
        <f t="shared" si="8"/>
        <v>6</v>
      </c>
    </row>
    <row r="188" spans="1:8" x14ac:dyDescent="0.25">
      <c r="A188" s="715">
        <v>25</v>
      </c>
      <c r="B188" s="268"/>
      <c r="C188" s="268"/>
      <c r="D188" s="268"/>
      <c r="E188" s="268"/>
      <c r="F188" s="268"/>
      <c r="G188" s="268"/>
      <c r="H188" s="707">
        <f t="shared" si="8"/>
        <v>6</v>
      </c>
    </row>
    <row r="189" spans="1:8" x14ac:dyDescent="0.25">
      <c r="A189" s="715">
        <v>26</v>
      </c>
      <c r="B189" s="268"/>
      <c r="C189" s="268"/>
      <c r="D189" s="268"/>
      <c r="E189" s="268"/>
      <c r="F189" s="268"/>
      <c r="G189" s="268"/>
      <c r="H189" s="707">
        <f t="shared" si="8"/>
        <v>6</v>
      </c>
    </row>
    <row r="190" spans="1:8" x14ac:dyDescent="0.25">
      <c r="A190" s="715">
        <v>27</v>
      </c>
      <c r="B190" s="268"/>
      <c r="C190" s="268"/>
      <c r="D190" s="268"/>
      <c r="E190" s="268"/>
      <c r="F190" s="268"/>
      <c r="G190" s="268"/>
      <c r="H190" s="707">
        <f t="shared" si="8"/>
        <v>6</v>
      </c>
    </row>
    <row r="191" spans="1:8" x14ac:dyDescent="0.25">
      <c r="A191" s="715">
        <v>28</v>
      </c>
      <c r="B191" s="268"/>
      <c r="C191" s="268"/>
      <c r="D191" s="268"/>
      <c r="E191" s="268"/>
      <c r="F191" s="268"/>
      <c r="G191" s="268"/>
      <c r="H191" s="707">
        <f t="shared" si="8"/>
        <v>6</v>
      </c>
    </row>
    <row r="192" spans="1:8" x14ac:dyDescent="0.25">
      <c r="A192" s="715">
        <v>29</v>
      </c>
      <c r="B192" s="268"/>
      <c r="C192" s="268"/>
      <c r="D192" s="268"/>
      <c r="E192" s="268"/>
      <c r="F192" s="268"/>
      <c r="G192" s="268"/>
      <c r="H192" s="707">
        <f t="shared" si="8"/>
        <v>6</v>
      </c>
    </row>
    <row r="193" spans="1:8" x14ac:dyDescent="0.25">
      <c r="A193" s="716">
        <v>30</v>
      </c>
      <c r="B193" s="695"/>
      <c r="C193" s="695"/>
      <c r="D193" s="695"/>
      <c r="E193" s="695"/>
      <c r="F193" s="695"/>
      <c r="G193" s="695"/>
      <c r="H193" s="731">
        <f t="shared" si="8"/>
        <v>6</v>
      </c>
    </row>
    <row r="194" spans="1:8" ht="15.75" thickBot="1" x14ac:dyDescent="0.3">
      <c r="A194" s="738">
        <v>31</v>
      </c>
      <c r="B194" s="695"/>
      <c r="C194" s="695"/>
      <c r="D194" s="695"/>
      <c r="E194" s="695"/>
      <c r="F194" s="695"/>
      <c r="G194" s="695"/>
      <c r="H194" s="695">
        <f t="shared" si="8"/>
        <v>6</v>
      </c>
    </row>
    <row r="195" spans="1:8" ht="15.75" thickBot="1" x14ac:dyDescent="0.3">
      <c r="A195" s="736" t="s">
        <v>35</v>
      </c>
      <c r="B195" s="718">
        <f>SUM(B164:B194)-E195</f>
        <v>0</v>
      </c>
      <c r="C195" s="718">
        <f t="shared" ref="C195:H195" si="9">SUM(C164:C194)</f>
        <v>0</v>
      </c>
      <c r="D195" s="718">
        <f t="shared" si="9"/>
        <v>0</v>
      </c>
      <c r="E195" s="718">
        <f t="shared" si="9"/>
        <v>0</v>
      </c>
      <c r="F195" s="718">
        <f t="shared" si="9"/>
        <v>0</v>
      </c>
      <c r="G195" s="718">
        <f t="shared" si="9"/>
        <v>0</v>
      </c>
      <c r="H195" s="719">
        <f t="shared" si="9"/>
        <v>186</v>
      </c>
    </row>
    <row r="198" spans="1:8" ht="36" x14ac:dyDescent="0.55000000000000004">
      <c r="A198" s="696" t="s">
        <v>1</v>
      </c>
      <c r="B198" s="696"/>
      <c r="C198" s="696"/>
      <c r="D198" s="696"/>
      <c r="E198" s="696"/>
      <c r="F198" s="696"/>
      <c r="G198" s="696"/>
      <c r="H198" s="696"/>
    </row>
    <row r="199" spans="1:8" ht="27" thickBot="1" x14ac:dyDescent="0.45">
      <c r="A199" s="697" t="s">
        <v>0</v>
      </c>
      <c r="B199" s="697"/>
      <c r="C199" s="697"/>
      <c r="D199" s="697"/>
      <c r="E199" s="697"/>
      <c r="F199" s="697"/>
      <c r="G199" s="697"/>
      <c r="H199" s="697"/>
    </row>
    <row r="200" spans="1:8" ht="15.75" x14ac:dyDescent="0.25">
      <c r="A200" s="698" t="s">
        <v>2</v>
      </c>
      <c r="B200" s="699" t="s">
        <v>3</v>
      </c>
      <c r="C200" s="694"/>
      <c r="D200" s="700" t="s">
        <v>52</v>
      </c>
      <c r="E200" s="732" t="s">
        <v>36</v>
      </c>
      <c r="F200" s="733"/>
      <c r="G200" s="699" t="s">
        <v>16</v>
      </c>
      <c r="H200" s="737" t="s">
        <v>60</v>
      </c>
    </row>
    <row r="201" spans="1:8" ht="15.75" x14ac:dyDescent="0.25">
      <c r="A201" s="704" t="s">
        <v>6</v>
      </c>
      <c r="B201" s="705"/>
      <c r="C201" s="705"/>
      <c r="D201" s="705"/>
      <c r="E201" s="705"/>
      <c r="F201" s="706"/>
      <c r="G201" s="709"/>
      <c r="H201" s="707">
        <f>H194</f>
        <v>6</v>
      </c>
    </row>
    <row r="202" spans="1:8" ht="15.75" x14ac:dyDescent="0.25">
      <c r="A202" s="708" t="s">
        <v>7</v>
      </c>
      <c r="B202" s="709"/>
      <c r="C202" s="709"/>
      <c r="D202" s="709"/>
      <c r="E202" s="709"/>
      <c r="F202" s="709"/>
      <c r="G202" s="709"/>
      <c r="H202" s="707">
        <v>27</v>
      </c>
    </row>
    <row r="203" spans="1:8" ht="51.75" thickBot="1" x14ac:dyDescent="0.3">
      <c r="A203" s="710" t="s">
        <v>8</v>
      </c>
      <c r="B203" s="734" t="s">
        <v>9</v>
      </c>
      <c r="C203" s="734" t="s">
        <v>10</v>
      </c>
      <c r="D203" s="734" t="s">
        <v>11</v>
      </c>
      <c r="E203" s="734" t="s">
        <v>12</v>
      </c>
      <c r="F203" s="734" t="s">
        <v>13</v>
      </c>
      <c r="G203" s="734" t="s">
        <v>14</v>
      </c>
      <c r="H203" s="735" t="s">
        <v>15</v>
      </c>
    </row>
    <row r="204" spans="1:8" x14ac:dyDescent="0.25">
      <c r="A204" s="713">
        <v>1</v>
      </c>
      <c r="B204" s="527"/>
      <c r="C204" s="527"/>
      <c r="D204" s="527"/>
      <c r="E204" s="527"/>
      <c r="F204" s="527"/>
      <c r="G204" s="527"/>
      <c r="H204" s="714">
        <f>H201+B204+F204-(C204+D204+G204)-E204</f>
        <v>6</v>
      </c>
    </row>
    <row r="205" spans="1:8" x14ac:dyDescent="0.25">
      <c r="A205" s="715">
        <v>2</v>
      </c>
      <c r="B205" s="268"/>
      <c r="C205" s="268"/>
      <c r="D205" s="268"/>
      <c r="E205" s="268"/>
      <c r="F205" s="268"/>
      <c r="G205" s="268"/>
      <c r="H205" s="707">
        <f>H204+B205+F205-(C205+D205+G205)-E205</f>
        <v>6</v>
      </c>
    </row>
    <row r="206" spans="1:8" x14ac:dyDescent="0.25">
      <c r="A206" s="715">
        <v>3</v>
      </c>
      <c r="B206" s="268"/>
      <c r="C206" s="268"/>
      <c r="D206" s="268"/>
      <c r="E206" s="268"/>
      <c r="F206" s="268"/>
      <c r="G206" s="268"/>
      <c r="H206" s="707">
        <f>H205+B206+F206-(C206+D206+G206)-E206</f>
        <v>6</v>
      </c>
    </row>
    <row r="207" spans="1:8" x14ac:dyDescent="0.25">
      <c r="A207" s="715">
        <v>4</v>
      </c>
      <c r="B207" s="268"/>
      <c r="C207" s="268"/>
      <c r="D207" s="268"/>
      <c r="E207" s="268"/>
      <c r="F207" s="268"/>
      <c r="G207" s="268"/>
      <c r="H207" s="707">
        <f t="shared" ref="H207:H233" si="10">H206+B207+F207-(C207+D207+G207)-E207</f>
        <v>6</v>
      </c>
    </row>
    <row r="208" spans="1:8" x14ac:dyDescent="0.25">
      <c r="A208" s="715">
        <v>5</v>
      </c>
      <c r="B208" s="268"/>
      <c r="C208" s="268"/>
      <c r="D208" s="268"/>
      <c r="E208" s="268"/>
      <c r="F208" s="268"/>
      <c r="G208" s="268"/>
      <c r="H208" s="707">
        <f t="shared" si="10"/>
        <v>6</v>
      </c>
    </row>
    <row r="209" spans="1:8" x14ac:dyDescent="0.25">
      <c r="A209" s="715">
        <v>6</v>
      </c>
      <c r="B209" s="268"/>
      <c r="C209" s="268"/>
      <c r="D209" s="268"/>
      <c r="E209" s="268"/>
      <c r="F209" s="268"/>
      <c r="G209" s="268"/>
      <c r="H209" s="707">
        <f t="shared" si="10"/>
        <v>6</v>
      </c>
    </row>
    <row r="210" spans="1:8" x14ac:dyDescent="0.25">
      <c r="A210" s="715">
        <v>7</v>
      </c>
      <c r="B210" s="268"/>
      <c r="C210" s="268"/>
      <c r="D210" s="268"/>
      <c r="E210" s="268"/>
      <c r="F210" s="268"/>
      <c r="G210" s="268"/>
      <c r="H210" s="707">
        <f t="shared" si="10"/>
        <v>6</v>
      </c>
    </row>
    <row r="211" spans="1:8" x14ac:dyDescent="0.25">
      <c r="A211" s="715">
        <v>8</v>
      </c>
      <c r="B211" s="268"/>
      <c r="C211" s="268"/>
      <c r="D211" s="268"/>
      <c r="E211" s="268"/>
      <c r="F211" s="268"/>
      <c r="G211" s="268"/>
      <c r="H211" s="707">
        <f t="shared" si="10"/>
        <v>6</v>
      </c>
    </row>
    <row r="212" spans="1:8" x14ac:dyDescent="0.25">
      <c r="A212" s="715">
        <v>9</v>
      </c>
      <c r="B212" s="268"/>
      <c r="C212" s="268"/>
      <c r="D212" s="268"/>
      <c r="E212" s="268"/>
      <c r="F212" s="268"/>
      <c r="G212" s="268"/>
      <c r="H212" s="707">
        <f t="shared" si="10"/>
        <v>6</v>
      </c>
    </row>
    <row r="213" spans="1:8" x14ac:dyDescent="0.25">
      <c r="A213" s="715">
        <v>10</v>
      </c>
      <c r="B213" s="268"/>
      <c r="C213" s="268"/>
      <c r="D213" s="268"/>
      <c r="E213" s="268"/>
      <c r="F213" s="268"/>
      <c r="G213" s="268"/>
      <c r="H213" s="707">
        <f t="shared" si="10"/>
        <v>6</v>
      </c>
    </row>
    <row r="214" spans="1:8" x14ac:dyDescent="0.25">
      <c r="A214" s="715">
        <v>11</v>
      </c>
      <c r="B214" s="268"/>
      <c r="C214" s="268"/>
      <c r="D214" s="268"/>
      <c r="E214" s="268"/>
      <c r="F214" s="268"/>
      <c r="G214" s="268"/>
      <c r="H214" s="707">
        <f t="shared" si="10"/>
        <v>6</v>
      </c>
    </row>
    <row r="215" spans="1:8" x14ac:dyDescent="0.25">
      <c r="A215" s="715">
        <v>12</v>
      </c>
      <c r="B215" s="268"/>
      <c r="C215" s="268"/>
      <c r="D215" s="268"/>
      <c r="E215" s="268"/>
      <c r="F215" s="268"/>
      <c r="G215" s="268"/>
      <c r="H215" s="707">
        <f t="shared" si="10"/>
        <v>6</v>
      </c>
    </row>
    <row r="216" spans="1:8" x14ac:dyDescent="0.25">
      <c r="A216" s="715">
        <v>13</v>
      </c>
      <c r="B216" s="268"/>
      <c r="C216" s="268"/>
      <c r="D216" s="268"/>
      <c r="E216" s="268"/>
      <c r="F216" s="268"/>
      <c r="G216" s="268"/>
      <c r="H216" s="707">
        <f t="shared" si="10"/>
        <v>6</v>
      </c>
    </row>
    <row r="217" spans="1:8" x14ac:dyDescent="0.25">
      <c r="A217" s="715">
        <v>14</v>
      </c>
      <c r="B217" s="268"/>
      <c r="C217" s="268"/>
      <c r="D217" s="268"/>
      <c r="E217" s="268"/>
      <c r="F217" s="268"/>
      <c r="G217" s="268"/>
      <c r="H217" s="707">
        <f t="shared" si="10"/>
        <v>6</v>
      </c>
    </row>
    <row r="218" spans="1:8" x14ac:dyDescent="0.25">
      <c r="A218" s="715">
        <v>15</v>
      </c>
      <c r="B218" s="268"/>
      <c r="C218" s="268"/>
      <c r="D218" s="268"/>
      <c r="E218" s="268"/>
      <c r="F218" s="268"/>
      <c r="G218" s="268"/>
      <c r="H218" s="707">
        <f t="shared" si="10"/>
        <v>6</v>
      </c>
    </row>
    <row r="219" spans="1:8" x14ac:dyDescent="0.25">
      <c r="A219" s="715">
        <v>16</v>
      </c>
      <c r="B219" s="268"/>
      <c r="C219" s="268"/>
      <c r="D219" s="268"/>
      <c r="E219" s="268"/>
      <c r="F219" s="268"/>
      <c r="G219" s="268"/>
      <c r="H219" s="707">
        <f t="shared" si="10"/>
        <v>6</v>
      </c>
    </row>
    <row r="220" spans="1:8" x14ac:dyDescent="0.25">
      <c r="A220" s="715">
        <v>17</v>
      </c>
      <c r="B220" s="268"/>
      <c r="C220" s="268"/>
      <c r="D220" s="268"/>
      <c r="E220" s="268"/>
      <c r="F220" s="268"/>
      <c r="G220" s="268"/>
      <c r="H220" s="707">
        <f t="shared" si="10"/>
        <v>6</v>
      </c>
    </row>
    <row r="221" spans="1:8" x14ac:dyDescent="0.25">
      <c r="A221" s="715">
        <v>18</v>
      </c>
      <c r="B221" s="268"/>
      <c r="C221" s="268"/>
      <c r="D221" s="268"/>
      <c r="E221" s="268"/>
      <c r="F221" s="268"/>
      <c r="G221" s="268"/>
      <c r="H221" s="707">
        <f t="shared" si="10"/>
        <v>6</v>
      </c>
    </row>
    <row r="222" spans="1:8" x14ac:dyDescent="0.25">
      <c r="A222" s="715">
        <v>19</v>
      </c>
      <c r="B222" s="268"/>
      <c r="C222" s="268"/>
      <c r="D222" s="268"/>
      <c r="E222" s="268"/>
      <c r="F222" s="268"/>
      <c r="G222" s="268"/>
      <c r="H222" s="707">
        <f t="shared" si="10"/>
        <v>6</v>
      </c>
    </row>
    <row r="223" spans="1:8" x14ac:dyDescent="0.25">
      <c r="A223" s="715">
        <v>20</v>
      </c>
      <c r="B223" s="268"/>
      <c r="C223" s="268"/>
      <c r="D223" s="268"/>
      <c r="E223" s="268"/>
      <c r="F223" s="268"/>
      <c r="G223" s="268"/>
      <c r="H223" s="707">
        <f t="shared" si="10"/>
        <v>6</v>
      </c>
    </row>
    <row r="224" spans="1:8" x14ac:dyDescent="0.25">
      <c r="A224" s="715">
        <v>21</v>
      </c>
      <c r="B224" s="268"/>
      <c r="C224" s="268"/>
      <c r="D224" s="268"/>
      <c r="E224" s="268"/>
      <c r="F224" s="268"/>
      <c r="G224" s="268"/>
      <c r="H224" s="707">
        <f t="shared" si="10"/>
        <v>6</v>
      </c>
    </row>
    <row r="225" spans="1:8" x14ac:dyDescent="0.25">
      <c r="A225" s="715">
        <v>22</v>
      </c>
      <c r="B225" s="268"/>
      <c r="C225" s="268"/>
      <c r="D225" s="268"/>
      <c r="E225" s="268"/>
      <c r="F225" s="268"/>
      <c r="G225" s="268"/>
      <c r="H225" s="707">
        <f t="shared" si="10"/>
        <v>6</v>
      </c>
    </row>
    <row r="226" spans="1:8" x14ac:dyDescent="0.25">
      <c r="A226" s="715">
        <v>23</v>
      </c>
      <c r="B226" s="268"/>
      <c r="C226" s="268"/>
      <c r="D226" s="268"/>
      <c r="E226" s="268"/>
      <c r="F226" s="268"/>
      <c r="G226" s="268"/>
      <c r="H226" s="707">
        <f t="shared" si="10"/>
        <v>6</v>
      </c>
    </row>
    <row r="227" spans="1:8" x14ac:dyDescent="0.25">
      <c r="A227" s="715">
        <v>24</v>
      </c>
      <c r="B227" s="268"/>
      <c r="C227" s="268"/>
      <c r="D227" s="268"/>
      <c r="E227" s="268"/>
      <c r="F227" s="268"/>
      <c r="G227" s="268"/>
      <c r="H227" s="707">
        <f t="shared" si="10"/>
        <v>6</v>
      </c>
    </row>
    <row r="228" spans="1:8" x14ac:dyDescent="0.25">
      <c r="A228" s="715">
        <v>25</v>
      </c>
      <c r="B228" s="268"/>
      <c r="C228" s="268"/>
      <c r="D228" s="268"/>
      <c r="E228" s="268"/>
      <c r="F228" s="268"/>
      <c r="G228" s="268"/>
      <c r="H228" s="707">
        <f t="shared" si="10"/>
        <v>6</v>
      </c>
    </row>
    <row r="229" spans="1:8" x14ac:dyDescent="0.25">
      <c r="A229" s="715">
        <v>26</v>
      </c>
      <c r="B229" s="268"/>
      <c r="C229" s="268"/>
      <c r="D229" s="268"/>
      <c r="E229" s="268"/>
      <c r="F229" s="268"/>
      <c r="G229" s="268"/>
      <c r="H229" s="707">
        <f t="shared" si="10"/>
        <v>6</v>
      </c>
    </row>
    <row r="230" spans="1:8" x14ac:dyDescent="0.25">
      <c r="A230" s="715">
        <v>27</v>
      </c>
      <c r="B230" s="268"/>
      <c r="C230" s="268"/>
      <c r="D230" s="268"/>
      <c r="E230" s="268"/>
      <c r="F230" s="268"/>
      <c r="G230" s="268"/>
      <c r="H230" s="707">
        <f t="shared" si="10"/>
        <v>6</v>
      </c>
    </row>
    <row r="231" spans="1:8" x14ac:dyDescent="0.25">
      <c r="A231" s="715">
        <v>28</v>
      </c>
      <c r="B231" s="268"/>
      <c r="C231" s="268"/>
      <c r="D231" s="268"/>
      <c r="E231" s="268"/>
      <c r="F231" s="268"/>
      <c r="G231" s="268"/>
      <c r="H231" s="707">
        <f t="shared" si="10"/>
        <v>6</v>
      </c>
    </row>
    <row r="232" spans="1:8" x14ac:dyDescent="0.25">
      <c r="A232" s="715">
        <v>29</v>
      </c>
      <c r="B232" s="268"/>
      <c r="C232" s="268"/>
      <c r="D232" s="268"/>
      <c r="E232" s="268"/>
      <c r="F232" s="268"/>
      <c r="G232" s="268"/>
      <c r="H232" s="707">
        <f t="shared" si="10"/>
        <v>6</v>
      </c>
    </row>
    <row r="233" spans="1:8" ht="15.75" thickBot="1" x14ac:dyDescent="0.3">
      <c r="A233" s="716">
        <v>30</v>
      </c>
      <c r="B233" s="695"/>
      <c r="C233" s="695"/>
      <c r="D233" s="695"/>
      <c r="E233" s="695"/>
      <c r="F233" s="695"/>
      <c r="G233" s="695"/>
      <c r="H233" s="731">
        <f t="shared" si="10"/>
        <v>6</v>
      </c>
    </row>
    <row r="234" spans="1:8" ht="15.75" thickBot="1" x14ac:dyDescent="0.3">
      <c r="A234" s="736" t="s">
        <v>35</v>
      </c>
      <c r="B234" s="718">
        <f>SUM(B204:B233)-E234</f>
        <v>0</v>
      </c>
      <c r="C234" s="718">
        <f t="shared" ref="C234:H234" si="11">SUM(C204:C233)</f>
        <v>0</v>
      </c>
      <c r="D234" s="718">
        <f t="shared" si="11"/>
        <v>0</v>
      </c>
      <c r="E234" s="718">
        <f t="shared" si="11"/>
        <v>0</v>
      </c>
      <c r="F234" s="718">
        <f t="shared" si="11"/>
        <v>0</v>
      </c>
      <c r="G234" s="718">
        <f t="shared" si="11"/>
        <v>0</v>
      </c>
      <c r="H234" s="719">
        <f t="shared" si="11"/>
        <v>180</v>
      </c>
    </row>
    <row r="237" spans="1:8" ht="36" x14ac:dyDescent="0.55000000000000004">
      <c r="A237" s="696" t="s">
        <v>1</v>
      </c>
      <c r="B237" s="696"/>
      <c r="C237" s="696"/>
      <c r="D237" s="696"/>
      <c r="E237" s="696"/>
      <c r="F237" s="696"/>
      <c r="G237" s="696"/>
      <c r="H237" s="696"/>
    </row>
    <row r="238" spans="1:8" ht="27" thickBot="1" x14ac:dyDescent="0.45">
      <c r="A238" s="697" t="s">
        <v>0</v>
      </c>
      <c r="B238" s="697"/>
      <c r="C238" s="697"/>
      <c r="D238" s="697"/>
      <c r="E238" s="697"/>
      <c r="F238" s="697"/>
      <c r="G238" s="697"/>
      <c r="H238" s="697"/>
    </row>
    <row r="239" spans="1:8" ht="15.75" x14ac:dyDescent="0.25">
      <c r="A239" s="698" t="s">
        <v>2</v>
      </c>
      <c r="B239" s="699" t="s">
        <v>3</v>
      </c>
      <c r="C239" s="694"/>
      <c r="D239" s="700" t="s">
        <v>52</v>
      </c>
      <c r="E239" s="732" t="s">
        <v>36</v>
      </c>
      <c r="F239" s="733"/>
      <c r="G239" s="699" t="s">
        <v>16</v>
      </c>
      <c r="H239" s="737" t="s">
        <v>61</v>
      </c>
    </row>
    <row r="240" spans="1:8" ht="15.75" x14ac:dyDescent="0.25">
      <c r="A240" s="704" t="s">
        <v>6</v>
      </c>
      <c r="B240" s="705"/>
      <c r="C240" s="705"/>
      <c r="D240" s="705"/>
      <c r="E240" s="705"/>
      <c r="F240" s="705"/>
      <c r="G240" s="706"/>
      <c r="H240" s="707">
        <f>H233</f>
        <v>6</v>
      </c>
    </row>
    <row r="241" spans="1:8" ht="15.75" x14ac:dyDescent="0.25">
      <c r="A241" s="708" t="s">
        <v>7</v>
      </c>
      <c r="B241" s="709"/>
      <c r="C241" s="709"/>
      <c r="D241" s="709"/>
      <c r="E241" s="709"/>
      <c r="F241" s="709"/>
      <c r="G241" s="709"/>
      <c r="H241" s="707">
        <v>27</v>
      </c>
    </row>
    <row r="242" spans="1:8" ht="51.75" thickBot="1" x14ac:dyDescent="0.3">
      <c r="A242" s="710" t="s">
        <v>8</v>
      </c>
      <c r="B242" s="734" t="s">
        <v>9</v>
      </c>
      <c r="C242" s="734" t="s">
        <v>10</v>
      </c>
      <c r="D242" s="734" t="s">
        <v>11</v>
      </c>
      <c r="E242" s="734" t="s">
        <v>12</v>
      </c>
      <c r="F242" s="734" t="s">
        <v>13</v>
      </c>
      <c r="G242" s="734" t="s">
        <v>14</v>
      </c>
      <c r="H242" s="735" t="s">
        <v>15</v>
      </c>
    </row>
    <row r="243" spans="1:8" x14ac:dyDescent="0.25">
      <c r="A243" s="713">
        <v>1</v>
      </c>
      <c r="B243" s="527"/>
      <c r="C243" s="527"/>
      <c r="D243" s="527"/>
      <c r="E243" s="527"/>
      <c r="F243" s="527"/>
      <c r="G243" s="527"/>
      <c r="H243" s="714">
        <f>H240+B243+F243-(C243+D243+G243)-E243</f>
        <v>6</v>
      </c>
    </row>
    <row r="244" spans="1:8" x14ac:dyDescent="0.25">
      <c r="A244" s="715">
        <v>2</v>
      </c>
      <c r="B244" s="268"/>
      <c r="C244" s="268"/>
      <c r="D244" s="268"/>
      <c r="E244" s="268"/>
      <c r="F244" s="268"/>
      <c r="G244" s="268"/>
      <c r="H244" s="707">
        <f>H243+B244+F244-(C244+D244+G244)-E244</f>
        <v>6</v>
      </c>
    </row>
    <row r="245" spans="1:8" x14ac:dyDescent="0.25">
      <c r="A245" s="715">
        <v>3</v>
      </c>
      <c r="B245" s="268"/>
      <c r="C245" s="268"/>
      <c r="D245" s="268"/>
      <c r="E245" s="268"/>
      <c r="F245" s="268"/>
      <c r="G245" s="268"/>
      <c r="H245" s="707">
        <f>H244+B245+F245-(C245+D245+G245)-E245</f>
        <v>6</v>
      </c>
    </row>
    <row r="246" spans="1:8" x14ac:dyDescent="0.25">
      <c r="A246" s="715">
        <v>4</v>
      </c>
      <c r="B246" s="268"/>
      <c r="C246" s="268"/>
      <c r="D246" s="268"/>
      <c r="E246" s="268"/>
      <c r="F246" s="268"/>
      <c r="G246" s="268"/>
      <c r="H246" s="707">
        <f t="shared" ref="H246:H273" si="12">H245+B246+F246-(C246+D246+G246)-E246</f>
        <v>6</v>
      </c>
    </row>
    <row r="247" spans="1:8" x14ac:dyDescent="0.25">
      <c r="A247" s="715">
        <v>5</v>
      </c>
      <c r="B247" s="268"/>
      <c r="C247" s="268"/>
      <c r="D247" s="268"/>
      <c r="E247" s="268"/>
      <c r="F247" s="268"/>
      <c r="G247" s="268"/>
      <c r="H247" s="707">
        <f t="shared" si="12"/>
        <v>6</v>
      </c>
    </row>
    <row r="248" spans="1:8" x14ac:dyDescent="0.25">
      <c r="A248" s="715">
        <v>6</v>
      </c>
      <c r="B248" s="268"/>
      <c r="C248" s="268"/>
      <c r="D248" s="268"/>
      <c r="E248" s="268"/>
      <c r="F248" s="268"/>
      <c r="G248" s="268"/>
      <c r="H248" s="707">
        <f t="shared" si="12"/>
        <v>6</v>
      </c>
    </row>
    <row r="249" spans="1:8" x14ac:dyDescent="0.25">
      <c r="A249" s="715">
        <v>7</v>
      </c>
      <c r="B249" s="268"/>
      <c r="C249" s="268"/>
      <c r="D249" s="268"/>
      <c r="E249" s="268"/>
      <c r="F249" s="268"/>
      <c r="G249" s="268"/>
      <c r="H249" s="707">
        <f t="shared" si="12"/>
        <v>6</v>
      </c>
    </row>
    <row r="250" spans="1:8" x14ac:dyDescent="0.25">
      <c r="A250" s="715">
        <v>8</v>
      </c>
      <c r="B250" s="268"/>
      <c r="C250" s="268"/>
      <c r="D250" s="268"/>
      <c r="E250" s="268"/>
      <c r="F250" s="268"/>
      <c r="G250" s="268"/>
      <c r="H250" s="707">
        <f t="shared" si="12"/>
        <v>6</v>
      </c>
    </row>
    <row r="251" spans="1:8" x14ac:dyDescent="0.25">
      <c r="A251" s="715">
        <v>9</v>
      </c>
      <c r="B251" s="268"/>
      <c r="C251" s="268"/>
      <c r="D251" s="268"/>
      <c r="E251" s="268"/>
      <c r="F251" s="268"/>
      <c r="G251" s="268"/>
      <c r="H251" s="707">
        <f t="shared" si="12"/>
        <v>6</v>
      </c>
    </row>
    <row r="252" spans="1:8" x14ac:dyDescent="0.25">
      <c r="A252" s="715">
        <v>10</v>
      </c>
      <c r="B252" s="268"/>
      <c r="C252" s="268"/>
      <c r="D252" s="268"/>
      <c r="E252" s="268"/>
      <c r="F252" s="268"/>
      <c r="G252" s="268"/>
      <c r="H252" s="707">
        <f t="shared" si="12"/>
        <v>6</v>
      </c>
    </row>
    <row r="253" spans="1:8" x14ac:dyDescent="0.25">
      <c r="A253" s="715">
        <v>11</v>
      </c>
      <c r="B253" s="268"/>
      <c r="C253" s="268"/>
      <c r="D253" s="268"/>
      <c r="E253" s="268"/>
      <c r="F253" s="268"/>
      <c r="G253" s="268"/>
      <c r="H253" s="707">
        <f t="shared" si="12"/>
        <v>6</v>
      </c>
    </row>
    <row r="254" spans="1:8" x14ac:dyDescent="0.25">
      <c r="A254" s="715">
        <v>12</v>
      </c>
      <c r="B254" s="268"/>
      <c r="C254" s="268"/>
      <c r="D254" s="268"/>
      <c r="E254" s="268"/>
      <c r="F254" s="268"/>
      <c r="G254" s="268"/>
      <c r="H254" s="707">
        <f t="shared" si="12"/>
        <v>6</v>
      </c>
    </row>
    <row r="255" spans="1:8" x14ac:dyDescent="0.25">
      <c r="A255" s="715">
        <v>13</v>
      </c>
      <c r="B255" s="268"/>
      <c r="C255" s="268"/>
      <c r="D255" s="268"/>
      <c r="E255" s="268"/>
      <c r="F255" s="268"/>
      <c r="G255" s="268"/>
      <c r="H255" s="707">
        <f t="shared" si="12"/>
        <v>6</v>
      </c>
    </row>
    <row r="256" spans="1:8" x14ac:dyDescent="0.25">
      <c r="A256" s="715">
        <v>14</v>
      </c>
      <c r="B256" s="268"/>
      <c r="C256" s="268"/>
      <c r="D256" s="268"/>
      <c r="E256" s="268"/>
      <c r="F256" s="268"/>
      <c r="G256" s="268"/>
      <c r="H256" s="707">
        <f t="shared" si="12"/>
        <v>6</v>
      </c>
    </row>
    <row r="257" spans="1:8" x14ac:dyDescent="0.25">
      <c r="A257" s="715">
        <v>15</v>
      </c>
      <c r="B257" s="268"/>
      <c r="C257" s="268"/>
      <c r="D257" s="268"/>
      <c r="E257" s="268"/>
      <c r="F257" s="268"/>
      <c r="G257" s="268"/>
      <c r="H257" s="707">
        <f t="shared" si="12"/>
        <v>6</v>
      </c>
    </row>
    <row r="258" spans="1:8" x14ac:dyDescent="0.25">
      <c r="A258" s="715">
        <v>16</v>
      </c>
      <c r="B258" s="268"/>
      <c r="C258" s="268"/>
      <c r="D258" s="268"/>
      <c r="E258" s="268"/>
      <c r="F258" s="268"/>
      <c r="G258" s="268"/>
      <c r="H258" s="707">
        <f t="shared" si="12"/>
        <v>6</v>
      </c>
    </row>
    <row r="259" spans="1:8" x14ac:dyDescent="0.25">
      <c r="A259" s="715">
        <v>17</v>
      </c>
      <c r="B259" s="268"/>
      <c r="C259" s="268"/>
      <c r="D259" s="268"/>
      <c r="E259" s="268"/>
      <c r="F259" s="268"/>
      <c r="G259" s="268"/>
      <c r="H259" s="707">
        <f t="shared" si="12"/>
        <v>6</v>
      </c>
    </row>
    <row r="260" spans="1:8" x14ac:dyDescent="0.25">
      <c r="A260" s="715">
        <v>18</v>
      </c>
      <c r="B260" s="268"/>
      <c r="C260" s="268"/>
      <c r="D260" s="268"/>
      <c r="E260" s="268"/>
      <c r="F260" s="268"/>
      <c r="G260" s="268"/>
      <c r="H260" s="707">
        <f t="shared" si="12"/>
        <v>6</v>
      </c>
    </row>
    <row r="261" spans="1:8" x14ac:dyDescent="0.25">
      <c r="A261" s="715">
        <v>19</v>
      </c>
      <c r="B261" s="268"/>
      <c r="C261" s="268"/>
      <c r="D261" s="268"/>
      <c r="E261" s="268"/>
      <c r="F261" s="268"/>
      <c r="G261" s="268"/>
      <c r="H261" s="707">
        <f t="shared" si="12"/>
        <v>6</v>
      </c>
    </row>
    <row r="262" spans="1:8" x14ac:dyDescent="0.25">
      <c r="A262" s="715">
        <v>20</v>
      </c>
      <c r="B262" s="268"/>
      <c r="C262" s="268"/>
      <c r="D262" s="268"/>
      <c r="E262" s="268"/>
      <c r="F262" s="268"/>
      <c r="G262" s="268"/>
      <c r="H262" s="707">
        <f t="shared" si="12"/>
        <v>6</v>
      </c>
    </row>
    <row r="263" spans="1:8" x14ac:dyDescent="0.25">
      <c r="A263" s="715">
        <v>21</v>
      </c>
      <c r="B263" s="268"/>
      <c r="C263" s="268"/>
      <c r="D263" s="268"/>
      <c r="E263" s="268"/>
      <c r="F263" s="268"/>
      <c r="G263" s="268"/>
      <c r="H263" s="707">
        <f t="shared" si="12"/>
        <v>6</v>
      </c>
    </row>
    <row r="264" spans="1:8" x14ac:dyDescent="0.25">
      <c r="A264" s="715">
        <v>22</v>
      </c>
      <c r="B264" s="268"/>
      <c r="C264" s="268"/>
      <c r="D264" s="268"/>
      <c r="E264" s="268"/>
      <c r="F264" s="268"/>
      <c r="G264" s="268"/>
      <c r="H264" s="707">
        <f t="shared" si="12"/>
        <v>6</v>
      </c>
    </row>
    <row r="265" spans="1:8" x14ac:dyDescent="0.25">
      <c r="A265" s="715">
        <v>23</v>
      </c>
      <c r="B265" s="268"/>
      <c r="C265" s="268"/>
      <c r="D265" s="268"/>
      <c r="E265" s="268"/>
      <c r="F265" s="268"/>
      <c r="G265" s="268"/>
      <c r="H265" s="707">
        <f t="shared" si="12"/>
        <v>6</v>
      </c>
    </row>
    <row r="266" spans="1:8" x14ac:dyDescent="0.25">
      <c r="A266" s="715">
        <v>24</v>
      </c>
      <c r="B266" s="268"/>
      <c r="C266" s="268"/>
      <c r="D266" s="268"/>
      <c r="E266" s="268"/>
      <c r="F266" s="268"/>
      <c r="G266" s="268"/>
      <c r="H266" s="707">
        <f t="shared" si="12"/>
        <v>6</v>
      </c>
    </row>
    <row r="267" spans="1:8" x14ac:dyDescent="0.25">
      <c r="A267" s="715">
        <v>25</v>
      </c>
      <c r="B267" s="268"/>
      <c r="C267" s="268"/>
      <c r="D267" s="268"/>
      <c r="E267" s="268"/>
      <c r="F267" s="268"/>
      <c r="G267" s="268"/>
      <c r="H267" s="707">
        <f t="shared" si="12"/>
        <v>6</v>
      </c>
    </row>
    <row r="268" spans="1:8" x14ac:dyDescent="0.25">
      <c r="A268" s="715">
        <v>26</v>
      </c>
      <c r="B268" s="268"/>
      <c r="C268" s="268"/>
      <c r="D268" s="268"/>
      <c r="E268" s="268"/>
      <c r="F268" s="268"/>
      <c r="G268" s="268"/>
      <c r="H268" s="707">
        <f t="shared" si="12"/>
        <v>6</v>
      </c>
    </row>
    <row r="269" spans="1:8" x14ac:dyDescent="0.25">
      <c r="A269" s="715">
        <v>27</v>
      </c>
      <c r="B269" s="268"/>
      <c r="C269" s="268"/>
      <c r="D269" s="268"/>
      <c r="E269" s="268"/>
      <c r="F269" s="268"/>
      <c r="G269" s="268"/>
      <c r="H269" s="707">
        <f t="shared" si="12"/>
        <v>6</v>
      </c>
    </row>
    <row r="270" spans="1:8" x14ac:dyDescent="0.25">
      <c r="A270" s="715">
        <v>28</v>
      </c>
      <c r="B270" s="268"/>
      <c r="C270" s="268"/>
      <c r="D270" s="268"/>
      <c r="E270" s="268"/>
      <c r="F270" s="268"/>
      <c r="G270" s="268"/>
      <c r="H270" s="707">
        <f t="shared" si="12"/>
        <v>6</v>
      </c>
    </row>
    <row r="271" spans="1:8" x14ac:dyDescent="0.25">
      <c r="A271" s="715">
        <v>29</v>
      </c>
      <c r="B271" s="268"/>
      <c r="C271" s="268"/>
      <c r="D271" s="268"/>
      <c r="E271" s="268"/>
      <c r="F271" s="268"/>
      <c r="G271" s="268"/>
      <c r="H271" s="707">
        <f t="shared" si="12"/>
        <v>6</v>
      </c>
    </row>
    <row r="272" spans="1:8" x14ac:dyDescent="0.25">
      <c r="A272" s="739">
        <v>30</v>
      </c>
      <c r="B272" s="268"/>
      <c r="C272" s="268"/>
      <c r="D272" s="268"/>
      <c r="E272" s="268"/>
      <c r="F272" s="268"/>
      <c r="G272" s="268"/>
      <c r="H272" s="268">
        <f t="shared" si="12"/>
        <v>6</v>
      </c>
    </row>
    <row r="273" spans="1:8" ht="15.75" thickBot="1" x14ac:dyDescent="0.3">
      <c r="A273" s="738">
        <v>31</v>
      </c>
      <c r="B273" s="695"/>
      <c r="C273" s="695"/>
      <c r="D273" s="695"/>
      <c r="E273" s="695"/>
      <c r="F273" s="695"/>
      <c r="G273" s="695"/>
      <c r="H273" s="268">
        <f t="shared" si="12"/>
        <v>6</v>
      </c>
    </row>
    <row r="274" spans="1:8" ht="15.75" thickBot="1" x14ac:dyDescent="0.3">
      <c r="A274" s="736" t="s">
        <v>35</v>
      </c>
      <c r="B274" s="718">
        <f>SUM(B243:B273)-E274</f>
        <v>0</v>
      </c>
      <c r="C274" s="718">
        <f t="shared" ref="C274:H274" si="13">SUM(C243:C273)</f>
        <v>0</v>
      </c>
      <c r="D274" s="718">
        <f t="shared" si="13"/>
        <v>0</v>
      </c>
      <c r="E274" s="718">
        <f t="shared" si="13"/>
        <v>0</v>
      </c>
      <c r="F274" s="718">
        <f t="shared" si="13"/>
        <v>0</v>
      </c>
      <c r="G274" s="718">
        <f t="shared" si="13"/>
        <v>0</v>
      </c>
      <c r="H274" s="718">
        <f t="shared" si="13"/>
        <v>186</v>
      </c>
    </row>
    <row r="277" spans="1:8" ht="36" x14ac:dyDescent="0.55000000000000004">
      <c r="A277" s="696" t="s">
        <v>1</v>
      </c>
      <c r="B277" s="696"/>
      <c r="C277" s="696"/>
      <c r="D277" s="696"/>
      <c r="E277" s="696"/>
      <c r="F277" s="696"/>
      <c r="G277" s="696"/>
      <c r="H277" s="696"/>
    </row>
    <row r="278" spans="1:8" ht="27" thickBot="1" x14ac:dyDescent="0.45">
      <c r="A278" s="697" t="s">
        <v>0</v>
      </c>
      <c r="B278" s="697"/>
      <c r="C278" s="697"/>
      <c r="D278" s="697"/>
      <c r="E278" s="697"/>
      <c r="F278" s="697"/>
      <c r="G278" s="697"/>
      <c r="H278" s="697"/>
    </row>
    <row r="279" spans="1:8" ht="15.75" x14ac:dyDescent="0.25">
      <c r="A279" s="698" t="s">
        <v>2</v>
      </c>
      <c r="B279" s="699" t="s">
        <v>3</v>
      </c>
      <c r="C279" s="694"/>
      <c r="D279" s="700" t="s">
        <v>52</v>
      </c>
      <c r="E279" s="732" t="s">
        <v>36</v>
      </c>
      <c r="F279" s="733"/>
      <c r="G279" s="699" t="s">
        <v>16</v>
      </c>
      <c r="H279" s="737" t="s">
        <v>62</v>
      </c>
    </row>
    <row r="280" spans="1:8" ht="15.75" x14ac:dyDescent="0.25">
      <c r="A280" s="704" t="s">
        <v>6</v>
      </c>
      <c r="B280" s="705"/>
      <c r="C280" s="705"/>
      <c r="D280" s="705"/>
      <c r="E280" s="705"/>
      <c r="F280" s="705"/>
      <c r="G280" s="706"/>
      <c r="H280" s="707">
        <f>H273</f>
        <v>6</v>
      </c>
    </row>
    <row r="281" spans="1:8" ht="15.75" x14ac:dyDescent="0.25">
      <c r="A281" s="708" t="s">
        <v>7</v>
      </c>
      <c r="B281" s="709"/>
      <c r="C281" s="709"/>
      <c r="D281" s="709"/>
      <c r="E281" s="709"/>
      <c r="F281" s="709"/>
      <c r="G281" s="709"/>
      <c r="H281" s="707">
        <v>27</v>
      </c>
    </row>
    <row r="282" spans="1:8" ht="51.75" thickBot="1" x14ac:dyDescent="0.3">
      <c r="A282" s="710" t="s">
        <v>8</v>
      </c>
      <c r="B282" s="734" t="s">
        <v>9</v>
      </c>
      <c r="C282" s="734" t="s">
        <v>10</v>
      </c>
      <c r="D282" s="734" t="s">
        <v>11</v>
      </c>
      <c r="E282" s="734" t="s">
        <v>12</v>
      </c>
      <c r="F282" s="734" t="s">
        <v>13</v>
      </c>
      <c r="G282" s="734" t="s">
        <v>14</v>
      </c>
      <c r="H282" s="735" t="s">
        <v>15</v>
      </c>
    </row>
    <row r="283" spans="1:8" x14ac:dyDescent="0.25">
      <c r="A283" s="713">
        <v>1</v>
      </c>
      <c r="B283" s="527"/>
      <c r="C283" s="527"/>
      <c r="D283" s="527"/>
      <c r="E283" s="527"/>
      <c r="F283" s="527"/>
      <c r="G283" s="527"/>
      <c r="H283" s="714">
        <f>H280+B283+F283-(C283+D283+G283)-E283</f>
        <v>6</v>
      </c>
    </row>
    <row r="284" spans="1:8" x14ac:dyDescent="0.25">
      <c r="A284" s="715">
        <v>2</v>
      </c>
      <c r="B284" s="268"/>
      <c r="C284" s="268"/>
      <c r="D284" s="268"/>
      <c r="E284" s="268"/>
      <c r="F284" s="268"/>
      <c r="G284" s="268"/>
      <c r="H284" s="707">
        <f>H283+B284+F284-(C284+D284+G284)-E284</f>
        <v>6</v>
      </c>
    </row>
    <row r="285" spans="1:8" x14ac:dyDescent="0.25">
      <c r="A285" s="715">
        <v>3</v>
      </c>
      <c r="B285" s="268"/>
      <c r="C285" s="268"/>
      <c r="D285" s="268"/>
      <c r="E285" s="268"/>
      <c r="F285" s="268"/>
      <c r="G285" s="268"/>
      <c r="H285" s="707">
        <f>H284+B285+F285-(C285+D285+G285)-E285</f>
        <v>6</v>
      </c>
    </row>
    <row r="286" spans="1:8" x14ac:dyDescent="0.25">
      <c r="A286" s="715">
        <v>4</v>
      </c>
      <c r="B286" s="268"/>
      <c r="C286" s="268"/>
      <c r="D286" s="268"/>
      <c r="E286" s="268"/>
      <c r="F286" s="268"/>
      <c r="G286" s="268"/>
      <c r="H286" s="707">
        <f t="shared" ref="H286:H313" si="14">H285+B286+F286-(C286+D286+G286)-E286</f>
        <v>6</v>
      </c>
    </row>
    <row r="287" spans="1:8" x14ac:dyDescent="0.25">
      <c r="A287" s="715">
        <v>5</v>
      </c>
      <c r="B287" s="268"/>
      <c r="C287" s="268"/>
      <c r="D287" s="268"/>
      <c r="E287" s="268"/>
      <c r="F287" s="268"/>
      <c r="G287" s="268"/>
      <c r="H287" s="707">
        <f t="shared" si="14"/>
        <v>6</v>
      </c>
    </row>
    <row r="288" spans="1:8" x14ac:dyDescent="0.25">
      <c r="A288" s="715">
        <v>6</v>
      </c>
      <c r="B288" s="268"/>
      <c r="C288" s="268"/>
      <c r="D288" s="268"/>
      <c r="E288" s="268"/>
      <c r="F288" s="268"/>
      <c r="G288" s="268"/>
      <c r="H288" s="707">
        <f t="shared" si="14"/>
        <v>6</v>
      </c>
    </row>
    <row r="289" spans="1:8" x14ac:dyDescent="0.25">
      <c r="A289" s="715">
        <v>7</v>
      </c>
      <c r="B289" s="268"/>
      <c r="C289" s="268"/>
      <c r="D289" s="268"/>
      <c r="E289" s="268"/>
      <c r="F289" s="268"/>
      <c r="G289" s="268"/>
      <c r="H289" s="707">
        <f t="shared" si="14"/>
        <v>6</v>
      </c>
    </row>
    <row r="290" spans="1:8" x14ac:dyDescent="0.25">
      <c r="A290" s="715">
        <v>8</v>
      </c>
      <c r="B290" s="268"/>
      <c r="C290" s="268"/>
      <c r="D290" s="268"/>
      <c r="E290" s="268"/>
      <c r="F290" s="268"/>
      <c r="G290" s="268"/>
      <c r="H290" s="707">
        <f t="shared" si="14"/>
        <v>6</v>
      </c>
    </row>
    <row r="291" spans="1:8" x14ac:dyDescent="0.25">
      <c r="A291" s="715">
        <v>9</v>
      </c>
      <c r="B291" s="268"/>
      <c r="C291" s="268"/>
      <c r="D291" s="268"/>
      <c r="E291" s="268"/>
      <c r="F291" s="268"/>
      <c r="G291" s="268"/>
      <c r="H291" s="707">
        <f t="shared" si="14"/>
        <v>6</v>
      </c>
    </row>
    <row r="292" spans="1:8" x14ac:dyDescent="0.25">
      <c r="A292" s="715">
        <v>10</v>
      </c>
      <c r="B292" s="268"/>
      <c r="C292" s="268"/>
      <c r="D292" s="268"/>
      <c r="E292" s="268"/>
      <c r="F292" s="268"/>
      <c r="G292" s="268"/>
      <c r="H292" s="707">
        <f t="shared" si="14"/>
        <v>6</v>
      </c>
    </row>
    <row r="293" spans="1:8" x14ac:dyDescent="0.25">
      <c r="A293" s="715">
        <v>11</v>
      </c>
      <c r="B293" s="268"/>
      <c r="C293" s="268"/>
      <c r="D293" s="268"/>
      <c r="E293" s="268"/>
      <c r="F293" s="268"/>
      <c r="G293" s="268"/>
      <c r="H293" s="707">
        <f t="shared" si="14"/>
        <v>6</v>
      </c>
    </row>
    <row r="294" spans="1:8" x14ac:dyDescent="0.25">
      <c r="A294" s="715">
        <v>12</v>
      </c>
      <c r="B294" s="268"/>
      <c r="C294" s="268"/>
      <c r="D294" s="268"/>
      <c r="E294" s="268"/>
      <c r="F294" s="268"/>
      <c r="G294" s="268"/>
      <c r="H294" s="707">
        <f t="shared" si="14"/>
        <v>6</v>
      </c>
    </row>
    <row r="295" spans="1:8" x14ac:dyDescent="0.25">
      <c r="A295" s="715">
        <v>13</v>
      </c>
      <c r="B295" s="268"/>
      <c r="C295" s="268"/>
      <c r="D295" s="268"/>
      <c r="E295" s="268"/>
      <c r="F295" s="268"/>
      <c r="G295" s="268"/>
      <c r="H295" s="707">
        <f t="shared" si="14"/>
        <v>6</v>
      </c>
    </row>
    <row r="296" spans="1:8" x14ac:dyDescent="0.25">
      <c r="A296" s="715">
        <v>14</v>
      </c>
      <c r="B296" s="268"/>
      <c r="C296" s="268"/>
      <c r="D296" s="268"/>
      <c r="E296" s="268"/>
      <c r="F296" s="268"/>
      <c r="G296" s="268"/>
      <c r="H296" s="707">
        <f t="shared" si="14"/>
        <v>6</v>
      </c>
    </row>
    <row r="297" spans="1:8" x14ac:dyDescent="0.25">
      <c r="A297" s="715">
        <v>15</v>
      </c>
      <c r="B297" s="268"/>
      <c r="C297" s="268"/>
      <c r="D297" s="268"/>
      <c r="E297" s="268"/>
      <c r="F297" s="268"/>
      <c r="G297" s="268"/>
      <c r="H297" s="707">
        <f t="shared" si="14"/>
        <v>6</v>
      </c>
    </row>
    <row r="298" spans="1:8" x14ac:dyDescent="0.25">
      <c r="A298" s="715">
        <v>16</v>
      </c>
      <c r="B298" s="268"/>
      <c r="C298" s="268"/>
      <c r="D298" s="268"/>
      <c r="E298" s="268"/>
      <c r="F298" s="268"/>
      <c r="G298" s="268"/>
      <c r="H298" s="707">
        <f t="shared" si="14"/>
        <v>6</v>
      </c>
    </row>
    <row r="299" spans="1:8" x14ac:dyDescent="0.25">
      <c r="A299" s="715">
        <v>17</v>
      </c>
      <c r="B299" s="268"/>
      <c r="C299" s="268"/>
      <c r="D299" s="268"/>
      <c r="E299" s="268"/>
      <c r="F299" s="268"/>
      <c r="G299" s="268"/>
      <c r="H299" s="707">
        <f t="shared" si="14"/>
        <v>6</v>
      </c>
    </row>
    <row r="300" spans="1:8" x14ac:dyDescent="0.25">
      <c r="A300" s="715">
        <v>18</v>
      </c>
      <c r="B300" s="268"/>
      <c r="C300" s="268"/>
      <c r="D300" s="268"/>
      <c r="E300" s="268"/>
      <c r="F300" s="268"/>
      <c r="G300" s="268"/>
      <c r="H300" s="707">
        <f t="shared" si="14"/>
        <v>6</v>
      </c>
    </row>
    <row r="301" spans="1:8" x14ac:dyDescent="0.25">
      <c r="A301" s="715">
        <v>19</v>
      </c>
      <c r="B301" s="268"/>
      <c r="C301" s="268"/>
      <c r="D301" s="268"/>
      <c r="E301" s="268"/>
      <c r="F301" s="268"/>
      <c r="G301" s="268"/>
      <c r="H301" s="707">
        <f t="shared" si="14"/>
        <v>6</v>
      </c>
    </row>
    <row r="302" spans="1:8" x14ac:dyDescent="0.25">
      <c r="A302" s="715">
        <v>20</v>
      </c>
      <c r="B302" s="268"/>
      <c r="C302" s="268"/>
      <c r="D302" s="268"/>
      <c r="E302" s="268"/>
      <c r="F302" s="268"/>
      <c r="G302" s="268"/>
      <c r="H302" s="707">
        <f t="shared" si="14"/>
        <v>6</v>
      </c>
    </row>
    <row r="303" spans="1:8" x14ac:dyDescent="0.25">
      <c r="A303" s="715">
        <v>21</v>
      </c>
      <c r="B303" s="268"/>
      <c r="C303" s="268"/>
      <c r="D303" s="268"/>
      <c r="E303" s="268"/>
      <c r="F303" s="268"/>
      <c r="G303" s="268"/>
      <c r="H303" s="707">
        <f t="shared" si="14"/>
        <v>6</v>
      </c>
    </row>
    <row r="304" spans="1:8" x14ac:dyDescent="0.25">
      <c r="A304" s="715">
        <v>22</v>
      </c>
      <c r="B304" s="268"/>
      <c r="C304" s="268"/>
      <c r="D304" s="268"/>
      <c r="E304" s="268"/>
      <c r="F304" s="268"/>
      <c r="G304" s="268"/>
      <c r="H304" s="707">
        <f t="shared" si="14"/>
        <v>6</v>
      </c>
    </row>
    <row r="305" spans="1:8" x14ac:dyDescent="0.25">
      <c r="A305" s="715">
        <v>23</v>
      </c>
      <c r="B305" s="268"/>
      <c r="C305" s="268"/>
      <c r="D305" s="268"/>
      <c r="E305" s="268"/>
      <c r="F305" s="268"/>
      <c r="G305" s="268"/>
      <c r="H305" s="707">
        <f t="shared" si="14"/>
        <v>6</v>
      </c>
    </row>
    <row r="306" spans="1:8" x14ac:dyDescent="0.25">
      <c r="A306" s="715">
        <v>24</v>
      </c>
      <c r="B306" s="268"/>
      <c r="C306" s="268"/>
      <c r="D306" s="268"/>
      <c r="E306" s="268"/>
      <c r="F306" s="268"/>
      <c r="G306" s="268"/>
      <c r="H306" s="707">
        <f t="shared" si="14"/>
        <v>6</v>
      </c>
    </row>
    <row r="307" spans="1:8" x14ac:dyDescent="0.25">
      <c r="A307" s="715">
        <v>25</v>
      </c>
      <c r="B307" s="268"/>
      <c r="C307" s="268"/>
      <c r="D307" s="268"/>
      <c r="E307" s="268"/>
      <c r="F307" s="268"/>
      <c r="G307" s="268"/>
      <c r="H307" s="707">
        <f t="shared" si="14"/>
        <v>6</v>
      </c>
    </row>
    <row r="308" spans="1:8" x14ac:dyDescent="0.25">
      <c r="A308" s="715">
        <v>26</v>
      </c>
      <c r="B308" s="268"/>
      <c r="C308" s="268"/>
      <c r="D308" s="268"/>
      <c r="E308" s="268"/>
      <c r="F308" s="268"/>
      <c r="G308" s="268"/>
      <c r="H308" s="707">
        <f t="shared" si="14"/>
        <v>6</v>
      </c>
    </row>
    <row r="309" spans="1:8" x14ac:dyDescent="0.25">
      <c r="A309" s="715">
        <v>27</v>
      </c>
      <c r="B309" s="268"/>
      <c r="C309" s="268"/>
      <c r="D309" s="268"/>
      <c r="E309" s="268"/>
      <c r="F309" s="268"/>
      <c r="G309" s="268"/>
      <c r="H309" s="707">
        <f t="shared" si="14"/>
        <v>6</v>
      </c>
    </row>
    <row r="310" spans="1:8" x14ac:dyDescent="0.25">
      <c r="A310" s="715">
        <v>28</v>
      </c>
      <c r="B310" s="268"/>
      <c r="C310" s="268"/>
      <c r="D310" s="268"/>
      <c r="E310" s="268"/>
      <c r="F310" s="268"/>
      <c r="G310" s="268"/>
      <c r="H310" s="707">
        <f t="shared" si="14"/>
        <v>6</v>
      </c>
    </row>
    <row r="311" spans="1:8" x14ac:dyDescent="0.25">
      <c r="A311" s="715">
        <v>29</v>
      </c>
      <c r="B311" s="268"/>
      <c r="C311" s="268"/>
      <c r="D311" s="268"/>
      <c r="E311" s="268"/>
      <c r="F311" s="268"/>
      <c r="G311" s="268"/>
      <c r="H311" s="707">
        <f>H310+B311+F311-(C311+D311+G311)-E311</f>
        <v>6</v>
      </c>
    </row>
    <row r="312" spans="1:8" x14ac:dyDescent="0.25">
      <c r="A312" s="739">
        <v>30</v>
      </c>
      <c r="B312" s="268"/>
      <c r="C312" s="268"/>
      <c r="D312" s="268"/>
      <c r="E312" s="268"/>
      <c r="F312" s="268"/>
      <c r="G312" s="268"/>
      <c r="H312" s="707">
        <f t="shared" si="14"/>
        <v>6</v>
      </c>
    </row>
    <row r="313" spans="1:8" ht="15.75" thickBot="1" x14ac:dyDescent="0.3">
      <c r="A313" s="738">
        <v>31</v>
      </c>
      <c r="B313" s="695"/>
      <c r="C313" s="695"/>
      <c r="D313" s="695"/>
      <c r="E313" s="695"/>
      <c r="F313" s="695"/>
      <c r="G313" s="695"/>
      <c r="H313" s="727">
        <f t="shared" si="14"/>
        <v>6</v>
      </c>
    </row>
    <row r="314" spans="1:8" ht="15.75" thickBot="1" x14ac:dyDescent="0.3">
      <c r="A314" s="736" t="s">
        <v>35</v>
      </c>
      <c r="B314" s="718">
        <f>SUM(B283:B313)-E314</f>
        <v>0</v>
      </c>
      <c r="C314" s="718">
        <f t="shared" ref="C314:H314" si="15">SUM(C283:C313)</f>
        <v>0</v>
      </c>
      <c r="D314" s="718">
        <f t="shared" si="15"/>
        <v>0</v>
      </c>
      <c r="E314" s="718">
        <f t="shared" si="15"/>
        <v>0</v>
      </c>
      <c r="F314" s="718">
        <f t="shared" si="15"/>
        <v>0</v>
      </c>
      <c r="G314" s="718">
        <f t="shared" si="15"/>
        <v>0</v>
      </c>
      <c r="H314" s="719">
        <f t="shared" si="15"/>
        <v>186</v>
      </c>
    </row>
    <row r="317" spans="1:8" ht="36" x14ac:dyDescent="0.55000000000000004">
      <c r="A317" s="696" t="s">
        <v>1</v>
      </c>
      <c r="B317" s="696"/>
      <c r="C317" s="696"/>
      <c r="D317" s="696"/>
      <c r="E317" s="696"/>
      <c r="F317" s="696"/>
      <c r="G317" s="696"/>
      <c r="H317" s="696"/>
    </row>
    <row r="318" spans="1:8" ht="27" thickBot="1" x14ac:dyDescent="0.45">
      <c r="A318" s="697" t="s">
        <v>0</v>
      </c>
      <c r="B318" s="697"/>
      <c r="C318" s="697"/>
      <c r="D318" s="697"/>
      <c r="E318" s="697"/>
      <c r="F318" s="697"/>
      <c r="G318" s="697"/>
      <c r="H318" s="697"/>
    </row>
    <row r="319" spans="1:8" ht="15.75" x14ac:dyDescent="0.25">
      <c r="A319" s="698" t="s">
        <v>2</v>
      </c>
      <c r="B319" s="699" t="s">
        <v>3</v>
      </c>
      <c r="C319" s="694"/>
      <c r="D319" s="700" t="s">
        <v>52</v>
      </c>
      <c r="E319" s="732" t="s">
        <v>36</v>
      </c>
      <c r="F319" s="733"/>
      <c r="G319" s="699" t="s">
        <v>16</v>
      </c>
      <c r="H319" s="737" t="s">
        <v>63</v>
      </c>
    </row>
    <row r="320" spans="1:8" ht="15.75" x14ac:dyDescent="0.25">
      <c r="A320" s="704" t="s">
        <v>6</v>
      </c>
      <c r="B320" s="705"/>
      <c r="C320" s="705"/>
      <c r="D320" s="705"/>
      <c r="E320" s="705"/>
      <c r="F320" s="705"/>
      <c r="G320" s="706"/>
      <c r="H320" s="707">
        <f>H313</f>
        <v>6</v>
      </c>
    </row>
    <row r="321" spans="1:8" ht="15.75" x14ac:dyDescent="0.25">
      <c r="A321" s="708" t="s">
        <v>7</v>
      </c>
      <c r="B321" s="709"/>
      <c r="C321" s="709"/>
      <c r="D321" s="709"/>
      <c r="E321" s="709"/>
      <c r="F321" s="709"/>
      <c r="G321" s="709"/>
      <c r="H321" s="707">
        <v>27</v>
      </c>
    </row>
    <row r="322" spans="1:8" ht="51.75" thickBot="1" x14ac:dyDescent="0.3">
      <c r="A322" s="710" t="s">
        <v>8</v>
      </c>
      <c r="B322" s="734" t="s">
        <v>9</v>
      </c>
      <c r="C322" s="734" t="s">
        <v>10</v>
      </c>
      <c r="D322" s="734" t="s">
        <v>11</v>
      </c>
      <c r="E322" s="734" t="s">
        <v>12</v>
      </c>
      <c r="F322" s="734" t="s">
        <v>13</v>
      </c>
      <c r="G322" s="734" t="s">
        <v>14</v>
      </c>
      <c r="H322" s="735" t="s">
        <v>15</v>
      </c>
    </row>
    <row r="323" spans="1:8" x14ac:dyDescent="0.25">
      <c r="A323" s="713">
        <v>1</v>
      </c>
      <c r="B323" s="527"/>
      <c r="C323" s="527"/>
      <c r="D323" s="527"/>
      <c r="E323" s="527"/>
      <c r="F323" s="527"/>
      <c r="G323" s="527"/>
      <c r="H323" s="714">
        <f>H320+B323+F323-(C323+D323+G323)-E323</f>
        <v>6</v>
      </c>
    </row>
    <row r="324" spans="1:8" x14ac:dyDescent="0.25">
      <c r="A324" s="715">
        <v>2</v>
      </c>
      <c r="B324" s="268"/>
      <c r="C324" s="268"/>
      <c r="D324" s="268"/>
      <c r="E324" s="268"/>
      <c r="F324" s="268"/>
      <c r="G324" s="268"/>
      <c r="H324" s="707">
        <f>H323+B324+F324-(C324+D324+G324)-E324</f>
        <v>6</v>
      </c>
    </row>
    <row r="325" spans="1:8" x14ac:dyDescent="0.25">
      <c r="A325" s="715">
        <v>3</v>
      </c>
      <c r="B325" s="268"/>
      <c r="C325" s="268"/>
      <c r="D325" s="268"/>
      <c r="E325" s="268"/>
      <c r="F325" s="268"/>
      <c r="G325" s="268"/>
      <c r="H325" s="707">
        <f>H324+B325+F325-(C325+D325+G325)-E325</f>
        <v>6</v>
      </c>
    </row>
    <row r="326" spans="1:8" x14ac:dyDescent="0.25">
      <c r="A326" s="715">
        <v>4</v>
      </c>
      <c r="B326" s="268"/>
      <c r="C326" s="268"/>
      <c r="D326" s="268"/>
      <c r="E326" s="268"/>
      <c r="F326" s="268"/>
      <c r="G326" s="268"/>
      <c r="H326" s="707">
        <f t="shared" ref="H326:H352" si="16">H325+B326+F326-(C326+D326+G326)-E326</f>
        <v>6</v>
      </c>
    </row>
    <row r="327" spans="1:8" x14ac:dyDescent="0.25">
      <c r="A327" s="715">
        <v>5</v>
      </c>
      <c r="B327" s="268"/>
      <c r="C327" s="268"/>
      <c r="D327" s="268"/>
      <c r="E327" s="268"/>
      <c r="F327" s="268"/>
      <c r="G327" s="268"/>
      <c r="H327" s="707">
        <f t="shared" si="16"/>
        <v>6</v>
      </c>
    </row>
    <row r="328" spans="1:8" x14ac:dyDescent="0.25">
      <c r="A328" s="715">
        <v>6</v>
      </c>
      <c r="B328" s="268"/>
      <c r="C328" s="268"/>
      <c r="D328" s="268"/>
      <c r="E328" s="268"/>
      <c r="F328" s="268"/>
      <c r="G328" s="268"/>
      <c r="H328" s="707">
        <f t="shared" si="16"/>
        <v>6</v>
      </c>
    </row>
    <row r="329" spans="1:8" x14ac:dyDescent="0.25">
      <c r="A329" s="715">
        <v>7</v>
      </c>
      <c r="B329" s="268"/>
      <c r="C329" s="268"/>
      <c r="D329" s="268"/>
      <c r="E329" s="268"/>
      <c r="F329" s="268"/>
      <c r="G329" s="268"/>
      <c r="H329" s="707">
        <f t="shared" si="16"/>
        <v>6</v>
      </c>
    </row>
    <row r="330" spans="1:8" x14ac:dyDescent="0.25">
      <c r="A330" s="715">
        <v>8</v>
      </c>
      <c r="B330" s="268"/>
      <c r="C330" s="268"/>
      <c r="D330" s="268"/>
      <c r="E330" s="268"/>
      <c r="F330" s="268"/>
      <c r="G330" s="268"/>
      <c r="H330" s="707">
        <f t="shared" si="16"/>
        <v>6</v>
      </c>
    </row>
    <row r="331" spans="1:8" x14ac:dyDescent="0.25">
      <c r="A331" s="715">
        <v>9</v>
      </c>
      <c r="B331" s="268"/>
      <c r="C331" s="268"/>
      <c r="D331" s="268"/>
      <c r="E331" s="268"/>
      <c r="F331" s="268"/>
      <c r="G331" s="268"/>
      <c r="H331" s="707">
        <f t="shared" si="16"/>
        <v>6</v>
      </c>
    </row>
    <row r="332" spans="1:8" x14ac:dyDescent="0.25">
      <c r="A332" s="715">
        <v>10</v>
      </c>
      <c r="B332" s="268"/>
      <c r="C332" s="268"/>
      <c r="D332" s="268"/>
      <c r="E332" s="268"/>
      <c r="F332" s="268"/>
      <c r="G332" s="268"/>
      <c r="H332" s="707">
        <f t="shared" si="16"/>
        <v>6</v>
      </c>
    </row>
    <row r="333" spans="1:8" x14ac:dyDescent="0.25">
      <c r="A333" s="715">
        <v>11</v>
      </c>
      <c r="B333" s="268"/>
      <c r="C333" s="268"/>
      <c r="D333" s="268"/>
      <c r="E333" s="268"/>
      <c r="F333" s="268"/>
      <c r="G333" s="268"/>
      <c r="H333" s="707">
        <f t="shared" si="16"/>
        <v>6</v>
      </c>
    </row>
    <row r="334" spans="1:8" x14ac:dyDescent="0.25">
      <c r="A334" s="715">
        <v>12</v>
      </c>
      <c r="B334" s="268"/>
      <c r="C334" s="268"/>
      <c r="D334" s="268"/>
      <c r="E334" s="268"/>
      <c r="F334" s="268"/>
      <c r="G334" s="268"/>
      <c r="H334" s="707">
        <f t="shared" si="16"/>
        <v>6</v>
      </c>
    </row>
    <row r="335" spans="1:8" x14ac:dyDescent="0.25">
      <c r="A335" s="715">
        <v>13</v>
      </c>
      <c r="B335" s="268"/>
      <c r="C335" s="268"/>
      <c r="D335" s="268"/>
      <c r="E335" s="268"/>
      <c r="F335" s="268"/>
      <c r="G335" s="268"/>
      <c r="H335" s="707">
        <f t="shared" si="16"/>
        <v>6</v>
      </c>
    </row>
    <row r="336" spans="1:8" x14ac:dyDescent="0.25">
      <c r="A336" s="715">
        <v>14</v>
      </c>
      <c r="B336" s="268"/>
      <c r="C336" s="268"/>
      <c r="D336" s="268"/>
      <c r="E336" s="268"/>
      <c r="F336" s="268"/>
      <c r="G336" s="268"/>
      <c r="H336" s="707">
        <f t="shared" si="16"/>
        <v>6</v>
      </c>
    </row>
    <row r="337" spans="1:8" x14ac:dyDescent="0.25">
      <c r="A337" s="715">
        <v>15</v>
      </c>
      <c r="B337" s="268"/>
      <c r="C337" s="268"/>
      <c r="D337" s="268"/>
      <c r="E337" s="268"/>
      <c r="F337" s="268"/>
      <c r="G337" s="268"/>
      <c r="H337" s="707">
        <f t="shared" si="16"/>
        <v>6</v>
      </c>
    </row>
    <row r="338" spans="1:8" x14ac:dyDescent="0.25">
      <c r="A338" s="715">
        <v>16</v>
      </c>
      <c r="B338" s="268"/>
      <c r="C338" s="268"/>
      <c r="D338" s="268"/>
      <c r="E338" s="268"/>
      <c r="F338" s="268"/>
      <c r="G338" s="268"/>
      <c r="H338" s="707">
        <f t="shared" si="16"/>
        <v>6</v>
      </c>
    </row>
    <row r="339" spans="1:8" x14ac:dyDescent="0.25">
      <c r="A339" s="715">
        <v>17</v>
      </c>
      <c r="B339" s="268"/>
      <c r="C339" s="268"/>
      <c r="D339" s="268"/>
      <c r="E339" s="268"/>
      <c r="F339" s="268"/>
      <c r="G339" s="268"/>
      <c r="H339" s="707">
        <f t="shared" si="16"/>
        <v>6</v>
      </c>
    </row>
    <row r="340" spans="1:8" x14ac:dyDescent="0.25">
      <c r="A340" s="715">
        <v>18</v>
      </c>
      <c r="B340" s="268"/>
      <c r="C340" s="268"/>
      <c r="D340" s="268"/>
      <c r="E340" s="268"/>
      <c r="F340" s="268"/>
      <c r="G340" s="268"/>
      <c r="H340" s="707">
        <f t="shared" si="16"/>
        <v>6</v>
      </c>
    </row>
    <row r="341" spans="1:8" x14ac:dyDescent="0.25">
      <c r="A341" s="715">
        <v>19</v>
      </c>
      <c r="B341" s="268"/>
      <c r="C341" s="268"/>
      <c r="D341" s="268"/>
      <c r="E341" s="268"/>
      <c r="F341" s="268"/>
      <c r="G341" s="268"/>
      <c r="H341" s="707">
        <f t="shared" si="16"/>
        <v>6</v>
      </c>
    </row>
    <row r="342" spans="1:8" x14ac:dyDescent="0.25">
      <c r="A342" s="715">
        <v>20</v>
      </c>
      <c r="B342" s="268"/>
      <c r="C342" s="268"/>
      <c r="D342" s="268"/>
      <c r="E342" s="268"/>
      <c r="F342" s="268"/>
      <c r="G342" s="268"/>
      <c r="H342" s="707">
        <f t="shared" si="16"/>
        <v>6</v>
      </c>
    </row>
    <row r="343" spans="1:8" x14ac:dyDescent="0.25">
      <c r="A343" s="715">
        <v>21</v>
      </c>
      <c r="B343" s="268"/>
      <c r="C343" s="268"/>
      <c r="D343" s="268"/>
      <c r="E343" s="268"/>
      <c r="F343" s="268"/>
      <c r="G343" s="268"/>
      <c r="H343" s="707">
        <f t="shared" si="16"/>
        <v>6</v>
      </c>
    </row>
    <row r="344" spans="1:8" x14ac:dyDescent="0.25">
      <c r="A344" s="715">
        <v>22</v>
      </c>
      <c r="B344" s="268"/>
      <c r="C344" s="268"/>
      <c r="D344" s="268"/>
      <c r="E344" s="268"/>
      <c r="F344" s="268"/>
      <c r="G344" s="268"/>
      <c r="H344" s="707">
        <f t="shared" si="16"/>
        <v>6</v>
      </c>
    </row>
    <row r="345" spans="1:8" x14ac:dyDescent="0.25">
      <c r="A345" s="715">
        <v>23</v>
      </c>
      <c r="B345" s="268"/>
      <c r="C345" s="268"/>
      <c r="D345" s="268"/>
      <c r="E345" s="268"/>
      <c r="F345" s="268"/>
      <c r="G345" s="268"/>
      <c r="H345" s="707">
        <f t="shared" si="16"/>
        <v>6</v>
      </c>
    </row>
    <row r="346" spans="1:8" x14ac:dyDescent="0.25">
      <c r="A346" s="715">
        <v>24</v>
      </c>
      <c r="B346" s="268"/>
      <c r="C346" s="268"/>
      <c r="D346" s="268"/>
      <c r="E346" s="268"/>
      <c r="F346" s="268"/>
      <c r="G346" s="268"/>
      <c r="H346" s="707">
        <f t="shared" si="16"/>
        <v>6</v>
      </c>
    </row>
    <row r="347" spans="1:8" x14ac:dyDescent="0.25">
      <c r="A347" s="715">
        <v>25</v>
      </c>
      <c r="B347" s="268"/>
      <c r="C347" s="268"/>
      <c r="D347" s="268"/>
      <c r="E347" s="268"/>
      <c r="F347" s="268"/>
      <c r="G347" s="268"/>
      <c r="H347" s="707">
        <f t="shared" si="16"/>
        <v>6</v>
      </c>
    </row>
    <row r="348" spans="1:8" x14ac:dyDescent="0.25">
      <c r="A348" s="715">
        <v>26</v>
      </c>
      <c r="B348" s="268"/>
      <c r="C348" s="268"/>
      <c r="D348" s="268"/>
      <c r="E348" s="268"/>
      <c r="F348" s="268"/>
      <c r="G348" s="268"/>
      <c r="H348" s="707">
        <f t="shared" si="16"/>
        <v>6</v>
      </c>
    </row>
    <row r="349" spans="1:8" x14ac:dyDescent="0.25">
      <c r="A349" s="715">
        <v>27</v>
      </c>
      <c r="B349" s="268"/>
      <c r="C349" s="268"/>
      <c r="D349" s="268"/>
      <c r="E349" s="268"/>
      <c r="F349" s="268"/>
      <c r="G349" s="268"/>
      <c r="H349" s="707">
        <f t="shared" si="16"/>
        <v>6</v>
      </c>
    </row>
    <row r="350" spans="1:8" x14ac:dyDescent="0.25">
      <c r="A350" s="715">
        <v>28</v>
      </c>
      <c r="B350" s="268"/>
      <c r="C350" s="268"/>
      <c r="D350" s="268"/>
      <c r="E350" s="268"/>
      <c r="F350" s="268"/>
      <c r="G350" s="268"/>
      <c r="H350" s="707">
        <f t="shared" si="16"/>
        <v>6</v>
      </c>
    </row>
    <row r="351" spans="1:8" x14ac:dyDescent="0.25">
      <c r="A351" s="715">
        <v>29</v>
      </c>
      <c r="B351" s="268"/>
      <c r="C351" s="268"/>
      <c r="D351" s="268"/>
      <c r="E351" s="268"/>
      <c r="F351" s="268"/>
      <c r="G351" s="268"/>
      <c r="H351" s="707">
        <f t="shared" si="16"/>
        <v>6</v>
      </c>
    </row>
    <row r="352" spans="1:8" ht="15.75" thickBot="1" x14ac:dyDescent="0.3">
      <c r="A352" s="739">
        <v>30</v>
      </c>
      <c r="B352" s="268"/>
      <c r="C352" s="268"/>
      <c r="D352" s="268"/>
      <c r="E352" s="268"/>
      <c r="F352" s="268"/>
      <c r="G352" s="268"/>
      <c r="H352" s="707">
        <f t="shared" si="16"/>
        <v>6</v>
      </c>
    </row>
    <row r="353" spans="1:8" ht="15.75" thickBot="1" x14ac:dyDescent="0.3">
      <c r="A353" s="736" t="s">
        <v>35</v>
      </c>
      <c r="B353" s="718">
        <f>SUM(B323:B352)-E353</f>
        <v>0</v>
      </c>
      <c r="C353" s="718">
        <f t="shared" ref="C353:H353" si="17">SUM(C323:C352)</f>
        <v>0</v>
      </c>
      <c r="D353" s="718">
        <f t="shared" si="17"/>
        <v>0</v>
      </c>
      <c r="E353" s="718">
        <f t="shared" si="17"/>
        <v>0</v>
      </c>
      <c r="F353" s="718">
        <f t="shared" si="17"/>
        <v>0</v>
      </c>
      <c r="G353" s="718">
        <f t="shared" si="17"/>
        <v>0</v>
      </c>
      <c r="H353" s="719">
        <f t="shared" si="17"/>
        <v>180</v>
      </c>
    </row>
    <row r="356" spans="1:8" ht="36" x14ac:dyDescent="0.55000000000000004">
      <c r="A356" s="696" t="s">
        <v>1</v>
      </c>
      <c r="B356" s="696"/>
      <c r="C356" s="696"/>
      <c r="D356" s="696"/>
      <c r="E356" s="696"/>
      <c r="F356" s="696"/>
      <c r="G356" s="696"/>
      <c r="H356" s="696"/>
    </row>
    <row r="357" spans="1:8" ht="27" thickBot="1" x14ac:dyDescent="0.45">
      <c r="A357" s="697" t="s">
        <v>0</v>
      </c>
      <c r="B357" s="697"/>
      <c r="C357" s="697"/>
      <c r="D357" s="697"/>
      <c r="E357" s="697"/>
      <c r="F357" s="697"/>
      <c r="G357" s="697"/>
      <c r="H357" s="697"/>
    </row>
    <row r="358" spans="1:8" ht="15.75" x14ac:dyDescent="0.25">
      <c r="A358" s="698" t="s">
        <v>2</v>
      </c>
      <c r="B358" s="699" t="s">
        <v>3</v>
      </c>
      <c r="C358" s="694"/>
      <c r="D358" s="700" t="s">
        <v>52</v>
      </c>
      <c r="E358" s="732" t="s">
        <v>65</v>
      </c>
      <c r="F358" s="733"/>
      <c r="G358" s="699" t="s">
        <v>16</v>
      </c>
      <c r="H358" s="737" t="s">
        <v>64</v>
      </c>
    </row>
    <row r="359" spans="1:8" ht="15.75" x14ac:dyDescent="0.25">
      <c r="A359" s="704" t="s">
        <v>6</v>
      </c>
      <c r="B359" s="705"/>
      <c r="C359" s="705"/>
      <c r="D359" s="705"/>
      <c r="E359" s="705"/>
      <c r="F359" s="706"/>
      <c r="G359" s="709"/>
      <c r="H359" s="707">
        <f>H352</f>
        <v>6</v>
      </c>
    </row>
    <row r="360" spans="1:8" ht="15.75" x14ac:dyDescent="0.25">
      <c r="A360" s="708" t="s">
        <v>7</v>
      </c>
      <c r="B360" s="709"/>
      <c r="C360" s="709"/>
      <c r="D360" s="709"/>
      <c r="E360" s="709"/>
      <c r="F360" s="709"/>
      <c r="G360" s="709"/>
      <c r="H360" s="707">
        <v>27</v>
      </c>
    </row>
    <row r="361" spans="1:8" ht="51.75" thickBot="1" x14ac:dyDescent="0.3">
      <c r="A361" s="710" t="s">
        <v>8</v>
      </c>
      <c r="B361" s="734" t="s">
        <v>9</v>
      </c>
      <c r="C361" s="734" t="s">
        <v>10</v>
      </c>
      <c r="D361" s="734" t="s">
        <v>11</v>
      </c>
      <c r="E361" s="734" t="s">
        <v>12</v>
      </c>
      <c r="F361" s="734" t="s">
        <v>13</v>
      </c>
      <c r="G361" s="734" t="s">
        <v>14</v>
      </c>
      <c r="H361" s="735" t="s">
        <v>15</v>
      </c>
    </row>
    <row r="362" spans="1:8" x14ac:dyDescent="0.25">
      <c r="A362" s="713">
        <v>1</v>
      </c>
      <c r="B362" s="527"/>
      <c r="C362" s="527"/>
      <c r="D362" s="527"/>
      <c r="E362" s="527"/>
      <c r="F362" s="527"/>
      <c r="G362" s="527"/>
      <c r="H362" s="714">
        <f>H359+B362+F362-(C362+D362+G362)-E362</f>
        <v>6</v>
      </c>
    </row>
    <row r="363" spans="1:8" x14ac:dyDescent="0.25">
      <c r="A363" s="715">
        <v>2</v>
      </c>
      <c r="B363" s="268"/>
      <c r="C363" s="268"/>
      <c r="D363" s="268"/>
      <c r="E363" s="268"/>
      <c r="F363" s="268"/>
      <c r="G363" s="268"/>
      <c r="H363" s="707">
        <f>H362+B363+F363-(C363+D363+G363)-E363</f>
        <v>6</v>
      </c>
    </row>
    <row r="364" spans="1:8" x14ac:dyDescent="0.25">
      <c r="A364" s="715">
        <v>3</v>
      </c>
      <c r="B364" s="268"/>
      <c r="C364" s="268"/>
      <c r="D364" s="268"/>
      <c r="E364" s="268"/>
      <c r="F364" s="268"/>
      <c r="G364" s="268"/>
      <c r="H364" s="707">
        <f>H363+B364+F364-(C364+D364+G364)-E364</f>
        <v>6</v>
      </c>
    </row>
    <row r="365" spans="1:8" x14ac:dyDescent="0.25">
      <c r="A365" s="715">
        <v>4</v>
      </c>
      <c r="B365" s="268"/>
      <c r="C365" s="268"/>
      <c r="D365" s="268"/>
      <c r="E365" s="268"/>
      <c r="F365" s="268"/>
      <c r="G365" s="268"/>
      <c r="H365" s="707">
        <f t="shared" ref="H365:H392" si="18">H364+B365+F365-(C365+D365+G365)-E365</f>
        <v>6</v>
      </c>
    </row>
    <row r="366" spans="1:8" x14ac:dyDescent="0.25">
      <c r="A366" s="715">
        <v>5</v>
      </c>
      <c r="B366" s="268"/>
      <c r="C366" s="268"/>
      <c r="D366" s="268"/>
      <c r="E366" s="268"/>
      <c r="F366" s="268"/>
      <c r="G366" s="268"/>
      <c r="H366" s="707">
        <f t="shared" si="18"/>
        <v>6</v>
      </c>
    </row>
    <row r="367" spans="1:8" x14ac:dyDescent="0.25">
      <c r="A367" s="715">
        <v>6</v>
      </c>
      <c r="B367" s="268"/>
      <c r="C367" s="268"/>
      <c r="D367" s="268"/>
      <c r="E367" s="268"/>
      <c r="F367" s="268"/>
      <c r="G367" s="268"/>
      <c r="H367" s="707">
        <f t="shared" si="18"/>
        <v>6</v>
      </c>
    </row>
    <row r="368" spans="1:8" x14ac:dyDescent="0.25">
      <c r="A368" s="715">
        <v>7</v>
      </c>
      <c r="B368" s="268"/>
      <c r="C368" s="268"/>
      <c r="D368" s="268"/>
      <c r="E368" s="268"/>
      <c r="F368" s="268"/>
      <c r="G368" s="268"/>
      <c r="H368" s="707">
        <f t="shared" si="18"/>
        <v>6</v>
      </c>
    </row>
    <row r="369" spans="1:8" x14ac:dyDescent="0.25">
      <c r="A369" s="715">
        <v>8</v>
      </c>
      <c r="B369" s="268"/>
      <c r="C369" s="268"/>
      <c r="D369" s="268"/>
      <c r="E369" s="268"/>
      <c r="F369" s="268"/>
      <c r="G369" s="268"/>
      <c r="H369" s="707">
        <f t="shared" si="18"/>
        <v>6</v>
      </c>
    </row>
    <row r="370" spans="1:8" x14ac:dyDescent="0.25">
      <c r="A370" s="715">
        <v>9</v>
      </c>
      <c r="B370" s="268"/>
      <c r="C370" s="268"/>
      <c r="D370" s="268"/>
      <c r="E370" s="268"/>
      <c r="F370" s="268"/>
      <c r="G370" s="268"/>
      <c r="H370" s="707">
        <f t="shared" si="18"/>
        <v>6</v>
      </c>
    </row>
    <row r="371" spans="1:8" x14ac:dyDescent="0.25">
      <c r="A371" s="715">
        <v>10</v>
      </c>
      <c r="B371" s="268"/>
      <c r="C371" s="268"/>
      <c r="D371" s="268"/>
      <c r="E371" s="268"/>
      <c r="F371" s="268"/>
      <c r="G371" s="268"/>
      <c r="H371" s="707">
        <f t="shared" si="18"/>
        <v>6</v>
      </c>
    </row>
    <row r="372" spans="1:8" x14ac:dyDescent="0.25">
      <c r="A372" s="715">
        <v>11</v>
      </c>
      <c r="B372" s="268"/>
      <c r="C372" s="268"/>
      <c r="D372" s="268"/>
      <c r="E372" s="268"/>
      <c r="F372" s="268"/>
      <c r="G372" s="268"/>
      <c r="H372" s="707">
        <f t="shared" si="18"/>
        <v>6</v>
      </c>
    </row>
    <row r="373" spans="1:8" x14ac:dyDescent="0.25">
      <c r="A373" s="715">
        <v>12</v>
      </c>
      <c r="B373" s="268"/>
      <c r="C373" s="268"/>
      <c r="D373" s="268"/>
      <c r="E373" s="268"/>
      <c r="F373" s="268"/>
      <c r="G373" s="268"/>
      <c r="H373" s="707">
        <f t="shared" si="18"/>
        <v>6</v>
      </c>
    </row>
    <row r="374" spans="1:8" x14ac:dyDescent="0.25">
      <c r="A374" s="715">
        <v>13</v>
      </c>
      <c r="B374" s="268"/>
      <c r="C374" s="268"/>
      <c r="D374" s="268"/>
      <c r="E374" s="268"/>
      <c r="F374" s="268"/>
      <c r="G374" s="268"/>
      <c r="H374" s="707">
        <f t="shared" si="18"/>
        <v>6</v>
      </c>
    </row>
    <row r="375" spans="1:8" x14ac:dyDescent="0.25">
      <c r="A375" s="715">
        <v>14</v>
      </c>
      <c r="B375" s="268"/>
      <c r="C375" s="268"/>
      <c r="D375" s="268"/>
      <c r="E375" s="268"/>
      <c r="F375" s="268"/>
      <c r="G375" s="268"/>
      <c r="H375" s="707">
        <f t="shared" si="18"/>
        <v>6</v>
      </c>
    </row>
    <row r="376" spans="1:8" x14ac:dyDescent="0.25">
      <c r="A376" s="715">
        <v>15</v>
      </c>
      <c r="B376" s="268"/>
      <c r="C376" s="268"/>
      <c r="D376" s="268"/>
      <c r="E376" s="268"/>
      <c r="F376" s="268"/>
      <c r="G376" s="268"/>
      <c r="H376" s="707">
        <f t="shared" si="18"/>
        <v>6</v>
      </c>
    </row>
    <row r="377" spans="1:8" x14ac:dyDescent="0.25">
      <c r="A377" s="715">
        <v>16</v>
      </c>
      <c r="B377" s="268"/>
      <c r="C377" s="268"/>
      <c r="D377" s="268"/>
      <c r="E377" s="268"/>
      <c r="F377" s="268"/>
      <c r="G377" s="268"/>
      <c r="H377" s="707">
        <f>H376+B377+F377-(C377+D377+G377)-E377</f>
        <v>6</v>
      </c>
    </row>
    <row r="378" spans="1:8" x14ac:dyDescent="0.25">
      <c r="A378" s="715">
        <v>17</v>
      </c>
      <c r="B378" s="268"/>
      <c r="C378" s="268"/>
      <c r="D378" s="268"/>
      <c r="E378" s="268"/>
      <c r="F378" s="268"/>
      <c r="G378" s="268"/>
      <c r="H378" s="707">
        <f t="shared" si="18"/>
        <v>6</v>
      </c>
    </row>
    <row r="379" spans="1:8" x14ac:dyDescent="0.25">
      <c r="A379" s="715">
        <v>18</v>
      </c>
      <c r="B379" s="268"/>
      <c r="C379" s="268"/>
      <c r="D379" s="268"/>
      <c r="E379" s="268"/>
      <c r="F379" s="268"/>
      <c r="G379" s="268"/>
      <c r="H379" s="707">
        <f t="shared" si="18"/>
        <v>6</v>
      </c>
    </row>
    <row r="380" spans="1:8" x14ac:dyDescent="0.25">
      <c r="A380" s="715">
        <v>19</v>
      </c>
      <c r="B380" s="268"/>
      <c r="C380" s="268"/>
      <c r="D380" s="268"/>
      <c r="E380" s="268"/>
      <c r="F380" s="268"/>
      <c r="G380" s="268"/>
      <c r="H380" s="707">
        <f t="shared" si="18"/>
        <v>6</v>
      </c>
    </row>
    <row r="381" spans="1:8" x14ac:dyDescent="0.25">
      <c r="A381" s="715">
        <v>20</v>
      </c>
      <c r="B381" s="268"/>
      <c r="C381" s="268"/>
      <c r="D381" s="268"/>
      <c r="E381" s="268"/>
      <c r="F381" s="268"/>
      <c r="G381" s="268"/>
      <c r="H381" s="707">
        <f t="shared" si="18"/>
        <v>6</v>
      </c>
    </row>
    <row r="382" spans="1:8" x14ac:dyDescent="0.25">
      <c r="A382" s="715">
        <v>21</v>
      </c>
      <c r="B382" s="268"/>
      <c r="C382" s="268"/>
      <c r="D382" s="268"/>
      <c r="E382" s="268"/>
      <c r="F382" s="268"/>
      <c r="G382" s="268"/>
      <c r="H382" s="707">
        <f t="shared" si="18"/>
        <v>6</v>
      </c>
    </row>
    <row r="383" spans="1:8" x14ac:dyDescent="0.25">
      <c r="A383" s="715">
        <v>22</v>
      </c>
      <c r="B383" s="268"/>
      <c r="C383" s="268"/>
      <c r="D383" s="268"/>
      <c r="E383" s="268"/>
      <c r="F383" s="268"/>
      <c r="G383" s="268"/>
      <c r="H383" s="707">
        <f t="shared" si="18"/>
        <v>6</v>
      </c>
    </row>
    <row r="384" spans="1:8" x14ac:dyDescent="0.25">
      <c r="A384" s="715">
        <v>23</v>
      </c>
      <c r="B384" s="268"/>
      <c r="C384" s="268"/>
      <c r="D384" s="268"/>
      <c r="E384" s="268"/>
      <c r="F384" s="268"/>
      <c r="G384" s="268"/>
      <c r="H384" s="707">
        <f t="shared" si="18"/>
        <v>6</v>
      </c>
    </row>
    <row r="385" spans="1:8" x14ac:dyDescent="0.25">
      <c r="A385" s="715">
        <v>24</v>
      </c>
      <c r="B385" s="268"/>
      <c r="C385" s="268"/>
      <c r="D385" s="268"/>
      <c r="E385" s="268"/>
      <c r="F385" s="268"/>
      <c r="G385" s="268"/>
      <c r="H385" s="707">
        <f t="shared" si="18"/>
        <v>6</v>
      </c>
    </row>
    <row r="386" spans="1:8" x14ac:dyDescent="0.25">
      <c r="A386" s="715">
        <v>25</v>
      </c>
      <c r="B386" s="268"/>
      <c r="C386" s="268"/>
      <c r="D386" s="268"/>
      <c r="E386" s="268"/>
      <c r="F386" s="268"/>
      <c r="G386" s="268"/>
      <c r="H386" s="707">
        <f t="shared" si="18"/>
        <v>6</v>
      </c>
    </row>
    <row r="387" spans="1:8" x14ac:dyDescent="0.25">
      <c r="A387" s="715">
        <v>26</v>
      </c>
      <c r="B387" s="268"/>
      <c r="C387" s="268"/>
      <c r="D387" s="268"/>
      <c r="E387" s="268"/>
      <c r="F387" s="268"/>
      <c r="G387" s="268"/>
      <c r="H387" s="707">
        <f t="shared" si="18"/>
        <v>6</v>
      </c>
    </row>
    <row r="388" spans="1:8" x14ac:dyDescent="0.25">
      <c r="A388" s="715">
        <v>27</v>
      </c>
      <c r="B388" s="268"/>
      <c r="C388" s="268"/>
      <c r="D388" s="268"/>
      <c r="E388" s="268"/>
      <c r="F388" s="268"/>
      <c r="G388" s="268"/>
      <c r="H388" s="707">
        <f t="shared" si="18"/>
        <v>6</v>
      </c>
    </row>
    <row r="389" spans="1:8" x14ac:dyDescent="0.25">
      <c r="A389" s="715">
        <v>28</v>
      </c>
      <c r="B389" s="268"/>
      <c r="C389" s="268"/>
      <c r="D389" s="268"/>
      <c r="E389" s="268"/>
      <c r="F389" s="268"/>
      <c r="G389" s="268"/>
      <c r="H389" s="707">
        <f t="shared" si="18"/>
        <v>6</v>
      </c>
    </row>
    <row r="390" spans="1:8" x14ac:dyDescent="0.25">
      <c r="A390" s="715">
        <v>29</v>
      </c>
      <c r="B390" s="268"/>
      <c r="C390" s="268"/>
      <c r="D390" s="268"/>
      <c r="E390" s="268"/>
      <c r="F390" s="268"/>
      <c r="G390" s="268"/>
      <c r="H390" s="707">
        <f t="shared" si="18"/>
        <v>6</v>
      </c>
    </row>
    <row r="391" spans="1:8" x14ac:dyDescent="0.25">
      <c r="A391" s="715">
        <v>30</v>
      </c>
      <c r="B391" s="268"/>
      <c r="C391" s="268"/>
      <c r="D391" s="268"/>
      <c r="E391" s="268"/>
      <c r="F391" s="268"/>
      <c r="G391" s="268"/>
      <c r="H391" s="707">
        <f t="shared" si="18"/>
        <v>6</v>
      </c>
    </row>
    <row r="392" spans="1:8" ht="15.75" thickBot="1" x14ac:dyDescent="0.3">
      <c r="A392" s="740">
        <v>31</v>
      </c>
      <c r="B392" s="528"/>
      <c r="C392" s="528"/>
      <c r="D392" s="528"/>
      <c r="E392" s="528"/>
      <c r="F392" s="528"/>
      <c r="G392" s="528"/>
      <c r="H392" s="707">
        <f t="shared" si="18"/>
        <v>6</v>
      </c>
    </row>
    <row r="393" spans="1:8" ht="15.75" thickBot="1" x14ac:dyDescent="0.3">
      <c r="A393" s="736" t="s">
        <v>35</v>
      </c>
      <c r="B393" s="718">
        <f>SUM(B362:B392)-E393</f>
        <v>0</v>
      </c>
      <c r="C393" s="718">
        <f t="shared" ref="C393:H393" si="19">SUM(C362:C392)</f>
        <v>0</v>
      </c>
      <c r="D393" s="718">
        <f t="shared" si="19"/>
        <v>0</v>
      </c>
      <c r="E393" s="718">
        <f t="shared" si="19"/>
        <v>0</v>
      </c>
      <c r="F393" s="718">
        <f t="shared" si="19"/>
        <v>0</v>
      </c>
      <c r="G393" s="718">
        <f t="shared" si="19"/>
        <v>0</v>
      </c>
      <c r="H393" s="719">
        <f t="shared" si="19"/>
        <v>186</v>
      </c>
    </row>
    <row r="396" spans="1:8" ht="36" x14ac:dyDescent="0.55000000000000004">
      <c r="A396" s="696" t="s">
        <v>1</v>
      </c>
      <c r="B396" s="696"/>
      <c r="C396" s="696"/>
      <c r="D396" s="696"/>
      <c r="E396" s="696"/>
      <c r="F396" s="696"/>
      <c r="G396" s="696"/>
      <c r="H396" s="696"/>
    </row>
    <row r="397" spans="1:8" ht="27" thickBot="1" x14ac:dyDescent="0.45">
      <c r="A397" s="697" t="s">
        <v>0</v>
      </c>
      <c r="B397" s="697"/>
      <c r="C397" s="697"/>
      <c r="D397" s="697"/>
      <c r="E397" s="697"/>
      <c r="F397" s="697"/>
      <c r="G397" s="697"/>
      <c r="H397" s="697"/>
    </row>
    <row r="398" spans="1:8" ht="15.75" x14ac:dyDescent="0.25">
      <c r="A398" s="698" t="s">
        <v>2</v>
      </c>
      <c r="B398" s="699" t="s">
        <v>3</v>
      </c>
      <c r="C398" s="694"/>
      <c r="D398" s="700" t="s">
        <v>52</v>
      </c>
      <c r="E398" s="732" t="s">
        <v>65</v>
      </c>
      <c r="F398" s="733"/>
      <c r="G398" s="699" t="s">
        <v>16</v>
      </c>
      <c r="H398" s="737" t="s">
        <v>66</v>
      </c>
    </row>
    <row r="399" spans="1:8" ht="15.75" x14ac:dyDescent="0.25">
      <c r="A399" s="704" t="s">
        <v>6</v>
      </c>
      <c r="B399" s="705"/>
      <c r="C399" s="705"/>
      <c r="D399" s="705"/>
      <c r="E399" s="705"/>
      <c r="F399" s="706"/>
      <c r="G399" s="709"/>
      <c r="H399" s="707">
        <f>H392</f>
        <v>6</v>
      </c>
    </row>
    <row r="400" spans="1:8" ht="15.75" x14ac:dyDescent="0.25">
      <c r="A400" s="708" t="s">
        <v>7</v>
      </c>
      <c r="B400" s="709"/>
      <c r="C400" s="709"/>
      <c r="D400" s="709"/>
      <c r="E400" s="709"/>
      <c r="F400" s="709"/>
      <c r="G400" s="709"/>
      <c r="H400" s="707">
        <v>27</v>
      </c>
    </row>
    <row r="401" spans="1:8" ht="51.75" thickBot="1" x14ac:dyDescent="0.3">
      <c r="A401" s="710" t="s">
        <v>8</v>
      </c>
      <c r="B401" s="734" t="s">
        <v>9</v>
      </c>
      <c r="C401" s="734" t="s">
        <v>10</v>
      </c>
      <c r="D401" s="734" t="s">
        <v>11</v>
      </c>
      <c r="E401" s="734" t="s">
        <v>12</v>
      </c>
      <c r="F401" s="734" t="s">
        <v>13</v>
      </c>
      <c r="G401" s="734" t="s">
        <v>14</v>
      </c>
      <c r="H401" s="735" t="s">
        <v>15</v>
      </c>
    </row>
    <row r="402" spans="1:8" x14ac:dyDescent="0.25">
      <c r="A402" s="713">
        <v>1</v>
      </c>
      <c r="B402" s="527"/>
      <c r="C402" s="527"/>
      <c r="D402" s="527"/>
      <c r="E402" s="527"/>
      <c r="F402" s="527"/>
      <c r="G402" s="527"/>
      <c r="H402" s="714">
        <f>H399+B402+F402-(C402+D402+G402)-E402</f>
        <v>6</v>
      </c>
    </row>
    <row r="403" spans="1:8" x14ac:dyDescent="0.25">
      <c r="A403" s="715">
        <v>2</v>
      </c>
      <c r="B403" s="268"/>
      <c r="C403" s="268"/>
      <c r="D403" s="268"/>
      <c r="E403" s="268"/>
      <c r="F403" s="268"/>
      <c r="G403" s="268"/>
      <c r="H403" s="707">
        <f>H402+B403+F403-(C403+D403+G403)-E403</f>
        <v>6</v>
      </c>
    </row>
    <row r="404" spans="1:8" x14ac:dyDescent="0.25">
      <c r="A404" s="715">
        <v>3</v>
      </c>
      <c r="B404" s="268"/>
      <c r="C404" s="268"/>
      <c r="D404" s="268"/>
      <c r="E404" s="268"/>
      <c r="F404" s="268"/>
      <c r="G404" s="268"/>
      <c r="H404" s="707">
        <f>H403+B404+F404-(C404+D404+G404)-E404</f>
        <v>6</v>
      </c>
    </row>
    <row r="405" spans="1:8" x14ac:dyDescent="0.25">
      <c r="A405" s="715">
        <v>4</v>
      </c>
      <c r="B405" s="268"/>
      <c r="C405" s="268"/>
      <c r="D405" s="268"/>
      <c r="E405" s="268"/>
      <c r="F405" s="268"/>
      <c r="G405" s="268"/>
      <c r="H405" s="707">
        <f t="shared" ref="H405:H431" si="20">H404+B405+F405-(C405+D405+G405)-E405</f>
        <v>6</v>
      </c>
    </row>
    <row r="406" spans="1:8" x14ac:dyDescent="0.25">
      <c r="A406" s="715">
        <v>5</v>
      </c>
      <c r="B406" s="268"/>
      <c r="C406" s="268"/>
      <c r="D406" s="268"/>
      <c r="E406" s="268"/>
      <c r="F406" s="268"/>
      <c r="G406" s="268"/>
      <c r="H406" s="707">
        <f t="shared" si="20"/>
        <v>6</v>
      </c>
    </row>
    <row r="407" spans="1:8" x14ac:dyDescent="0.25">
      <c r="A407" s="715">
        <v>6</v>
      </c>
      <c r="B407" s="268"/>
      <c r="C407" s="268"/>
      <c r="D407" s="268"/>
      <c r="E407" s="268"/>
      <c r="F407" s="268"/>
      <c r="G407" s="268"/>
      <c r="H407" s="707">
        <f t="shared" si="20"/>
        <v>6</v>
      </c>
    </row>
    <row r="408" spans="1:8" x14ac:dyDescent="0.25">
      <c r="A408" s="715">
        <v>7</v>
      </c>
      <c r="B408" s="268"/>
      <c r="C408" s="268"/>
      <c r="D408" s="268"/>
      <c r="E408" s="268"/>
      <c r="F408" s="268"/>
      <c r="G408" s="268"/>
      <c r="H408" s="707">
        <f t="shared" si="20"/>
        <v>6</v>
      </c>
    </row>
    <row r="409" spans="1:8" x14ac:dyDescent="0.25">
      <c r="A409" s="715">
        <v>8</v>
      </c>
      <c r="B409" s="268"/>
      <c r="C409" s="268"/>
      <c r="D409" s="268"/>
      <c r="E409" s="268"/>
      <c r="F409" s="268"/>
      <c r="G409" s="268"/>
      <c r="H409" s="707">
        <f t="shared" si="20"/>
        <v>6</v>
      </c>
    </row>
    <row r="410" spans="1:8" x14ac:dyDescent="0.25">
      <c r="A410" s="715">
        <v>9</v>
      </c>
      <c r="B410" s="268"/>
      <c r="C410" s="268"/>
      <c r="D410" s="268"/>
      <c r="E410" s="268"/>
      <c r="F410" s="268"/>
      <c r="G410" s="268"/>
      <c r="H410" s="707">
        <f t="shared" si="20"/>
        <v>6</v>
      </c>
    </row>
    <row r="411" spans="1:8" x14ac:dyDescent="0.25">
      <c r="A411" s="715">
        <v>10</v>
      </c>
      <c r="B411" s="268"/>
      <c r="C411" s="268"/>
      <c r="D411" s="268"/>
      <c r="E411" s="268"/>
      <c r="F411" s="268"/>
      <c r="G411" s="268"/>
      <c r="H411" s="707">
        <f t="shared" si="20"/>
        <v>6</v>
      </c>
    </row>
    <row r="412" spans="1:8" x14ac:dyDescent="0.25">
      <c r="A412" s="715">
        <v>11</v>
      </c>
      <c r="B412" s="268"/>
      <c r="C412" s="268"/>
      <c r="D412" s="268"/>
      <c r="E412" s="268"/>
      <c r="F412" s="268"/>
      <c r="G412" s="268"/>
      <c r="H412" s="707">
        <f t="shared" si="20"/>
        <v>6</v>
      </c>
    </row>
    <row r="413" spans="1:8" x14ac:dyDescent="0.25">
      <c r="A413" s="715">
        <v>12</v>
      </c>
      <c r="B413" s="268"/>
      <c r="C413" s="268"/>
      <c r="D413" s="268"/>
      <c r="E413" s="268"/>
      <c r="F413" s="268"/>
      <c r="G413" s="268"/>
      <c r="H413" s="707">
        <f t="shared" si="20"/>
        <v>6</v>
      </c>
    </row>
    <row r="414" spans="1:8" x14ac:dyDescent="0.25">
      <c r="A414" s="715">
        <v>13</v>
      </c>
      <c r="B414" s="268"/>
      <c r="C414" s="268"/>
      <c r="D414" s="268"/>
      <c r="E414" s="268"/>
      <c r="F414" s="268"/>
      <c r="G414" s="268"/>
      <c r="H414" s="707">
        <f t="shared" si="20"/>
        <v>6</v>
      </c>
    </row>
    <row r="415" spans="1:8" x14ac:dyDescent="0.25">
      <c r="A415" s="715">
        <v>14</v>
      </c>
      <c r="B415" s="268"/>
      <c r="C415" s="268"/>
      <c r="D415" s="268"/>
      <c r="E415" s="268"/>
      <c r="F415" s="268"/>
      <c r="G415" s="268"/>
      <c r="H415" s="707">
        <f t="shared" si="20"/>
        <v>6</v>
      </c>
    </row>
    <row r="416" spans="1:8" x14ac:dyDescent="0.25">
      <c r="A416" s="715">
        <v>15</v>
      </c>
      <c r="B416" s="268"/>
      <c r="C416" s="268"/>
      <c r="D416" s="268"/>
      <c r="E416" s="268"/>
      <c r="F416" s="268"/>
      <c r="G416" s="268"/>
      <c r="H416" s="707">
        <f t="shared" si="20"/>
        <v>6</v>
      </c>
    </row>
    <row r="417" spans="1:8" x14ac:dyDescent="0.25">
      <c r="A417" s="715">
        <v>16</v>
      </c>
      <c r="B417" s="268"/>
      <c r="C417" s="268"/>
      <c r="D417" s="268"/>
      <c r="E417" s="268"/>
      <c r="F417" s="268"/>
      <c r="G417" s="268"/>
      <c r="H417" s="707">
        <f t="shared" si="20"/>
        <v>6</v>
      </c>
    </row>
    <row r="418" spans="1:8" x14ac:dyDescent="0.25">
      <c r="A418" s="715">
        <v>17</v>
      </c>
      <c r="B418" s="268"/>
      <c r="C418" s="268"/>
      <c r="D418" s="268"/>
      <c r="E418" s="268"/>
      <c r="F418" s="268"/>
      <c r="G418" s="268"/>
      <c r="H418" s="707">
        <f t="shared" si="20"/>
        <v>6</v>
      </c>
    </row>
    <row r="419" spans="1:8" x14ac:dyDescent="0.25">
      <c r="A419" s="715">
        <v>18</v>
      </c>
      <c r="B419" s="268"/>
      <c r="C419" s="268"/>
      <c r="D419" s="268"/>
      <c r="E419" s="268"/>
      <c r="F419" s="268"/>
      <c r="G419" s="268"/>
      <c r="H419" s="707">
        <f t="shared" si="20"/>
        <v>6</v>
      </c>
    </row>
    <row r="420" spans="1:8" x14ac:dyDescent="0.25">
      <c r="A420" s="715">
        <v>19</v>
      </c>
      <c r="B420" s="268"/>
      <c r="C420" s="268"/>
      <c r="D420" s="268"/>
      <c r="E420" s="268"/>
      <c r="F420" s="268"/>
      <c r="G420" s="268"/>
      <c r="H420" s="707">
        <f t="shared" si="20"/>
        <v>6</v>
      </c>
    </row>
    <row r="421" spans="1:8" x14ac:dyDescent="0.25">
      <c r="A421" s="715">
        <v>20</v>
      </c>
      <c r="B421" s="268"/>
      <c r="C421" s="268"/>
      <c r="D421" s="268"/>
      <c r="E421" s="268"/>
      <c r="F421" s="268"/>
      <c r="G421" s="268"/>
      <c r="H421" s="707">
        <f t="shared" si="20"/>
        <v>6</v>
      </c>
    </row>
    <row r="422" spans="1:8" x14ac:dyDescent="0.25">
      <c r="A422" s="715">
        <v>21</v>
      </c>
      <c r="B422" s="268"/>
      <c r="C422" s="268"/>
      <c r="D422" s="268"/>
      <c r="E422" s="268"/>
      <c r="F422" s="268"/>
      <c r="G422" s="268"/>
      <c r="H422" s="707">
        <f t="shared" si="20"/>
        <v>6</v>
      </c>
    </row>
    <row r="423" spans="1:8" x14ac:dyDescent="0.25">
      <c r="A423" s="715">
        <v>22</v>
      </c>
      <c r="B423" s="268"/>
      <c r="C423" s="268"/>
      <c r="D423" s="268"/>
      <c r="E423" s="268"/>
      <c r="F423" s="268"/>
      <c r="G423" s="268"/>
      <c r="H423" s="707">
        <f t="shared" si="20"/>
        <v>6</v>
      </c>
    </row>
    <row r="424" spans="1:8" x14ac:dyDescent="0.25">
      <c r="A424" s="715">
        <v>23</v>
      </c>
      <c r="B424" s="268"/>
      <c r="C424" s="268"/>
      <c r="D424" s="268"/>
      <c r="E424" s="268"/>
      <c r="F424" s="268"/>
      <c r="G424" s="268"/>
      <c r="H424" s="707">
        <f t="shared" si="20"/>
        <v>6</v>
      </c>
    </row>
    <row r="425" spans="1:8" x14ac:dyDescent="0.25">
      <c r="A425" s="715">
        <v>24</v>
      </c>
      <c r="B425" s="268"/>
      <c r="C425" s="268"/>
      <c r="D425" s="268"/>
      <c r="E425" s="268"/>
      <c r="F425" s="268"/>
      <c r="G425" s="268"/>
      <c r="H425" s="707">
        <f t="shared" si="20"/>
        <v>6</v>
      </c>
    </row>
    <row r="426" spans="1:8" x14ac:dyDescent="0.25">
      <c r="A426" s="715">
        <v>25</v>
      </c>
      <c r="B426" s="268"/>
      <c r="C426" s="268"/>
      <c r="D426" s="268"/>
      <c r="E426" s="268"/>
      <c r="F426" s="268"/>
      <c r="G426" s="268"/>
      <c r="H426" s="707">
        <f t="shared" si="20"/>
        <v>6</v>
      </c>
    </row>
    <row r="427" spans="1:8" x14ac:dyDescent="0.25">
      <c r="A427" s="715">
        <v>26</v>
      </c>
      <c r="B427" s="268"/>
      <c r="C427" s="268"/>
      <c r="D427" s="268"/>
      <c r="E427" s="268"/>
      <c r="F427" s="268"/>
      <c r="G427" s="268"/>
      <c r="H427" s="707">
        <f t="shared" si="20"/>
        <v>6</v>
      </c>
    </row>
    <row r="428" spans="1:8" x14ac:dyDescent="0.25">
      <c r="A428" s="715">
        <v>27</v>
      </c>
      <c r="B428" s="268"/>
      <c r="C428" s="268"/>
      <c r="D428" s="268"/>
      <c r="E428" s="268"/>
      <c r="F428" s="268"/>
      <c r="G428" s="268"/>
      <c r="H428" s="707">
        <f t="shared" si="20"/>
        <v>6</v>
      </c>
    </row>
    <row r="429" spans="1:8" x14ac:dyDescent="0.25">
      <c r="A429" s="715">
        <v>28</v>
      </c>
      <c r="B429" s="268"/>
      <c r="C429" s="268"/>
      <c r="D429" s="268"/>
      <c r="E429" s="268"/>
      <c r="F429" s="268"/>
      <c r="G429" s="268"/>
      <c r="H429" s="707">
        <f t="shared" si="20"/>
        <v>6</v>
      </c>
    </row>
    <row r="430" spans="1:8" x14ac:dyDescent="0.25">
      <c r="A430" s="715">
        <v>29</v>
      </c>
      <c r="B430" s="268"/>
      <c r="C430" s="268"/>
      <c r="D430" s="268"/>
      <c r="E430" s="268"/>
      <c r="F430" s="268"/>
      <c r="G430" s="268"/>
      <c r="H430" s="707">
        <f t="shared" si="20"/>
        <v>6</v>
      </c>
    </row>
    <row r="431" spans="1:8" ht="15.75" thickBot="1" x14ac:dyDescent="0.3">
      <c r="A431" s="715">
        <v>30</v>
      </c>
      <c r="B431" s="268"/>
      <c r="C431" s="268"/>
      <c r="D431" s="268"/>
      <c r="E431" s="268"/>
      <c r="F431" s="268"/>
      <c r="G431" s="268"/>
      <c r="H431" s="707">
        <f t="shared" si="20"/>
        <v>6</v>
      </c>
    </row>
    <row r="432" spans="1:8" ht="15.75" thickBot="1" x14ac:dyDescent="0.3">
      <c r="A432" s="736" t="s">
        <v>35</v>
      </c>
      <c r="B432" s="718">
        <f>SUM(B402:B431)-E432</f>
        <v>0</v>
      </c>
      <c r="C432" s="718">
        <f t="shared" ref="C432:H432" si="21">SUM(C402:C431)</f>
        <v>0</v>
      </c>
      <c r="D432" s="718">
        <f t="shared" si="21"/>
        <v>0</v>
      </c>
      <c r="E432" s="718">
        <f t="shared" si="21"/>
        <v>0</v>
      </c>
      <c r="F432" s="718">
        <f t="shared" si="21"/>
        <v>0</v>
      </c>
      <c r="G432" s="718">
        <f t="shared" si="21"/>
        <v>0</v>
      </c>
      <c r="H432" s="719">
        <f t="shared" si="21"/>
        <v>180</v>
      </c>
    </row>
    <row r="435" spans="1:8" ht="36" x14ac:dyDescent="0.55000000000000004">
      <c r="A435" s="696" t="s">
        <v>1</v>
      </c>
      <c r="B435" s="696"/>
      <c r="C435" s="696"/>
      <c r="D435" s="696"/>
      <c r="E435" s="696"/>
      <c r="F435" s="696"/>
      <c r="G435" s="696"/>
      <c r="H435" s="696"/>
    </row>
    <row r="436" spans="1:8" ht="27" thickBot="1" x14ac:dyDescent="0.45">
      <c r="A436" s="697" t="s">
        <v>0</v>
      </c>
      <c r="B436" s="697"/>
      <c r="C436" s="697"/>
      <c r="D436" s="697"/>
      <c r="E436" s="697"/>
      <c r="F436" s="697"/>
      <c r="G436" s="697"/>
      <c r="H436" s="697"/>
    </row>
    <row r="437" spans="1:8" ht="15.75" x14ac:dyDescent="0.25">
      <c r="A437" s="698" t="s">
        <v>2</v>
      </c>
      <c r="B437" s="699" t="s">
        <v>3</v>
      </c>
      <c r="C437" s="694"/>
      <c r="D437" s="700" t="s">
        <v>52</v>
      </c>
      <c r="E437" s="732" t="s">
        <v>65</v>
      </c>
      <c r="F437" s="733"/>
      <c r="G437" s="699" t="s">
        <v>16</v>
      </c>
      <c r="H437" s="737" t="s">
        <v>67</v>
      </c>
    </row>
    <row r="438" spans="1:8" ht="15.75" x14ac:dyDescent="0.25">
      <c r="A438" s="704" t="s">
        <v>6</v>
      </c>
      <c r="B438" s="705"/>
      <c r="C438" s="705"/>
      <c r="D438" s="705"/>
      <c r="E438" s="705"/>
      <c r="F438" s="706"/>
      <c r="G438" s="709"/>
      <c r="H438" s="707">
        <f>H431</f>
        <v>6</v>
      </c>
    </row>
    <row r="439" spans="1:8" ht="15.75" x14ac:dyDescent="0.25">
      <c r="A439" s="708" t="s">
        <v>7</v>
      </c>
      <c r="B439" s="709"/>
      <c r="C439" s="709"/>
      <c r="D439" s="709"/>
      <c r="E439" s="709"/>
      <c r="F439" s="709"/>
      <c r="G439" s="709"/>
      <c r="H439" s="707">
        <v>27</v>
      </c>
    </row>
    <row r="440" spans="1:8" ht="51.75" thickBot="1" x14ac:dyDescent="0.3">
      <c r="A440" s="710" t="s">
        <v>8</v>
      </c>
      <c r="B440" s="734" t="s">
        <v>9</v>
      </c>
      <c r="C440" s="734" t="s">
        <v>10</v>
      </c>
      <c r="D440" s="734" t="s">
        <v>11</v>
      </c>
      <c r="E440" s="734" t="s">
        <v>12</v>
      </c>
      <c r="F440" s="734" t="s">
        <v>13</v>
      </c>
      <c r="G440" s="734" t="s">
        <v>14</v>
      </c>
      <c r="H440" s="735" t="s">
        <v>15</v>
      </c>
    </row>
    <row r="441" spans="1:8" x14ac:dyDescent="0.25">
      <c r="A441" s="713">
        <v>1</v>
      </c>
      <c r="B441" s="527"/>
      <c r="C441" s="527"/>
      <c r="D441" s="527"/>
      <c r="E441" s="527"/>
      <c r="F441" s="527"/>
      <c r="G441" s="527"/>
      <c r="H441" s="714">
        <f>H438+B441+F441-(C441+D441+G441)-E441</f>
        <v>6</v>
      </c>
    </row>
    <row r="442" spans="1:8" x14ac:dyDescent="0.25">
      <c r="A442" s="715">
        <v>2</v>
      </c>
      <c r="B442" s="268"/>
      <c r="C442" s="268"/>
      <c r="D442" s="268"/>
      <c r="E442" s="268"/>
      <c r="F442" s="268"/>
      <c r="G442" s="268"/>
      <c r="H442" s="707">
        <f>H441+B442+F442-(C442+D442+G442)-E442</f>
        <v>6</v>
      </c>
    </row>
    <row r="443" spans="1:8" x14ac:dyDescent="0.25">
      <c r="A443" s="715">
        <v>3</v>
      </c>
      <c r="B443" s="268"/>
      <c r="C443" s="268"/>
      <c r="D443" s="268"/>
      <c r="E443" s="268"/>
      <c r="F443" s="268"/>
      <c r="G443" s="268"/>
      <c r="H443" s="707">
        <f>H442+B443+F443-(C443+D443+G443)-E443</f>
        <v>6</v>
      </c>
    </row>
    <row r="444" spans="1:8" x14ac:dyDescent="0.25">
      <c r="A444" s="715">
        <v>4</v>
      </c>
      <c r="B444" s="268"/>
      <c r="C444" s="268"/>
      <c r="D444" s="268"/>
      <c r="E444" s="268"/>
      <c r="F444" s="268"/>
      <c r="G444" s="268"/>
      <c r="H444" s="707">
        <f t="shared" ref="H444:H471" si="22">H443+B444+F444-(C444+D444+G444)-E444</f>
        <v>6</v>
      </c>
    </row>
    <row r="445" spans="1:8" x14ac:dyDescent="0.25">
      <c r="A445" s="715">
        <v>5</v>
      </c>
      <c r="B445" s="268"/>
      <c r="C445" s="268"/>
      <c r="D445" s="268"/>
      <c r="E445" s="268"/>
      <c r="F445" s="268"/>
      <c r="G445" s="268"/>
      <c r="H445" s="707">
        <f t="shared" si="22"/>
        <v>6</v>
      </c>
    </row>
    <row r="446" spans="1:8" x14ac:dyDescent="0.25">
      <c r="A446" s="715">
        <v>6</v>
      </c>
      <c r="B446" s="268"/>
      <c r="C446" s="268"/>
      <c r="D446" s="268"/>
      <c r="E446" s="268"/>
      <c r="F446" s="268"/>
      <c r="G446" s="268"/>
      <c r="H446" s="707">
        <f t="shared" si="22"/>
        <v>6</v>
      </c>
    </row>
    <row r="447" spans="1:8" x14ac:dyDescent="0.25">
      <c r="A447" s="715">
        <v>7</v>
      </c>
      <c r="B447" s="268"/>
      <c r="C447" s="268"/>
      <c r="D447" s="268"/>
      <c r="E447" s="268"/>
      <c r="F447" s="268"/>
      <c r="G447" s="268"/>
      <c r="H447" s="707">
        <f t="shared" si="22"/>
        <v>6</v>
      </c>
    </row>
    <row r="448" spans="1:8" x14ac:dyDescent="0.25">
      <c r="A448" s="715">
        <v>8</v>
      </c>
      <c r="B448" s="268"/>
      <c r="C448" s="268"/>
      <c r="D448" s="268"/>
      <c r="E448" s="268"/>
      <c r="F448" s="268"/>
      <c r="G448" s="268"/>
      <c r="H448" s="707">
        <f t="shared" si="22"/>
        <v>6</v>
      </c>
    </row>
    <row r="449" spans="1:8" x14ac:dyDescent="0.25">
      <c r="A449" s="715">
        <v>9</v>
      </c>
      <c r="B449" s="268"/>
      <c r="C449" s="268"/>
      <c r="D449" s="268"/>
      <c r="E449" s="268"/>
      <c r="F449" s="268"/>
      <c r="G449" s="268"/>
      <c r="H449" s="707">
        <f t="shared" si="22"/>
        <v>6</v>
      </c>
    </row>
    <row r="450" spans="1:8" x14ac:dyDescent="0.25">
      <c r="A450" s="715">
        <v>10</v>
      </c>
      <c r="B450" s="268"/>
      <c r="C450" s="268"/>
      <c r="D450" s="268"/>
      <c r="E450" s="268"/>
      <c r="F450" s="268"/>
      <c r="G450" s="268"/>
      <c r="H450" s="707">
        <f t="shared" si="22"/>
        <v>6</v>
      </c>
    </row>
    <row r="451" spans="1:8" x14ac:dyDescent="0.25">
      <c r="A451" s="715">
        <v>11</v>
      </c>
      <c r="B451" s="268"/>
      <c r="C451" s="268"/>
      <c r="D451" s="268"/>
      <c r="E451" s="268"/>
      <c r="F451" s="268"/>
      <c r="G451" s="268"/>
      <c r="H451" s="707">
        <f t="shared" si="22"/>
        <v>6</v>
      </c>
    </row>
    <row r="452" spans="1:8" x14ac:dyDescent="0.25">
      <c r="A452" s="715">
        <v>12</v>
      </c>
      <c r="B452" s="268"/>
      <c r="C452" s="268"/>
      <c r="D452" s="268"/>
      <c r="E452" s="268"/>
      <c r="F452" s="268"/>
      <c r="G452" s="268"/>
      <c r="H452" s="707">
        <f t="shared" si="22"/>
        <v>6</v>
      </c>
    </row>
    <row r="453" spans="1:8" x14ac:dyDescent="0.25">
      <c r="A453" s="715">
        <v>13</v>
      </c>
      <c r="B453" s="268"/>
      <c r="C453" s="268"/>
      <c r="D453" s="268"/>
      <c r="E453" s="268"/>
      <c r="F453" s="268"/>
      <c r="G453" s="268"/>
      <c r="H453" s="707">
        <f t="shared" si="22"/>
        <v>6</v>
      </c>
    </row>
    <row r="454" spans="1:8" x14ac:dyDescent="0.25">
      <c r="A454" s="715">
        <v>14</v>
      </c>
      <c r="B454" s="268"/>
      <c r="C454" s="268"/>
      <c r="D454" s="268"/>
      <c r="E454" s="268"/>
      <c r="F454" s="268"/>
      <c r="G454" s="268"/>
      <c r="H454" s="707">
        <f t="shared" si="22"/>
        <v>6</v>
      </c>
    </row>
    <row r="455" spans="1:8" x14ac:dyDescent="0.25">
      <c r="A455" s="715">
        <v>15</v>
      </c>
      <c r="B455" s="268"/>
      <c r="C455" s="268"/>
      <c r="D455" s="268"/>
      <c r="E455" s="268"/>
      <c r="F455" s="268"/>
      <c r="G455" s="268"/>
      <c r="H455" s="707">
        <f t="shared" si="22"/>
        <v>6</v>
      </c>
    </row>
    <row r="456" spans="1:8" x14ac:dyDescent="0.25">
      <c r="A456" s="715">
        <v>16</v>
      </c>
      <c r="B456" s="268"/>
      <c r="C456" s="268"/>
      <c r="D456" s="268"/>
      <c r="E456" s="268"/>
      <c r="F456" s="268"/>
      <c r="G456" s="268"/>
      <c r="H456" s="707">
        <f t="shared" si="22"/>
        <v>6</v>
      </c>
    </row>
    <row r="457" spans="1:8" x14ac:dyDescent="0.25">
      <c r="A457" s="715">
        <v>17</v>
      </c>
      <c r="B457" s="268"/>
      <c r="C457" s="268"/>
      <c r="D457" s="268"/>
      <c r="E457" s="268"/>
      <c r="F457" s="268"/>
      <c r="G457" s="268"/>
      <c r="H457" s="707">
        <f t="shared" si="22"/>
        <v>6</v>
      </c>
    </row>
    <row r="458" spans="1:8" x14ac:dyDescent="0.25">
      <c r="A458" s="715">
        <v>18</v>
      </c>
      <c r="B458" s="268"/>
      <c r="C458" s="268"/>
      <c r="D458" s="268"/>
      <c r="E458" s="268"/>
      <c r="F458" s="268"/>
      <c r="G458" s="268"/>
      <c r="H458" s="707">
        <f t="shared" si="22"/>
        <v>6</v>
      </c>
    </row>
    <row r="459" spans="1:8" x14ac:dyDescent="0.25">
      <c r="A459" s="715">
        <v>19</v>
      </c>
      <c r="B459" s="268"/>
      <c r="C459" s="268"/>
      <c r="D459" s="268"/>
      <c r="E459" s="268"/>
      <c r="F459" s="268"/>
      <c r="G459" s="268"/>
      <c r="H459" s="707">
        <f t="shared" si="22"/>
        <v>6</v>
      </c>
    </row>
    <row r="460" spans="1:8" x14ac:dyDescent="0.25">
      <c r="A460" s="715">
        <v>20</v>
      </c>
      <c r="B460" s="268"/>
      <c r="C460" s="268"/>
      <c r="D460" s="268"/>
      <c r="E460" s="268"/>
      <c r="F460" s="268"/>
      <c r="G460" s="268"/>
      <c r="H460" s="707">
        <f t="shared" si="22"/>
        <v>6</v>
      </c>
    </row>
    <row r="461" spans="1:8" x14ac:dyDescent="0.25">
      <c r="A461" s="715">
        <v>21</v>
      </c>
      <c r="B461" s="268"/>
      <c r="C461" s="268"/>
      <c r="D461" s="268"/>
      <c r="E461" s="268"/>
      <c r="F461" s="268"/>
      <c r="G461" s="268"/>
      <c r="H461" s="707">
        <f t="shared" si="22"/>
        <v>6</v>
      </c>
    </row>
    <row r="462" spans="1:8" x14ac:dyDescent="0.25">
      <c r="A462" s="715">
        <v>22</v>
      </c>
      <c r="B462" s="268"/>
      <c r="C462" s="268"/>
      <c r="D462" s="268"/>
      <c r="E462" s="268"/>
      <c r="F462" s="268"/>
      <c r="G462" s="268"/>
      <c r="H462" s="707">
        <f t="shared" si="22"/>
        <v>6</v>
      </c>
    </row>
    <row r="463" spans="1:8" x14ac:dyDescent="0.25">
      <c r="A463" s="715">
        <v>23</v>
      </c>
      <c r="B463" s="268"/>
      <c r="C463" s="268"/>
      <c r="D463" s="268"/>
      <c r="E463" s="268"/>
      <c r="F463" s="268"/>
      <c r="G463" s="268"/>
      <c r="H463" s="707">
        <f t="shared" si="22"/>
        <v>6</v>
      </c>
    </row>
    <row r="464" spans="1:8" x14ac:dyDescent="0.25">
      <c r="A464" s="715">
        <v>24</v>
      </c>
      <c r="B464" s="268"/>
      <c r="C464" s="268"/>
      <c r="D464" s="268"/>
      <c r="E464" s="268"/>
      <c r="F464" s="268"/>
      <c r="G464" s="268"/>
      <c r="H464" s="707">
        <f t="shared" si="22"/>
        <v>6</v>
      </c>
    </row>
    <row r="465" spans="1:8" x14ac:dyDescent="0.25">
      <c r="A465" s="715">
        <v>25</v>
      </c>
      <c r="B465" s="268"/>
      <c r="C465" s="268"/>
      <c r="D465" s="268"/>
      <c r="E465" s="268"/>
      <c r="F465" s="268"/>
      <c r="G465" s="268"/>
      <c r="H465" s="707">
        <f t="shared" si="22"/>
        <v>6</v>
      </c>
    </row>
    <row r="466" spans="1:8" x14ac:dyDescent="0.25">
      <c r="A466" s="715">
        <v>26</v>
      </c>
      <c r="B466" s="268"/>
      <c r="C466" s="268"/>
      <c r="D466" s="268"/>
      <c r="E466" s="268"/>
      <c r="F466" s="268"/>
      <c r="G466" s="268"/>
      <c r="H466" s="707">
        <f t="shared" si="22"/>
        <v>6</v>
      </c>
    </row>
    <row r="467" spans="1:8" x14ac:dyDescent="0.25">
      <c r="A467" s="715">
        <v>27</v>
      </c>
      <c r="B467" s="268"/>
      <c r="C467" s="268"/>
      <c r="D467" s="268"/>
      <c r="E467" s="268"/>
      <c r="F467" s="268"/>
      <c r="G467" s="268"/>
      <c r="H467" s="707">
        <f t="shared" si="22"/>
        <v>6</v>
      </c>
    </row>
    <row r="468" spans="1:8" x14ac:dyDescent="0.25">
      <c r="A468" s="715">
        <v>28</v>
      </c>
      <c r="B468" s="268"/>
      <c r="C468" s="268"/>
      <c r="D468" s="268"/>
      <c r="E468" s="268"/>
      <c r="F468" s="268"/>
      <c r="G468" s="268"/>
      <c r="H468" s="707">
        <f t="shared" si="22"/>
        <v>6</v>
      </c>
    </row>
    <row r="469" spans="1:8" x14ac:dyDescent="0.25">
      <c r="A469" s="715">
        <v>29</v>
      </c>
      <c r="B469" s="268"/>
      <c r="C469" s="268"/>
      <c r="D469" s="268"/>
      <c r="E469" s="268"/>
      <c r="F469" s="268"/>
      <c r="G469" s="268"/>
      <c r="H469" s="707">
        <f t="shared" si="22"/>
        <v>6</v>
      </c>
    </row>
    <row r="470" spans="1:8" x14ac:dyDescent="0.25">
      <c r="A470" s="715">
        <v>30</v>
      </c>
      <c r="B470" s="268"/>
      <c r="C470" s="268"/>
      <c r="D470" s="268"/>
      <c r="E470" s="268"/>
      <c r="F470" s="268"/>
      <c r="G470" s="268"/>
      <c r="H470" s="707">
        <f t="shared" si="22"/>
        <v>6</v>
      </c>
    </row>
    <row r="471" spans="1:8" ht="15.75" thickBot="1" x14ac:dyDescent="0.3">
      <c r="A471" s="740">
        <v>31</v>
      </c>
      <c r="B471" s="528"/>
      <c r="C471" s="528"/>
      <c r="D471" s="528"/>
      <c r="E471" s="528"/>
      <c r="F471" s="528"/>
      <c r="G471" s="528"/>
      <c r="H471" s="707">
        <f t="shared" si="22"/>
        <v>6</v>
      </c>
    </row>
    <row r="472" spans="1:8" ht="15.75" thickBot="1" x14ac:dyDescent="0.3">
      <c r="A472" s="736" t="s">
        <v>35</v>
      </c>
      <c r="B472" s="718">
        <f>SUM(B441:B471)-E472</f>
        <v>0</v>
      </c>
      <c r="C472" s="718">
        <f t="shared" ref="C472:H472" si="23">SUM(C441:C471)</f>
        <v>0</v>
      </c>
      <c r="D472" s="718">
        <f t="shared" si="23"/>
        <v>0</v>
      </c>
      <c r="E472" s="718">
        <f t="shared" si="23"/>
        <v>0</v>
      </c>
      <c r="F472" s="718">
        <f t="shared" si="23"/>
        <v>0</v>
      </c>
      <c r="G472" s="718">
        <f t="shared" si="23"/>
        <v>0</v>
      </c>
      <c r="H472" s="719">
        <f t="shared" si="23"/>
        <v>186</v>
      </c>
    </row>
  </sheetData>
  <sheetProtection formatCells="0"/>
  <mergeCells count="48">
    <mergeCell ref="A436:H436"/>
    <mergeCell ref="E437:F437"/>
    <mergeCell ref="A438:F438"/>
    <mergeCell ref="A396:H396"/>
    <mergeCell ref="A397:H397"/>
    <mergeCell ref="E398:F398"/>
    <mergeCell ref="A399:F399"/>
    <mergeCell ref="A435:H435"/>
    <mergeCell ref="A356:H356"/>
    <mergeCell ref="A357:H357"/>
    <mergeCell ref="E358:F358"/>
    <mergeCell ref="A359:F359"/>
    <mergeCell ref="A317:H317"/>
    <mergeCell ref="A318:H318"/>
    <mergeCell ref="E319:F319"/>
    <mergeCell ref="A320:G320"/>
    <mergeCell ref="A277:H277"/>
    <mergeCell ref="A278:H278"/>
    <mergeCell ref="E279:F279"/>
    <mergeCell ref="A280:G280"/>
    <mergeCell ref="A79:H79"/>
    <mergeCell ref="A80:H80"/>
    <mergeCell ref="E81:F81"/>
    <mergeCell ref="A82:F82"/>
    <mergeCell ref="A237:H237"/>
    <mergeCell ref="A238:H238"/>
    <mergeCell ref="E239:F239"/>
    <mergeCell ref="A240:G240"/>
    <mergeCell ref="A119:H119"/>
    <mergeCell ref="A120:H120"/>
    <mergeCell ref="A122:F122"/>
    <mergeCell ref="E121:F121"/>
    <mergeCell ref="A198:H198"/>
    <mergeCell ref="A199:H199"/>
    <mergeCell ref="E200:F200"/>
    <mergeCell ref="A201:F201"/>
    <mergeCell ref="A158:H158"/>
    <mergeCell ref="A159:H159"/>
    <mergeCell ref="E160:F160"/>
    <mergeCell ref="A161:F161"/>
    <mergeCell ref="A42:H42"/>
    <mergeCell ref="E43:F43"/>
    <mergeCell ref="A44:F44"/>
    <mergeCell ref="A1:H1"/>
    <mergeCell ref="A2:H2"/>
    <mergeCell ref="E3:F3"/>
    <mergeCell ref="A41:H41"/>
    <mergeCell ref="A4:G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8" tint="-0.249977111117893"/>
  </sheetPr>
  <dimension ref="A1:K472"/>
  <sheetViews>
    <sheetView topLeftCell="A436" zoomScale="85" zoomScaleNormal="85" workbookViewId="0">
      <selection activeCell="D472" sqref="D472"/>
    </sheetView>
  </sheetViews>
  <sheetFormatPr defaultRowHeight="15" x14ac:dyDescent="0.25"/>
  <cols>
    <col min="2" max="2" width="13.7109375" customWidth="1"/>
    <col min="3" max="3" width="13.140625" customWidth="1"/>
    <col min="4" max="4" width="11.140625" customWidth="1"/>
    <col min="5" max="5" width="10.42578125" customWidth="1"/>
    <col min="6" max="6" width="11.5703125" customWidth="1"/>
    <col min="7" max="7" width="11.7109375" customWidth="1"/>
    <col min="8" max="8" width="13.5703125" customWidth="1"/>
  </cols>
  <sheetData>
    <row r="1" spans="1:8" ht="36" x14ac:dyDescent="0.55000000000000004">
      <c r="A1" s="605" t="s">
        <v>1</v>
      </c>
      <c r="B1" s="605"/>
      <c r="C1" s="605"/>
      <c r="D1" s="605"/>
      <c r="E1" s="605"/>
      <c r="F1" s="605"/>
      <c r="G1" s="605"/>
      <c r="H1" s="605"/>
    </row>
    <row r="2" spans="1:8" ht="26.25" x14ac:dyDescent="0.4">
      <c r="A2" s="606" t="s">
        <v>0</v>
      </c>
      <c r="B2" s="606"/>
      <c r="C2" s="606"/>
      <c r="D2" s="606"/>
      <c r="E2" s="606"/>
      <c r="F2" s="606"/>
      <c r="G2" s="606"/>
      <c r="H2" s="606"/>
    </row>
    <row r="3" spans="1:8" ht="15.75" x14ac:dyDescent="0.25">
      <c r="A3" s="4" t="s">
        <v>19</v>
      </c>
      <c r="B3" s="4" t="s">
        <v>3</v>
      </c>
      <c r="C3" s="5"/>
      <c r="D3" s="1" t="s">
        <v>18</v>
      </c>
      <c r="E3" s="612" t="s">
        <v>38</v>
      </c>
      <c r="F3" s="613"/>
      <c r="G3" s="4" t="s">
        <v>16</v>
      </c>
      <c r="H3" s="6" t="s">
        <v>17</v>
      </c>
    </row>
    <row r="4" spans="1:8" ht="15.75" x14ac:dyDescent="0.25">
      <c r="A4" s="609" t="s">
        <v>6</v>
      </c>
      <c r="B4" s="610"/>
      <c r="C4" s="610"/>
      <c r="D4" s="610"/>
      <c r="E4" s="610"/>
      <c r="F4" s="611"/>
      <c r="G4" s="1"/>
      <c r="H4" s="2">
        <v>12</v>
      </c>
    </row>
    <row r="5" spans="1:8" ht="15.75" x14ac:dyDescent="0.25">
      <c r="A5" s="3" t="s">
        <v>7</v>
      </c>
      <c r="B5" s="1"/>
      <c r="C5" s="1"/>
      <c r="D5" s="1"/>
      <c r="E5" s="1"/>
      <c r="F5" s="1"/>
      <c r="G5" s="1"/>
      <c r="H5" s="2">
        <v>20</v>
      </c>
    </row>
    <row r="6" spans="1:8" ht="51" x14ac:dyDescent="0.25">
      <c r="A6" s="7" t="s">
        <v>8</v>
      </c>
      <c r="B6" s="9" t="s">
        <v>9</v>
      </c>
      <c r="C6" s="9" t="s">
        <v>10</v>
      </c>
      <c r="D6" s="9" t="s">
        <v>11</v>
      </c>
      <c r="E6" s="9" t="s">
        <v>12</v>
      </c>
      <c r="F6" s="9" t="s">
        <v>13</v>
      </c>
      <c r="G6" s="9" t="s">
        <v>14</v>
      </c>
      <c r="H6" s="8" t="s">
        <v>15</v>
      </c>
    </row>
    <row r="7" spans="1:8" x14ac:dyDescent="0.25">
      <c r="A7" s="11">
        <v>1</v>
      </c>
      <c r="B7" s="5">
        <v>1</v>
      </c>
      <c r="C7" s="5">
        <v>5</v>
      </c>
      <c r="D7" s="5"/>
      <c r="E7" s="5"/>
      <c r="F7" s="5"/>
      <c r="G7" s="5"/>
      <c r="H7" s="5">
        <f>H4+B7+F7-(C7+D7+G7)-E7</f>
        <v>8</v>
      </c>
    </row>
    <row r="8" spans="1:8" x14ac:dyDescent="0.25">
      <c r="A8" s="11">
        <v>2</v>
      </c>
      <c r="B8" s="5"/>
      <c r="C8" s="5">
        <v>3</v>
      </c>
      <c r="D8" s="5"/>
      <c r="E8" s="5"/>
      <c r="F8" s="5"/>
      <c r="G8" s="5">
        <v>1</v>
      </c>
      <c r="H8" s="5">
        <f>H7+B8+F8-(C8+D8+G8)-E8</f>
        <v>4</v>
      </c>
    </row>
    <row r="9" spans="1:8" x14ac:dyDescent="0.25">
      <c r="A9" s="11">
        <v>3</v>
      </c>
      <c r="B9" s="5">
        <v>3</v>
      </c>
      <c r="C9" s="5">
        <v>2</v>
      </c>
      <c r="D9" s="5"/>
      <c r="E9" s="5"/>
      <c r="F9" s="5"/>
      <c r="G9" s="5"/>
      <c r="H9" s="5">
        <f t="shared" ref="H9:H37" si="0">H8+B9+F9-(C9+D9+G9)-E9</f>
        <v>5</v>
      </c>
    </row>
    <row r="10" spans="1:8" x14ac:dyDescent="0.25">
      <c r="A10" s="11">
        <v>4</v>
      </c>
      <c r="B10" s="5">
        <v>2</v>
      </c>
      <c r="C10" s="5">
        <v>1</v>
      </c>
      <c r="D10" s="5"/>
      <c r="E10" s="5"/>
      <c r="F10" s="5"/>
      <c r="G10" s="5"/>
      <c r="H10" s="5">
        <f t="shared" si="0"/>
        <v>6</v>
      </c>
    </row>
    <row r="11" spans="1:8" x14ac:dyDescent="0.25">
      <c r="A11" s="11">
        <v>5</v>
      </c>
      <c r="B11" s="5">
        <v>2</v>
      </c>
      <c r="C11" s="5">
        <v>2</v>
      </c>
      <c r="D11" s="5"/>
      <c r="E11" s="5"/>
      <c r="F11" s="5"/>
      <c r="G11" s="5"/>
      <c r="H11" s="5">
        <f t="shared" si="0"/>
        <v>6</v>
      </c>
    </row>
    <row r="12" spans="1:8" x14ac:dyDescent="0.25">
      <c r="A12" s="11">
        <v>6</v>
      </c>
      <c r="B12" s="5">
        <v>6</v>
      </c>
      <c r="C12" s="5">
        <v>1</v>
      </c>
      <c r="D12" s="5"/>
      <c r="E12" s="5"/>
      <c r="F12" s="5"/>
      <c r="G12" s="5"/>
      <c r="H12" s="5">
        <f t="shared" si="0"/>
        <v>11</v>
      </c>
    </row>
    <row r="13" spans="1:8" x14ac:dyDescent="0.25">
      <c r="A13" s="11">
        <v>7</v>
      </c>
      <c r="B13" s="5">
        <v>2</v>
      </c>
      <c r="C13" s="5">
        <v>5</v>
      </c>
      <c r="D13" s="5"/>
      <c r="E13" s="5"/>
      <c r="F13" s="5"/>
      <c r="G13" s="5"/>
      <c r="H13" s="5">
        <f t="shared" si="0"/>
        <v>8</v>
      </c>
    </row>
    <row r="14" spans="1:8" x14ac:dyDescent="0.25">
      <c r="A14" s="11">
        <v>8</v>
      </c>
      <c r="B14" s="5">
        <v>2</v>
      </c>
      <c r="C14" s="5"/>
      <c r="D14" s="5"/>
      <c r="E14" s="5"/>
      <c r="F14" s="5"/>
      <c r="G14" s="5"/>
      <c r="H14" s="5">
        <f t="shared" si="0"/>
        <v>10</v>
      </c>
    </row>
    <row r="15" spans="1:8" x14ac:dyDescent="0.25">
      <c r="A15" s="11">
        <v>9</v>
      </c>
      <c r="B15" s="5">
        <v>2</v>
      </c>
      <c r="C15" s="5">
        <v>3</v>
      </c>
      <c r="D15" s="5"/>
      <c r="E15" s="5"/>
      <c r="F15" s="5"/>
      <c r="G15" s="5"/>
      <c r="H15" s="5">
        <f t="shared" si="0"/>
        <v>9</v>
      </c>
    </row>
    <row r="16" spans="1:8" x14ac:dyDescent="0.25">
      <c r="A16" s="11">
        <v>10</v>
      </c>
      <c r="B16" s="5">
        <v>2</v>
      </c>
      <c r="C16" s="5">
        <v>3</v>
      </c>
      <c r="D16" s="5"/>
      <c r="E16" s="5"/>
      <c r="F16" s="5"/>
      <c r="G16" s="5">
        <v>1</v>
      </c>
      <c r="H16" s="5">
        <f t="shared" si="0"/>
        <v>7</v>
      </c>
    </row>
    <row r="17" spans="1:8" x14ac:dyDescent="0.25">
      <c r="A17" s="11">
        <v>11</v>
      </c>
      <c r="B17" s="5"/>
      <c r="C17" s="5">
        <v>2</v>
      </c>
      <c r="D17" s="5"/>
      <c r="E17" s="5"/>
      <c r="F17" s="5"/>
      <c r="G17" s="5"/>
      <c r="H17" s="5">
        <f t="shared" si="0"/>
        <v>5</v>
      </c>
    </row>
    <row r="18" spans="1:8" x14ac:dyDescent="0.25">
      <c r="A18" s="11">
        <v>12</v>
      </c>
      <c r="B18" s="5">
        <v>2</v>
      </c>
      <c r="C18" s="5">
        <v>2</v>
      </c>
      <c r="D18" s="5"/>
      <c r="E18" s="5"/>
      <c r="F18" s="5"/>
      <c r="G18" s="5"/>
      <c r="H18" s="5">
        <f t="shared" si="0"/>
        <v>5</v>
      </c>
    </row>
    <row r="19" spans="1:8" x14ac:dyDescent="0.25">
      <c r="A19" s="11">
        <v>13</v>
      </c>
      <c r="B19" s="5">
        <v>2</v>
      </c>
      <c r="C19" s="5">
        <v>2</v>
      </c>
      <c r="D19" s="5"/>
      <c r="E19" s="5"/>
      <c r="F19" s="5"/>
      <c r="G19" s="5"/>
      <c r="H19" s="5">
        <f t="shared" si="0"/>
        <v>5</v>
      </c>
    </row>
    <row r="20" spans="1:8" x14ac:dyDescent="0.25">
      <c r="A20" s="11">
        <v>14</v>
      </c>
      <c r="B20" s="5">
        <v>3</v>
      </c>
      <c r="C20" s="5">
        <v>1</v>
      </c>
      <c r="D20" s="5"/>
      <c r="E20" s="5"/>
      <c r="F20" s="5"/>
      <c r="G20" s="5"/>
      <c r="H20" s="5">
        <f t="shared" si="0"/>
        <v>7</v>
      </c>
    </row>
    <row r="21" spans="1:8" x14ac:dyDescent="0.25">
      <c r="A21" s="11">
        <v>15</v>
      </c>
      <c r="B21" s="5">
        <v>3</v>
      </c>
      <c r="C21" s="5">
        <v>3</v>
      </c>
      <c r="D21" s="5"/>
      <c r="E21" s="5"/>
      <c r="F21" s="5"/>
      <c r="G21" s="5"/>
      <c r="H21" s="5">
        <f t="shared" si="0"/>
        <v>7</v>
      </c>
    </row>
    <row r="22" spans="1:8" x14ac:dyDescent="0.25">
      <c r="A22" s="11">
        <v>16</v>
      </c>
      <c r="B22" s="5">
        <v>2</v>
      </c>
      <c r="C22" s="5"/>
      <c r="D22" s="5"/>
      <c r="E22" s="5"/>
      <c r="F22" s="5"/>
      <c r="G22" s="5"/>
      <c r="H22" s="5">
        <f t="shared" si="0"/>
        <v>9</v>
      </c>
    </row>
    <row r="23" spans="1:8" x14ac:dyDescent="0.25">
      <c r="A23" s="11">
        <v>17</v>
      </c>
      <c r="B23" s="5">
        <v>5</v>
      </c>
      <c r="C23" s="5">
        <v>5</v>
      </c>
      <c r="D23" s="5"/>
      <c r="E23" s="5"/>
      <c r="F23" s="5"/>
      <c r="G23" s="5"/>
      <c r="H23" s="5">
        <f t="shared" si="0"/>
        <v>9</v>
      </c>
    </row>
    <row r="24" spans="1:8" x14ac:dyDescent="0.25">
      <c r="A24" s="11">
        <v>18</v>
      </c>
      <c r="B24" s="5">
        <v>2</v>
      </c>
      <c r="C24" s="5">
        <v>2</v>
      </c>
      <c r="D24" s="5"/>
      <c r="E24" s="5"/>
      <c r="F24" s="5"/>
      <c r="G24" s="5"/>
      <c r="H24" s="5">
        <f t="shared" si="0"/>
        <v>9</v>
      </c>
    </row>
    <row r="25" spans="1:8" x14ac:dyDescent="0.25">
      <c r="A25" s="11">
        <v>19</v>
      </c>
      <c r="B25" s="5">
        <v>3</v>
      </c>
      <c r="C25" s="5">
        <v>4</v>
      </c>
      <c r="D25" s="5"/>
      <c r="E25" s="5"/>
      <c r="F25" s="5"/>
      <c r="G25" s="5"/>
      <c r="H25" s="5">
        <f t="shared" si="0"/>
        <v>8</v>
      </c>
    </row>
    <row r="26" spans="1:8" x14ac:dyDescent="0.25">
      <c r="A26" s="11">
        <v>20</v>
      </c>
      <c r="B26" s="5">
        <v>3</v>
      </c>
      <c r="C26" s="5">
        <v>2</v>
      </c>
      <c r="D26" s="5"/>
      <c r="E26" s="5"/>
      <c r="F26" s="5"/>
      <c r="G26" s="5"/>
      <c r="H26" s="5">
        <f t="shared" si="0"/>
        <v>9</v>
      </c>
    </row>
    <row r="27" spans="1:8" x14ac:dyDescent="0.25">
      <c r="A27" s="11">
        <v>21</v>
      </c>
      <c r="B27" s="5">
        <v>3</v>
      </c>
      <c r="C27" s="5">
        <v>1</v>
      </c>
      <c r="D27" s="5"/>
      <c r="E27" s="5"/>
      <c r="F27" s="5"/>
      <c r="G27" s="5"/>
      <c r="H27" s="5">
        <f t="shared" si="0"/>
        <v>11</v>
      </c>
    </row>
    <row r="28" spans="1:8" x14ac:dyDescent="0.25">
      <c r="A28" s="11">
        <v>22</v>
      </c>
      <c r="B28" s="5">
        <v>3</v>
      </c>
      <c r="C28" s="5">
        <v>3</v>
      </c>
      <c r="D28" s="5"/>
      <c r="E28" s="5"/>
      <c r="F28" s="5"/>
      <c r="G28" s="5">
        <v>1</v>
      </c>
      <c r="H28" s="5">
        <f t="shared" si="0"/>
        <v>10</v>
      </c>
    </row>
    <row r="29" spans="1:8" x14ac:dyDescent="0.25">
      <c r="A29" s="11">
        <v>23</v>
      </c>
      <c r="B29" s="5">
        <v>8</v>
      </c>
      <c r="C29" s="5">
        <v>1</v>
      </c>
      <c r="D29" s="5"/>
      <c r="E29" s="5"/>
      <c r="F29" s="5"/>
      <c r="G29" s="5">
        <v>1</v>
      </c>
      <c r="H29" s="5">
        <f t="shared" si="0"/>
        <v>16</v>
      </c>
    </row>
    <row r="30" spans="1:8" x14ac:dyDescent="0.25">
      <c r="A30" s="11">
        <v>24</v>
      </c>
      <c r="B30" s="5">
        <v>3</v>
      </c>
      <c r="C30" s="5">
        <v>5</v>
      </c>
      <c r="D30" s="5"/>
      <c r="E30" s="5"/>
      <c r="F30" s="5"/>
      <c r="G30" s="5"/>
      <c r="H30" s="5">
        <f t="shared" si="0"/>
        <v>14</v>
      </c>
    </row>
    <row r="31" spans="1:8" x14ac:dyDescent="0.25">
      <c r="A31" s="11">
        <v>25</v>
      </c>
      <c r="B31" s="5">
        <v>1</v>
      </c>
      <c r="C31" s="5">
        <v>3</v>
      </c>
      <c r="D31" s="5"/>
      <c r="E31" s="5"/>
      <c r="F31" s="5"/>
      <c r="G31" s="5">
        <v>1</v>
      </c>
      <c r="H31" s="5">
        <f t="shared" si="0"/>
        <v>11</v>
      </c>
    </row>
    <row r="32" spans="1:8" x14ac:dyDescent="0.25">
      <c r="A32" s="11">
        <v>26</v>
      </c>
      <c r="B32" s="5">
        <v>4</v>
      </c>
      <c r="C32" s="5">
        <v>1</v>
      </c>
      <c r="D32" s="5"/>
      <c r="E32" s="5"/>
      <c r="F32" s="5"/>
      <c r="G32" s="5"/>
      <c r="H32" s="5">
        <f t="shared" si="0"/>
        <v>14</v>
      </c>
    </row>
    <row r="33" spans="1:8" x14ac:dyDescent="0.25">
      <c r="A33" s="11">
        <v>27</v>
      </c>
      <c r="B33" s="5">
        <v>3</v>
      </c>
      <c r="C33" s="5">
        <v>7</v>
      </c>
      <c r="D33" s="5"/>
      <c r="E33" s="5"/>
      <c r="F33" s="5">
        <v>1</v>
      </c>
      <c r="G33" s="5"/>
      <c r="H33" s="5">
        <f t="shared" si="0"/>
        <v>11</v>
      </c>
    </row>
    <row r="34" spans="1:8" x14ac:dyDescent="0.25">
      <c r="A34" s="11">
        <v>28</v>
      </c>
      <c r="B34" s="5">
        <v>2</v>
      </c>
      <c r="C34" s="5">
        <v>2</v>
      </c>
      <c r="D34" s="5"/>
      <c r="E34" s="5"/>
      <c r="F34" s="5"/>
      <c r="G34" s="5"/>
      <c r="H34" s="5">
        <f t="shared" si="0"/>
        <v>11</v>
      </c>
    </row>
    <row r="35" spans="1:8" x14ac:dyDescent="0.25">
      <c r="A35" s="11">
        <v>29</v>
      </c>
      <c r="B35" s="5">
        <v>5</v>
      </c>
      <c r="C35" s="5">
        <v>1</v>
      </c>
      <c r="D35" s="5"/>
      <c r="E35" s="5"/>
      <c r="F35" s="5"/>
      <c r="G35" s="5"/>
      <c r="H35" s="5">
        <f t="shared" si="0"/>
        <v>15</v>
      </c>
    </row>
    <row r="36" spans="1:8" x14ac:dyDescent="0.25">
      <c r="A36" s="11">
        <v>30</v>
      </c>
      <c r="B36" s="5">
        <v>1</v>
      </c>
      <c r="C36" s="5">
        <v>6</v>
      </c>
      <c r="D36" s="5"/>
      <c r="E36" s="5"/>
      <c r="F36" s="5"/>
      <c r="G36" s="5"/>
      <c r="H36" s="5">
        <f t="shared" si="0"/>
        <v>10</v>
      </c>
    </row>
    <row r="37" spans="1:8" x14ac:dyDescent="0.25">
      <c r="A37" s="11">
        <v>31</v>
      </c>
      <c r="B37" s="5">
        <v>2</v>
      </c>
      <c r="C37" s="5">
        <v>3</v>
      </c>
      <c r="D37" s="5"/>
      <c r="E37" s="5"/>
      <c r="F37" s="5"/>
      <c r="G37" s="5">
        <v>2</v>
      </c>
      <c r="H37" s="5">
        <f t="shared" si="0"/>
        <v>7</v>
      </c>
    </row>
    <row r="38" spans="1:8" x14ac:dyDescent="0.25">
      <c r="A38" s="13" t="s">
        <v>35</v>
      </c>
      <c r="B38" s="12">
        <f>SUM(B7:B37)-E38</f>
        <v>82</v>
      </c>
      <c r="C38" s="12">
        <f t="shared" ref="C38:H38" si="1">SUM(C7:C37)</f>
        <v>81</v>
      </c>
      <c r="D38" s="12">
        <f t="shared" si="1"/>
        <v>0</v>
      </c>
      <c r="E38" s="12">
        <f t="shared" si="1"/>
        <v>0</v>
      </c>
      <c r="F38" s="12">
        <f t="shared" si="1"/>
        <v>1</v>
      </c>
      <c r="G38" s="12">
        <f t="shared" si="1"/>
        <v>7</v>
      </c>
      <c r="H38" s="12">
        <f t="shared" si="1"/>
        <v>277</v>
      </c>
    </row>
    <row r="41" spans="1:8" ht="36" x14ac:dyDescent="0.55000000000000004">
      <c r="A41" s="605" t="s">
        <v>1</v>
      </c>
      <c r="B41" s="605"/>
      <c r="C41" s="605"/>
      <c r="D41" s="605"/>
      <c r="E41" s="605"/>
      <c r="F41" s="605"/>
      <c r="G41" s="605"/>
      <c r="H41" s="605"/>
    </row>
    <row r="42" spans="1:8" ht="26.25" x14ac:dyDescent="0.4">
      <c r="A42" s="606" t="s">
        <v>0</v>
      </c>
      <c r="B42" s="606"/>
      <c r="C42" s="606"/>
      <c r="D42" s="606"/>
      <c r="E42" s="606"/>
      <c r="F42" s="606"/>
      <c r="G42" s="606"/>
      <c r="H42" s="606"/>
    </row>
    <row r="43" spans="1:8" ht="15.75" x14ac:dyDescent="0.25">
      <c r="A43" s="4" t="s">
        <v>19</v>
      </c>
      <c r="B43" s="4" t="s">
        <v>3</v>
      </c>
      <c r="C43" s="5"/>
      <c r="D43" s="1" t="s">
        <v>18</v>
      </c>
      <c r="E43" s="612" t="s">
        <v>38</v>
      </c>
      <c r="F43" s="613"/>
      <c r="G43" s="4" t="s">
        <v>16</v>
      </c>
      <c r="H43" s="6" t="s">
        <v>41</v>
      </c>
    </row>
    <row r="44" spans="1:8" ht="15.75" x14ac:dyDescent="0.25">
      <c r="A44" s="609" t="s">
        <v>6</v>
      </c>
      <c r="B44" s="610"/>
      <c r="C44" s="610"/>
      <c r="D44" s="610"/>
      <c r="E44" s="610"/>
      <c r="F44" s="611"/>
      <c r="G44" s="1"/>
      <c r="H44" s="2">
        <f>H37</f>
        <v>7</v>
      </c>
    </row>
    <row r="45" spans="1:8" ht="15.75" x14ac:dyDescent="0.25">
      <c r="A45" s="3" t="s">
        <v>7</v>
      </c>
      <c r="B45" s="1"/>
      <c r="C45" s="1"/>
      <c r="D45" s="1"/>
      <c r="E45" s="1"/>
      <c r="F45" s="1"/>
      <c r="G45" s="1"/>
      <c r="H45" s="2">
        <v>20</v>
      </c>
    </row>
    <row r="46" spans="1:8" ht="51" x14ac:dyDescent="0.25">
      <c r="A46" s="7" t="s">
        <v>8</v>
      </c>
      <c r="B46" s="9" t="s">
        <v>9</v>
      </c>
      <c r="C46" s="9" t="s">
        <v>10</v>
      </c>
      <c r="D46" s="9" t="s">
        <v>11</v>
      </c>
      <c r="E46" s="9" t="s">
        <v>12</v>
      </c>
      <c r="F46" s="9" t="s">
        <v>13</v>
      </c>
      <c r="G46" s="9" t="s">
        <v>14</v>
      </c>
      <c r="H46" s="8" t="s">
        <v>15</v>
      </c>
    </row>
    <row r="47" spans="1:8" x14ac:dyDescent="0.25">
      <c r="A47" s="11">
        <v>1</v>
      </c>
      <c r="B47" s="5">
        <v>4</v>
      </c>
      <c r="C47" s="5">
        <v>3</v>
      </c>
      <c r="D47" s="5"/>
      <c r="E47" s="5"/>
      <c r="F47" s="5"/>
      <c r="G47" s="5"/>
      <c r="H47" s="5">
        <f>H44+B47+F47-(C47+D47+G47)-E47</f>
        <v>8</v>
      </c>
    </row>
    <row r="48" spans="1:8" x14ac:dyDescent="0.25">
      <c r="A48" s="11">
        <v>2</v>
      </c>
      <c r="B48" s="5">
        <v>1</v>
      </c>
      <c r="C48" s="5">
        <v>4</v>
      </c>
      <c r="D48" s="5"/>
      <c r="E48" s="5"/>
      <c r="F48" s="5"/>
      <c r="G48" s="5"/>
      <c r="H48" s="5">
        <f>H47+B48+F48-(C48+D48+G48)-E48</f>
        <v>5</v>
      </c>
    </row>
    <row r="49" spans="1:8" x14ac:dyDescent="0.25">
      <c r="A49" s="11">
        <v>3</v>
      </c>
      <c r="B49" s="5">
        <v>1</v>
      </c>
      <c r="C49" s="5">
        <v>3</v>
      </c>
      <c r="D49" s="5"/>
      <c r="E49" s="5"/>
      <c r="F49" s="5"/>
      <c r="G49" s="5"/>
      <c r="H49" s="5">
        <f t="shared" ref="H49:H75" si="2">H48+B49+F49-(C49+D49+G49)-E49</f>
        <v>3</v>
      </c>
    </row>
    <row r="50" spans="1:8" x14ac:dyDescent="0.25">
      <c r="A50" s="11">
        <v>4</v>
      </c>
      <c r="B50" s="5">
        <v>1</v>
      </c>
      <c r="C50" s="5">
        <v>1</v>
      </c>
      <c r="D50" s="5"/>
      <c r="E50" s="5"/>
      <c r="F50" s="5"/>
      <c r="G50" s="5"/>
      <c r="H50" s="5">
        <f t="shared" si="2"/>
        <v>3</v>
      </c>
    </row>
    <row r="51" spans="1:8" x14ac:dyDescent="0.25">
      <c r="A51" s="11">
        <v>5</v>
      </c>
      <c r="B51" s="5">
        <v>3</v>
      </c>
      <c r="C51" s="5">
        <v>1</v>
      </c>
      <c r="D51" s="5"/>
      <c r="E51" s="5"/>
      <c r="F51" s="5"/>
      <c r="G51" s="5">
        <v>1</v>
      </c>
      <c r="H51" s="5">
        <f t="shared" si="2"/>
        <v>4</v>
      </c>
    </row>
    <row r="52" spans="1:8" x14ac:dyDescent="0.25">
      <c r="A52" s="11">
        <v>6</v>
      </c>
      <c r="B52" s="5">
        <v>2</v>
      </c>
      <c r="C52" s="5">
        <v>3</v>
      </c>
      <c r="D52" s="5"/>
      <c r="E52" s="5"/>
      <c r="F52" s="5"/>
      <c r="G52" s="5"/>
      <c r="H52" s="5">
        <f t="shared" si="2"/>
        <v>3</v>
      </c>
    </row>
    <row r="53" spans="1:8" x14ac:dyDescent="0.25">
      <c r="A53" s="11">
        <v>7</v>
      </c>
      <c r="B53" s="5">
        <v>2</v>
      </c>
      <c r="C53" s="5">
        <v>3</v>
      </c>
      <c r="D53" s="5"/>
      <c r="E53" s="5"/>
      <c r="F53" s="5"/>
      <c r="G53" s="5"/>
      <c r="H53" s="5">
        <f t="shared" si="2"/>
        <v>2</v>
      </c>
    </row>
    <row r="54" spans="1:8" x14ac:dyDescent="0.25">
      <c r="A54" s="11">
        <v>8</v>
      </c>
      <c r="B54" s="5">
        <v>2</v>
      </c>
      <c r="C54" s="5">
        <v>1</v>
      </c>
      <c r="D54" s="5"/>
      <c r="E54" s="5"/>
      <c r="F54" s="5"/>
      <c r="G54" s="5"/>
      <c r="H54" s="5">
        <f t="shared" si="2"/>
        <v>3</v>
      </c>
    </row>
    <row r="55" spans="1:8" x14ac:dyDescent="0.25">
      <c r="A55" s="11">
        <v>9</v>
      </c>
      <c r="B55" s="5"/>
      <c r="C55" s="5">
        <v>1</v>
      </c>
      <c r="D55" s="5"/>
      <c r="E55" s="5"/>
      <c r="F55" s="5"/>
      <c r="G55" s="5"/>
      <c r="H55" s="5">
        <f t="shared" si="2"/>
        <v>2</v>
      </c>
    </row>
    <row r="56" spans="1:8" x14ac:dyDescent="0.25">
      <c r="A56" s="11">
        <v>10</v>
      </c>
      <c r="B56" s="5">
        <v>11</v>
      </c>
      <c r="C56" s="5">
        <v>2</v>
      </c>
      <c r="D56" s="5"/>
      <c r="E56" s="5"/>
      <c r="F56" s="5"/>
      <c r="G56" s="5"/>
      <c r="H56" s="5">
        <f t="shared" si="2"/>
        <v>11</v>
      </c>
    </row>
    <row r="57" spans="1:8" x14ac:dyDescent="0.25">
      <c r="A57" s="11">
        <v>11</v>
      </c>
      <c r="B57" s="5">
        <v>2</v>
      </c>
      <c r="C57" s="5">
        <v>4</v>
      </c>
      <c r="D57" s="5"/>
      <c r="E57" s="5"/>
      <c r="F57" s="5"/>
      <c r="G57" s="5"/>
      <c r="H57" s="5">
        <f t="shared" si="2"/>
        <v>9</v>
      </c>
    </row>
    <row r="58" spans="1:8" x14ac:dyDescent="0.25">
      <c r="A58" s="11">
        <v>12</v>
      </c>
      <c r="B58" s="5">
        <v>2</v>
      </c>
      <c r="C58" s="5">
        <v>4</v>
      </c>
      <c r="D58" s="5"/>
      <c r="E58" s="5"/>
      <c r="F58" s="5"/>
      <c r="G58" s="5"/>
      <c r="H58" s="5">
        <f t="shared" si="2"/>
        <v>7</v>
      </c>
    </row>
    <row r="59" spans="1:8" x14ac:dyDescent="0.25">
      <c r="A59" s="11">
        <v>13</v>
      </c>
      <c r="B59" s="5">
        <v>2</v>
      </c>
      <c r="C59" s="5">
        <v>2</v>
      </c>
      <c r="D59" s="5"/>
      <c r="E59" s="5"/>
      <c r="F59" s="5"/>
      <c r="G59" s="5"/>
      <c r="H59" s="5">
        <f t="shared" si="2"/>
        <v>7</v>
      </c>
    </row>
    <row r="60" spans="1:8" x14ac:dyDescent="0.25">
      <c r="A60" s="11">
        <v>14</v>
      </c>
      <c r="B60" s="5">
        <v>3</v>
      </c>
      <c r="C60" s="5">
        <v>2</v>
      </c>
      <c r="D60" s="5"/>
      <c r="E60" s="5"/>
      <c r="F60" s="5"/>
      <c r="G60" s="5"/>
      <c r="H60" s="5">
        <f t="shared" si="2"/>
        <v>8</v>
      </c>
    </row>
    <row r="61" spans="1:8" x14ac:dyDescent="0.25">
      <c r="A61" s="11">
        <v>15</v>
      </c>
      <c r="B61" s="5">
        <v>1</v>
      </c>
      <c r="C61" s="5">
        <v>2</v>
      </c>
      <c r="D61" s="5"/>
      <c r="E61" s="5"/>
      <c r="F61" s="5"/>
      <c r="G61" s="5"/>
      <c r="H61" s="5">
        <f t="shared" si="2"/>
        <v>7</v>
      </c>
    </row>
    <row r="62" spans="1:8" x14ac:dyDescent="0.25">
      <c r="A62" s="11">
        <v>16</v>
      </c>
      <c r="B62" s="5"/>
      <c r="C62" s="5">
        <v>2</v>
      </c>
      <c r="D62" s="5"/>
      <c r="E62" s="5"/>
      <c r="F62" s="5"/>
      <c r="G62" s="5"/>
      <c r="H62" s="5">
        <f t="shared" si="2"/>
        <v>5</v>
      </c>
    </row>
    <row r="63" spans="1:8" x14ac:dyDescent="0.25">
      <c r="A63" s="11">
        <v>17</v>
      </c>
      <c r="B63" s="5">
        <v>4</v>
      </c>
      <c r="C63" s="5">
        <v>3</v>
      </c>
      <c r="D63" s="5"/>
      <c r="E63" s="5"/>
      <c r="F63" s="5"/>
      <c r="G63" s="5"/>
      <c r="H63" s="5">
        <f t="shared" si="2"/>
        <v>6</v>
      </c>
    </row>
    <row r="64" spans="1:8" x14ac:dyDescent="0.25">
      <c r="A64" s="11">
        <v>18</v>
      </c>
      <c r="B64" s="5">
        <v>3</v>
      </c>
      <c r="C64" s="5">
        <v>1</v>
      </c>
      <c r="D64" s="5"/>
      <c r="E64" s="5"/>
      <c r="F64" s="5"/>
      <c r="G64" s="5"/>
      <c r="H64" s="5">
        <f t="shared" si="2"/>
        <v>8</v>
      </c>
    </row>
    <row r="65" spans="1:8" x14ac:dyDescent="0.25">
      <c r="A65" s="11">
        <v>19</v>
      </c>
      <c r="B65" s="5">
        <v>1</v>
      </c>
      <c r="C65" s="5">
        <v>3</v>
      </c>
      <c r="D65" s="5"/>
      <c r="E65" s="5"/>
      <c r="F65" s="5"/>
      <c r="G65" s="5"/>
      <c r="H65" s="5">
        <f t="shared" si="2"/>
        <v>6</v>
      </c>
    </row>
    <row r="66" spans="1:8" x14ac:dyDescent="0.25">
      <c r="A66" s="11">
        <v>20</v>
      </c>
      <c r="B66" s="5">
        <v>1</v>
      </c>
      <c r="C66" s="5">
        <v>3</v>
      </c>
      <c r="D66" s="5"/>
      <c r="E66" s="5"/>
      <c r="F66" s="5"/>
      <c r="G66" s="5"/>
      <c r="H66" s="5">
        <f t="shared" si="2"/>
        <v>4</v>
      </c>
    </row>
    <row r="67" spans="1:8" x14ac:dyDescent="0.25">
      <c r="A67" s="11">
        <v>21</v>
      </c>
      <c r="B67" s="5">
        <v>1</v>
      </c>
      <c r="C67" s="5">
        <v>1</v>
      </c>
      <c r="D67" s="5"/>
      <c r="E67" s="5"/>
      <c r="F67" s="5"/>
      <c r="G67" s="5"/>
      <c r="H67" s="5">
        <f t="shared" si="2"/>
        <v>4</v>
      </c>
    </row>
    <row r="68" spans="1:8" x14ac:dyDescent="0.25">
      <c r="A68" s="11">
        <v>22</v>
      </c>
      <c r="B68" s="5"/>
      <c r="C68" s="5"/>
      <c r="D68" s="5"/>
      <c r="E68" s="5"/>
      <c r="F68" s="5"/>
      <c r="G68" s="5"/>
      <c r="H68" s="5">
        <f t="shared" si="2"/>
        <v>4</v>
      </c>
    </row>
    <row r="69" spans="1:8" x14ac:dyDescent="0.25">
      <c r="A69" s="11">
        <v>23</v>
      </c>
      <c r="B69" s="5">
        <v>1</v>
      </c>
      <c r="C69" s="5">
        <v>2</v>
      </c>
      <c r="D69" s="5"/>
      <c r="E69" s="5"/>
      <c r="F69" s="5"/>
      <c r="G69" s="5">
        <v>1</v>
      </c>
      <c r="H69" s="5">
        <f t="shared" si="2"/>
        <v>2</v>
      </c>
    </row>
    <row r="70" spans="1:8" x14ac:dyDescent="0.25">
      <c r="A70" s="11">
        <v>24</v>
      </c>
      <c r="B70" s="5">
        <v>8</v>
      </c>
      <c r="C70" s="5"/>
      <c r="D70" s="5"/>
      <c r="E70" s="5"/>
      <c r="F70" s="5"/>
      <c r="G70" s="5"/>
      <c r="H70" s="5">
        <f t="shared" si="2"/>
        <v>10</v>
      </c>
    </row>
    <row r="71" spans="1:8" x14ac:dyDescent="0.25">
      <c r="A71" s="11">
        <v>25</v>
      </c>
      <c r="B71" s="5">
        <v>2</v>
      </c>
      <c r="C71" s="5">
        <v>4</v>
      </c>
      <c r="D71" s="5"/>
      <c r="E71" s="5"/>
      <c r="F71" s="5"/>
      <c r="G71" s="5"/>
      <c r="H71" s="5">
        <f t="shared" si="2"/>
        <v>8</v>
      </c>
    </row>
    <row r="72" spans="1:8" x14ac:dyDescent="0.25">
      <c r="A72" s="11">
        <v>26</v>
      </c>
      <c r="B72" s="5">
        <v>2</v>
      </c>
      <c r="C72" s="5">
        <v>3</v>
      </c>
      <c r="D72" s="5"/>
      <c r="E72" s="5"/>
      <c r="F72" s="5"/>
      <c r="G72" s="5"/>
      <c r="H72" s="5">
        <f t="shared" si="2"/>
        <v>7</v>
      </c>
    </row>
    <row r="73" spans="1:8" x14ac:dyDescent="0.25">
      <c r="A73" s="11">
        <v>27</v>
      </c>
      <c r="B73" s="5">
        <v>1</v>
      </c>
      <c r="C73" s="5">
        <v>3</v>
      </c>
      <c r="D73" s="5"/>
      <c r="E73" s="5"/>
      <c r="F73" s="5"/>
      <c r="G73" s="5"/>
      <c r="H73" s="5">
        <f t="shared" si="2"/>
        <v>5</v>
      </c>
    </row>
    <row r="74" spans="1:8" x14ac:dyDescent="0.25">
      <c r="A74" s="11">
        <v>28</v>
      </c>
      <c r="B74" s="5">
        <v>4</v>
      </c>
      <c r="C74" s="5">
        <v>2</v>
      </c>
      <c r="D74" s="5"/>
      <c r="E74" s="5"/>
      <c r="F74" s="5"/>
      <c r="G74" s="5"/>
      <c r="H74" s="5">
        <f t="shared" si="2"/>
        <v>7</v>
      </c>
    </row>
    <row r="75" spans="1:8" x14ac:dyDescent="0.25">
      <c r="A75" s="11">
        <v>29</v>
      </c>
      <c r="B75" s="5"/>
      <c r="C75" s="5"/>
      <c r="D75" s="5"/>
      <c r="E75" s="5"/>
      <c r="F75" s="5"/>
      <c r="G75" s="5"/>
      <c r="H75" s="5">
        <f t="shared" si="2"/>
        <v>7</v>
      </c>
    </row>
    <row r="76" spans="1:8" x14ac:dyDescent="0.25">
      <c r="A76" s="13" t="s">
        <v>35</v>
      </c>
      <c r="B76" s="12">
        <f>SUM(B47:B75)-E76</f>
        <v>65</v>
      </c>
      <c r="C76" s="12">
        <f t="shared" ref="C76:H76" si="3">SUM(C47:C75)</f>
        <v>63</v>
      </c>
      <c r="D76" s="12">
        <f t="shared" si="3"/>
        <v>0</v>
      </c>
      <c r="E76" s="12">
        <f t="shared" si="3"/>
        <v>0</v>
      </c>
      <c r="F76" s="12">
        <f t="shared" si="3"/>
        <v>0</v>
      </c>
      <c r="G76" s="12">
        <f t="shared" si="3"/>
        <v>2</v>
      </c>
      <c r="H76" s="12">
        <f t="shared" si="3"/>
        <v>165</v>
      </c>
    </row>
    <row r="79" spans="1:8" ht="36" x14ac:dyDescent="0.55000000000000004">
      <c r="A79" s="605" t="s">
        <v>1</v>
      </c>
      <c r="B79" s="605"/>
      <c r="C79" s="605"/>
      <c r="D79" s="605"/>
      <c r="E79" s="605"/>
      <c r="F79" s="605"/>
      <c r="G79" s="605"/>
      <c r="H79" s="605"/>
    </row>
    <row r="80" spans="1:8" ht="26.25" x14ac:dyDescent="0.4">
      <c r="A80" s="606" t="s">
        <v>0</v>
      </c>
      <c r="B80" s="606"/>
      <c r="C80" s="606"/>
      <c r="D80" s="606"/>
      <c r="E80" s="606"/>
      <c r="F80" s="606"/>
      <c r="G80" s="606"/>
      <c r="H80" s="606"/>
    </row>
    <row r="81" spans="1:8" ht="15.75" x14ac:dyDescent="0.25">
      <c r="A81" s="4" t="s">
        <v>19</v>
      </c>
      <c r="B81" s="4" t="s">
        <v>3</v>
      </c>
      <c r="C81" s="5"/>
      <c r="D81" s="1" t="s">
        <v>18</v>
      </c>
      <c r="E81" s="612" t="s">
        <v>38</v>
      </c>
      <c r="F81" s="613"/>
      <c r="G81" s="4" t="s">
        <v>16</v>
      </c>
      <c r="H81" s="6" t="s">
        <v>42</v>
      </c>
    </row>
    <row r="82" spans="1:8" ht="15.75" x14ac:dyDescent="0.25">
      <c r="A82" s="609" t="s">
        <v>6</v>
      </c>
      <c r="B82" s="610"/>
      <c r="C82" s="610"/>
      <c r="D82" s="610"/>
      <c r="E82" s="610"/>
      <c r="F82" s="611"/>
      <c r="G82" s="1"/>
      <c r="H82" s="2">
        <f>H75</f>
        <v>7</v>
      </c>
    </row>
    <row r="83" spans="1:8" ht="15.75" x14ac:dyDescent="0.25">
      <c r="A83" s="3" t="s">
        <v>7</v>
      </c>
      <c r="B83" s="1"/>
      <c r="C83" s="1"/>
      <c r="D83" s="1"/>
      <c r="E83" s="1"/>
      <c r="F83" s="1"/>
      <c r="G83" s="1"/>
      <c r="H83" s="2">
        <v>20</v>
      </c>
    </row>
    <row r="84" spans="1:8" ht="51" x14ac:dyDescent="0.25">
      <c r="A84" s="7" t="s">
        <v>8</v>
      </c>
      <c r="B84" s="9" t="s">
        <v>9</v>
      </c>
      <c r="C84" s="9" t="s">
        <v>10</v>
      </c>
      <c r="D84" s="9" t="s">
        <v>11</v>
      </c>
      <c r="E84" s="9" t="s">
        <v>12</v>
      </c>
      <c r="F84" s="9" t="s">
        <v>13</v>
      </c>
      <c r="G84" s="9" t="s">
        <v>14</v>
      </c>
      <c r="H84" s="8" t="s">
        <v>15</v>
      </c>
    </row>
    <row r="85" spans="1:8" x14ac:dyDescent="0.25">
      <c r="A85" s="11">
        <v>1</v>
      </c>
      <c r="B85" s="5">
        <v>3</v>
      </c>
      <c r="C85" s="5">
        <v>2</v>
      </c>
      <c r="D85" s="5"/>
      <c r="E85" s="5"/>
      <c r="F85" s="5"/>
      <c r="G85" s="5"/>
      <c r="H85" s="5">
        <f>H82+B85+F85-(C85+D85+G85)-E85</f>
        <v>8</v>
      </c>
    </row>
    <row r="86" spans="1:8" x14ac:dyDescent="0.25">
      <c r="A86" s="11">
        <v>2</v>
      </c>
      <c r="B86" s="5">
        <v>1</v>
      </c>
      <c r="C86" s="5"/>
      <c r="D86" s="5"/>
      <c r="E86" s="5"/>
      <c r="F86" s="5"/>
      <c r="G86" s="5"/>
      <c r="H86" s="5">
        <f>H85+B86+F86-(C86+D86+G86)-E86</f>
        <v>9</v>
      </c>
    </row>
    <row r="87" spans="1:8" x14ac:dyDescent="0.25">
      <c r="A87" s="11">
        <v>3</v>
      </c>
      <c r="B87" s="5">
        <v>3</v>
      </c>
      <c r="C87" s="5">
        <v>3</v>
      </c>
      <c r="D87" s="5"/>
      <c r="E87" s="5"/>
      <c r="F87" s="5"/>
      <c r="G87" s="5"/>
      <c r="H87" s="5">
        <f t="shared" ref="H87:H115" si="4">H86+B87+F87-(C87+D87+G87)-E87</f>
        <v>9</v>
      </c>
    </row>
    <row r="88" spans="1:8" x14ac:dyDescent="0.25">
      <c r="A88" s="11">
        <v>4</v>
      </c>
      <c r="B88" s="5">
        <v>2</v>
      </c>
      <c r="C88" s="5">
        <v>1</v>
      </c>
      <c r="D88" s="5"/>
      <c r="E88" s="5"/>
      <c r="F88" s="5">
        <v>1</v>
      </c>
      <c r="G88" s="5"/>
      <c r="H88" s="5">
        <f t="shared" si="4"/>
        <v>11</v>
      </c>
    </row>
    <row r="89" spans="1:8" x14ac:dyDescent="0.25">
      <c r="A89" s="11">
        <v>5</v>
      </c>
      <c r="B89" s="5">
        <v>2</v>
      </c>
      <c r="C89" s="5"/>
      <c r="D89" s="5"/>
      <c r="E89" s="5"/>
      <c r="F89" s="5"/>
      <c r="G89" s="5">
        <v>1</v>
      </c>
      <c r="H89" s="5">
        <f t="shared" si="4"/>
        <v>12</v>
      </c>
    </row>
    <row r="90" spans="1:8" x14ac:dyDescent="0.25">
      <c r="A90" s="11">
        <v>6</v>
      </c>
      <c r="B90" s="5">
        <v>1</v>
      </c>
      <c r="C90" s="5">
        <v>4</v>
      </c>
      <c r="D90" s="5"/>
      <c r="E90" s="5"/>
      <c r="F90" s="5"/>
      <c r="G90" s="5"/>
      <c r="H90" s="5">
        <f t="shared" si="4"/>
        <v>9</v>
      </c>
    </row>
    <row r="91" spans="1:8" x14ac:dyDescent="0.25">
      <c r="A91" s="11">
        <v>7</v>
      </c>
      <c r="B91" s="5">
        <v>3</v>
      </c>
      <c r="C91" s="5">
        <v>3</v>
      </c>
      <c r="D91" s="5"/>
      <c r="E91" s="5"/>
      <c r="F91" s="5"/>
      <c r="G91" s="5"/>
      <c r="H91" s="5">
        <f t="shared" si="4"/>
        <v>9</v>
      </c>
    </row>
    <row r="92" spans="1:8" x14ac:dyDescent="0.25">
      <c r="A92" s="11">
        <v>8</v>
      </c>
      <c r="B92" s="5"/>
      <c r="C92" s="5">
        <v>4</v>
      </c>
      <c r="D92" s="5"/>
      <c r="E92" s="5"/>
      <c r="F92" s="5">
        <v>1</v>
      </c>
      <c r="G92" s="5"/>
      <c r="H92" s="5">
        <f t="shared" si="4"/>
        <v>6</v>
      </c>
    </row>
    <row r="93" spans="1:8" x14ac:dyDescent="0.25">
      <c r="A93" s="11">
        <v>9</v>
      </c>
      <c r="B93" s="5">
        <v>2</v>
      </c>
      <c r="C93" s="5">
        <v>1</v>
      </c>
      <c r="D93" s="5"/>
      <c r="E93" s="5"/>
      <c r="F93" s="5"/>
      <c r="G93" s="5"/>
      <c r="H93" s="5">
        <f t="shared" si="4"/>
        <v>7</v>
      </c>
    </row>
    <row r="94" spans="1:8" x14ac:dyDescent="0.25">
      <c r="A94" s="11">
        <v>10</v>
      </c>
      <c r="B94" s="5">
        <v>6</v>
      </c>
      <c r="C94" s="5">
        <v>3</v>
      </c>
      <c r="D94" s="5"/>
      <c r="E94" s="5"/>
      <c r="F94" s="5"/>
      <c r="G94" s="5"/>
      <c r="H94" s="5">
        <f t="shared" si="4"/>
        <v>10</v>
      </c>
    </row>
    <row r="95" spans="1:8" x14ac:dyDescent="0.25">
      <c r="A95" s="11">
        <v>11</v>
      </c>
      <c r="B95" s="5">
        <v>1</v>
      </c>
      <c r="C95" s="5">
        <v>4</v>
      </c>
      <c r="D95" s="5"/>
      <c r="E95" s="5"/>
      <c r="F95" s="5"/>
      <c r="G95" s="5"/>
      <c r="H95" s="5">
        <f t="shared" si="4"/>
        <v>7</v>
      </c>
    </row>
    <row r="96" spans="1:8" x14ac:dyDescent="0.25">
      <c r="A96" s="11">
        <v>12</v>
      </c>
      <c r="B96" s="5">
        <v>3</v>
      </c>
      <c r="C96" s="5">
        <v>3</v>
      </c>
      <c r="D96" s="5"/>
      <c r="E96" s="5"/>
      <c r="F96" s="5"/>
      <c r="G96" s="5"/>
      <c r="H96" s="5">
        <f t="shared" si="4"/>
        <v>7</v>
      </c>
    </row>
    <row r="97" spans="1:8" x14ac:dyDescent="0.25">
      <c r="A97" s="11">
        <v>13</v>
      </c>
      <c r="B97" s="5">
        <v>3</v>
      </c>
      <c r="C97" s="5">
        <v>1</v>
      </c>
      <c r="D97" s="5"/>
      <c r="E97" s="5"/>
      <c r="F97" s="5"/>
      <c r="G97" s="5"/>
      <c r="H97" s="5">
        <f t="shared" si="4"/>
        <v>9</v>
      </c>
    </row>
    <row r="98" spans="1:8" x14ac:dyDescent="0.25">
      <c r="A98" s="11">
        <v>14</v>
      </c>
      <c r="B98" s="5">
        <v>3</v>
      </c>
      <c r="C98" s="5"/>
      <c r="D98" s="5"/>
      <c r="E98" s="5"/>
      <c r="F98" s="5"/>
      <c r="G98" s="5"/>
      <c r="H98" s="5">
        <f t="shared" si="4"/>
        <v>12</v>
      </c>
    </row>
    <row r="99" spans="1:8" x14ac:dyDescent="0.25">
      <c r="A99" s="11">
        <v>15</v>
      </c>
      <c r="B99" s="5">
        <v>1</v>
      </c>
      <c r="C99" s="5">
        <v>3</v>
      </c>
      <c r="D99" s="5"/>
      <c r="E99" s="5"/>
      <c r="F99" s="5"/>
      <c r="G99" s="5"/>
      <c r="H99" s="5">
        <f t="shared" si="4"/>
        <v>10</v>
      </c>
    </row>
    <row r="100" spans="1:8" x14ac:dyDescent="0.25">
      <c r="A100" s="11">
        <v>16</v>
      </c>
      <c r="B100" s="5">
        <v>2</v>
      </c>
      <c r="C100" s="5">
        <v>5</v>
      </c>
      <c r="D100" s="5"/>
      <c r="E100" s="5"/>
      <c r="F100" s="5"/>
      <c r="G100" s="5"/>
      <c r="H100" s="5">
        <f t="shared" si="4"/>
        <v>7</v>
      </c>
    </row>
    <row r="101" spans="1:8" x14ac:dyDescent="0.25">
      <c r="A101" s="11">
        <v>17</v>
      </c>
      <c r="B101" s="5">
        <v>2</v>
      </c>
      <c r="C101" s="5">
        <v>3</v>
      </c>
      <c r="D101" s="5"/>
      <c r="E101" s="5"/>
      <c r="F101" s="5"/>
      <c r="G101" s="5"/>
      <c r="H101" s="5">
        <f t="shared" si="4"/>
        <v>6</v>
      </c>
    </row>
    <row r="102" spans="1:8" x14ac:dyDescent="0.25">
      <c r="A102" s="11">
        <v>18</v>
      </c>
      <c r="B102" s="5">
        <v>2</v>
      </c>
      <c r="C102" s="5"/>
      <c r="D102" s="5"/>
      <c r="E102" s="5"/>
      <c r="F102" s="5"/>
      <c r="G102" s="5"/>
      <c r="H102" s="5">
        <f t="shared" si="4"/>
        <v>8</v>
      </c>
    </row>
    <row r="103" spans="1:8" x14ac:dyDescent="0.25">
      <c r="A103" s="11">
        <v>19</v>
      </c>
      <c r="B103" s="5">
        <v>1</v>
      </c>
      <c r="C103" s="5">
        <v>2</v>
      </c>
      <c r="D103" s="5"/>
      <c r="E103" s="5"/>
      <c r="F103" s="5"/>
      <c r="G103" s="5"/>
      <c r="H103" s="5">
        <f t="shared" si="4"/>
        <v>7</v>
      </c>
    </row>
    <row r="104" spans="1:8" x14ac:dyDescent="0.25">
      <c r="A104" s="11">
        <v>20</v>
      </c>
      <c r="B104" s="5">
        <v>3</v>
      </c>
      <c r="C104" s="5">
        <v>3</v>
      </c>
      <c r="D104" s="5"/>
      <c r="E104" s="5"/>
      <c r="F104" s="5"/>
      <c r="G104" s="5"/>
      <c r="H104" s="5">
        <f t="shared" si="4"/>
        <v>7</v>
      </c>
    </row>
    <row r="105" spans="1:8" x14ac:dyDescent="0.25">
      <c r="A105" s="11">
        <v>21</v>
      </c>
      <c r="B105" s="5">
        <v>4</v>
      </c>
      <c r="C105" s="5">
        <v>1</v>
      </c>
      <c r="D105" s="5"/>
      <c r="E105" s="5"/>
      <c r="F105" s="5"/>
      <c r="G105" s="5"/>
      <c r="H105" s="5">
        <f t="shared" si="4"/>
        <v>10</v>
      </c>
    </row>
    <row r="106" spans="1:8" x14ac:dyDescent="0.25">
      <c r="A106" s="11">
        <v>22</v>
      </c>
      <c r="B106" s="5">
        <v>3</v>
      </c>
      <c r="C106" s="5">
        <v>4</v>
      </c>
      <c r="D106" s="5"/>
      <c r="E106" s="5"/>
      <c r="F106" s="5"/>
      <c r="G106" s="5"/>
      <c r="H106" s="5">
        <f t="shared" si="4"/>
        <v>9</v>
      </c>
    </row>
    <row r="107" spans="1:8" x14ac:dyDescent="0.25">
      <c r="A107" s="11">
        <v>23</v>
      </c>
      <c r="B107" s="5">
        <v>4</v>
      </c>
      <c r="C107" s="5">
        <v>3</v>
      </c>
      <c r="D107" s="5"/>
      <c r="E107" s="5"/>
      <c r="F107" s="5"/>
      <c r="G107" s="5"/>
      <c r="H107" s="5">
        <f t="shared" si="4"/>
        <v>10</v>
      </c>
    </row>
    <row r="108" spans="1:8" x14ac:dyDescent="0.25">
      <c r="A108" s="11">
        <v>24</v>
      </c>
      <c r="B108" s="5">
        <v>4</v>
      </c>
      <c r="C108" s="5">
        <v>4</v>
      </c>
      <c r="D108" s="5"/>
      <c r="E108" s="5"/>
      <c r="F108" s="5">
        <v>1</v>
      </c>
      <c r="G108" s="5"/>
      <c r="H108" s="5">
        <f t="shared" si="4"/>
        <v>11</v>
      </c>
    </row>
    <row r="109" spans="1:8" x14ac:dyDescent="0.25">
      <c r="A109" s="11">
        <v>25</v>
      </c>
      <c r="B109" s="5">
        <v>3</v>
      </c>
      <c r="C109" s="5">
        <v>5</v>
      </c>
      <c r="D109" s="5"/>
      <c r="E109" s="5"/>
      <c r="F109" s="5"/>
      <c r="G109" s="5"/>
      <c r="H109" s="5">
        <f t="shared" si="4"/>
        <v>9</v>
      </c>
    </row>
    <row r="110" spans="1:8" x14ac:dyDescent="0.25">
      <c r="A110" s="11">
        <v>26</v>
      </c>
      <c r="B110" s="5">
        <v>3</v>
      </c>
      <c r="C110" s="5">
        <v>1</v>
      </c>
      <c r="D110" s="5"/>
      <c r="E110" s="5"/>
      <c r="F110" s="5"/>
      <c r="G110" s="5"/>
      <c r="H110" s="5">
        <f t="shared" si="4"/>
        <v>11</v>
      </c>
    </row>
    <row r="111" spans="1:8" x14ac:dyDescent="0.25">
      <c r="A111" s="11">
        <v>27</v>
      </c>
      <c r="B111" s="5">
        <v>3</v>
      </c>
      <c r="C111" s="5">
        <v>1</v>
      </c>
      <c r="D111" s="5"/>
      <c r="E111" s="5"/>
      <c r="F111" s="5">
        <v>1</v>
      </c>
      <c r="G111" s="5"/>
      <c r="H111" s="5">
        <f t="shared" si="4"/>
        <v>14</v>
      </c>
    </row>
    <row r="112" spans="1:8" x14ac:dyDescent="0.25">
      <c r="A112" s="11">
        <v>28</v>
      </c>
      <c r="B112" s="5">
        <v>3</v>
      </c>
      <c r="C112" s="5">
        <v>3</v>
      </c>
      <c r="D112" s="5"/>
      <c r="E112" s="5"/>
      <c r="F112" s="5"/>
      <c r="G112" s="5"/>
      <c r="H112" s="5">
        <f t="shared" si="4"/>
        <v>14</v>
      </c>
    </row>
    <row r="113" spans="1:8" x14ac:dyDescent="0.25">
      <c r="A113" s="11">
        <v>29</v>
      </c>
      <c r="B113" s="5">
        <v>4</v>
      </c>
      <c r="C113" s="5"/>
      <c r="D113" s="5"/>
      <c r="E113" s="5"/>
      <c r="F113" s="5"/>
      <c r="G113" s="5"/>
      <c r="H113" s="5">
        <f t="shared" si="4"/>
        <v>18</v>
      </c>
    </row>
    <row r="114" spans="1:8" x14ac:dyDescent="0.25">
      <c r="A114" s="11">
        <v>30</v>
      </c>
      <c r="B114" s="5">
        <v>2</v>
      </c>
      <c r="C114" s="5">
        <v>6</v>
      </c>
      <c r="D114" s="5"/>
      <c r="E114" s="5"/>
      <c r="F114" s="5"/>
      <c r="G114" s="5"/>
      <c r="H114" s="5">
        <f t="shared" si="4"/>
        <v>14</v>
      </c>
    </row>
    <row r="115" spans="1:8" x14ac:dyDescent="0.25">
      <c r="A115" s="11">
        <v>31</v>
      </c>
      <c r="B115" s="5">
        <v>1</v>
      </c>
      <c r="C115" s="5">
        <v>3</v>
      </c>
      <c r="D115" s="5"/>
      <c r="E115" s="5"/>
      <c r="F115" s="5">
        <v>1</v>
      </c>
      <c r="G115" s="5"/>
      <c r="H115" s="5">
        <f t="shared" si="4"/>
        <v>13</v>
      </c>
    </row>
    <row r="116" spans="1:8" x14ac:dyDescent="0.25">
      <c r="A116" s="13" t="s">
        <v>35</v>
      </c>
      <c r="B116" s="12">
        <f>SUM(B85:B115)-E116</f>
        <v>78</v>
      </c>
      <c r="C116" s="12">
        <f t="shared" ref="C116:H116" si="5">SUM(C85:C115)</f>
        <v>76</v>
      </c>
      <c r="D116" s="12">
        <f t="shared" si="5"/>
        <v>0</v>
      </c>
      <c r="E116" s="12">
        <f t="shared" si="5"/>
        <v>0</v>
      </c>
      <c r="F116" s="12">
        <f t="shared" si="5"/>
        <v>5</v>
      </c>
      <c r="G116" s="12">
        <f t="shared" si="5"/>
        <v>1</v>
      </c>
      <c r="H116" s="12">
        <f t="shared" si="5"/>
        <v>303</v>
      </c>
    </row>
    <row r="119" spans="1:8" ht="36" x14ac:dyDescent="0.55000000000000004">
      <c r="A119" s="605" t="s">
        <v>1</v>
      </c>
      <c r="B119" s="605"/>
      <c r="C119" s="605"/>
      <c r="D119" s="605"/>
      <c r="E119" s="605"/>
      <c r="F119" s="605"/>
      <c r="G119" s="605"/>
      <c r="H119" s="605"/>
    </row>
    <row r="120" spans="1:8" ht="27" thickBot="1" x14ac:dyDescent="0.45">
      <c r="A120" s="606" t="s">
        <v>0</v>
      </c>
      <c r="B120" s="606"/>
      <c r="C120" s="606"/>
      <c r="D120" s="606"/>
      <c r="E120" s="606"/>
      <c r="F120" s="606"/>
      <c r="G120" s="606"/>
      <c r="H120" s="606"/>
    </row>
    <row r="121" spans="1:8" ht="15.75" x14ac:dyDescent="0.25">
      <c r="A121" s="39" t="s">
        <v>2</v>
      </c>
      <c r="B121" s="19" t="s">
        <v>3</v>
      </c>
      <c r="C121" s="20"/>
      <c r="D121" s="21" t="s">
        <v>4</v>
      </c>
      <c r="E121" s="21"/>
      <c r="F121" s="61" t="s">
        <v>38</v>
      </c>
      <c r="G121" s="19" t="s">
        <v>16</v>
      </c>
      <c r="H121" s="22" t="s">
        <v>50</v>
      </c>
    </row>
    <row r="122" spans="1:8" ht="15.75" x14ac:dyDescent="0.25">
      <c r="A122" s="609" t="s">
        <v>6</v>
      </c>
      <c r="B122" s="610"/>
      <c r="C122" s="610"/>
      <c r="D122" s="610"/>
      <c r="E122" s="610"/>
      <c r="F122" s="611"/>
      <c r="G122" s="1"/>
      <c r="H122" s="2">
        <f>H115</f>
        <v>13</v>
      </c>
    </row>
    <row r="123" spans="1:8" ht="15.75" x14ac:dyDescent="0.25">
      <c r="A123" s="3" t="s">
        <v>7</v>
      </c>
      <c r="B123" s="1"/>
      <c r="C123" s="1"/>
      <c r="D123" s="1"/>
      <c r="E123" s="1"/>
      <c r="F123" s="1"/>
      <c r="G123" s="1"/>
      <c r="H123" s="2">
        <v>20</v>
      </c>
    </row>
    <row r="124" spans="1:8" ht="51.75" thickBot="1" x14ac:dyDescent="0.3">
      <c r="A124" s="40" t="s">
        <v>8</v>
      </c>
      <c r="B124" s="41" t="s">
        <v>9</v>
      </c>
      <c r="C124" s="41" t="s">
        <v>10</v>
      </c>
      <c r="D124" s="41" t="s">
        <v>11</v>
      </c>
      <c r="E124" s="41" t="s">
        <v>12</v>
      </c>
      <c r="F124" s="49" t="s">
        <v>13</v>
      </c>
      <c r="G124" s="49" t="s">
        <v>14</v>
      </c>
      <c r="H124" s="42" t="s">
        <v>15</v>
      </c>
    </row>
    <row r="125" spans="1:8" x14ac:dyDescent="0.25">
      <c r="A125" s="36">
        <v>1</v>
      </c>
      <c r="B125" s="37">
        <v>3</v>
      </c>
      <c r="C125" s="37">
        <v>1</v>
      </c>
      <c r="D125" s="37"/>
      <c r="E125" s="37"/>
      <c r="F125" s="37"/>
      <c r="G125" s="37"/>
      <c r="H125" s="38">
        <f>H122+B125+F125-(C125+D125+G125)-E125</f>
        <v>15</v>
      </c>
    </row>
    <row r="126" spans="1:8" x14ac:dyDescent="0.25">
      <c r="A126" s="26">
        <v>2</v>
      </c>
      <c r="B126" s="5">
        <v>4</v>
      </c>
      <c r="C126" s="5">
        <v>5</v>
      </c>
      <c r="D126" s="5"/>
      <c r="E126" s="5"/>
      <c r="F126" s="5"/>
      <c r="G126" s="5"/>
      <c r="H126" s="2">
        <f>H125+B126+F126-(C126+D126+G126)-E126</f>
        <v>14</v>
      </c>
    </row>
    <row r="127" spans="1:8" x14ac:dyDescent="0.25">
      <c r="A127" s="26">
        <v>3</v>
      </c>
      <c r="B127" s="5">
        <v>4</v>
      </c>
      <c r="C127" s="5">
        <v>2</v>
      </c>
      <c r="D127" s="5"/>
      <c r="E127" s="5"/>
      <c r="F127" s="5"/>
      <c r="G127" s="5"/>
      <c r="H127" s="2">
        <f>H126+B127+F127-(C127+D127+G127)-E127</f>
        <v>16</v>
      </c>
    </row>
    <row r="128" spans="1:8" x14ac:dyDescent="0.25">
      <c r="A128" s="26">
        <v>4</v>
      </c>
      <c r="B128" s="5">
        <v>1</v>
      </c>
      <c r="C128" s="5">
        <v>6</v>
      </c>
      <c r="D128" s="5"/>
      <c r="E128" s="5"/>
      <c r="F128" s="5"/>
      <c r="G128" s="5">
        <v>1</v>
      </c>
      <c r="H128" s="2">
        <f t="shared" ref="H128:H154" si="6">H127+B128+F128-(C128+D128+G128)-E128</f>
        <v>10</v>
      </c>
    </row>
    <row r="129" spans="1:8" x14ac:dyDescent="0.25">
      <c r="A129" s="26">
        <v>5</v>
      </c>
      <c r="B129" s="5"/>
      <c r="C129" s="5">
        <v>4</v>
      </c>
      <c r="D129" s="5"/>
      <c r="E129" s="5"/>
      <c r="F129" s="5"/>
      <c r="G129" s="5"/>
      <c r="H129" s="2">
        <f t="shared" si="6"/>
        <v>6</v>
      </c>
    </row>
    <row r="130" spans="1:8" x14ac:dyDescent="0.25">
      <c r="A130" s="26">
        <v>6</v>
      </c>
      <c r="B130" s="5">
        <v>2</v>
      </c>
      <c r="C130" s="5"/>
      <c r="D130" s="5"/>
      <c r="E130" s="5"/>
      <c r="F130" s="5"/>
      <c r="G130" s="5"/>
      <c r="H130" s="2">
        <f t="shared" si="6"/>
        <v>8</v>
      </c>
    </row>
    <row r="131" spans="1:8" x14ac:dyDescent="0.25">
      <c r="A131" s="26">
        <v>7</v>
      </c>
      <c r="B131" s="5">
        <v>1</v>
      </c>
      <c r="C131" s="5">
        <v>1</v>
      </c>
      <c r="D131" s="5"/>
      <c r="E131" s="5"/>
      <c r="F131" s="5"/>
      <c r="G131" s="5"/>
      <c r="H131" s="2">
        <f t="shared" si="6"/>
        <v>8</v>
      </c>
    </row>
    <row r="132" spans="1:8" x14ac:dyDescent="0.25">
      <c r="A132" s="26">
        <v>8</v>
      </c>
      <c r="B132" s="5">
        <v>4</v>
      </c>
      <c r="C132" s="5">
        <v>6</v>
      </c>
      <c r="D132" s="5"/>
      <c r="E132" s="5"/>
      <c r="F132" s="5"/>
      <c r="G132" s="5"/>
      <c r="H132" s="2">
        <f t="shared" si="6"/>
        <v>6</v>
      </c>
    </row>
    <row r="133" spans="1:8" x14ac:dyDescent="0.25">
      <c r="A133" s="26">
        <v>9</v>
      </c>
      <c r="B133" s="5">
        <v>3</v>
      </c>
      <c r="C133" s="5">
        <v>2</v>
      </c>
      <c r="D133" s="5"/>
      <c r="E133" s="5"/>
      <c r="F133" s="5"/>
      <c r="G133" s="5"/>
      <c r="H133" s="2">
        <f t="shared" si="6"/>
        <v>7</v>
      </c>
    </row>
    <row r="134" spans="1:8" x14ac:dyDescent="0.25">
      <c r="A134" s="26">
        <v>10</v>
      </c>
      <c r="B134" s="5">
        <v>2</v>
      </c>
      <c r="C134" s="5">
        <v>1</v>
      </c>
      <c r="D134" s="5"/>
      <c r="E134" s="5"/>
      <c r="F134" s="5"/>
      <c r="G134" s="5"/>
      <c r="H134" s="2">
        <f t="shared" si="6"/>
        <v>8</v>
      </c>
    </row>
    <row r="135" spans="1:8" x14ac:dyDescent="0.25">
      <c r="A135" s="26">
        <v>11</v>
      </c>
      <c r="B135" s="5">
        <v>5</v>
      </c>
      <c r="C135" s="5">
        <v>1</v>
      </c>
      <c r="D135" s="5"/>
      <c r="E135" s="5"/>
      <c r="F135" s="5"/>
      <c r="G135" s="5"/>
      <c r="H135" s="2">
        <f t="shared" si="6"/>
        <v>12</v>
      </c>
    </row>
    <row r="136" spans="1:8" x14ac:dyDescent="0.25">
      <c r="A136" s="26">
        <v>12</v>
      </c>
      <c r="B136" s="5">
        <v>1</v>
      </c>
      <c r="C136" s="5"/>
      <c r="D136" s="5"/>
      <c r="E136" s="5"/>
      <c r="F136" s="5"/>
      <c r="G136" s="5"/>
      <c r="H136" s="2">
        <f t="shared" si="6"/>
        <v>13</v>
      </c>
    </row>
    <row r="137" spans="1:8" x14ac:dyDescent="0.25">
      <c r="A137" s="26">
        <v>13</v>
      </c>
      <c r="B137" s="5">
        <v>2</v>
      </c>
      <c r="C137" s="5">
        <v>5</v>
      </c>
      <c r="D137" s="5"/>
      <c r="E137" s="5"/>
      <c r="F137" s="5"/>
      <c r="G137" s="5"/>
      <c r="H137" s="2">
        <f t="shared" si="6"/>
        <v>10</v>
      </c>
    </row>
    <row r="138" spans="1:8" x14ac:dyDescent="0.25">
      <c r="A138" s="26">
        <v>14</v>
      </c>
      <c r="B138" s="5">
        <v>8</v>
      </c>
      <c r="C138" s="5">
        <v>3</v>
      </c>
      <c r="D138" s="5"/>
      <c r="E138" s="5"/>
      <c r="F138" s="5"/>
      <c r="G138" s="5"/>
      <c r="H138" s="2">
        <f t="shared" si="6"/>
        <v>15</v>
      </c>
    </row>
    <row r="139" spans="1:8" x14ac:dyDescent="0.25">
      <c r="A139" s="26">
        <v>15</v>
      </c>
      <c r="B139" s="5">
        <v>1</v>
      </c>
      <c r="C139" s="5">
        <v>3</v>
      </c>
      <c r="D139" s="5"/>
      <c r="E139" s="5"/>
      <c r="F139" s="5"/>
      <c r="G139" s="5"/>
      <c r="H139" s="2">
        <f t="shared" si="6"/>
        <v>13</v>
      </c>
    </row>
    <row r="140" spans="1:8" x14ac:dyDescent="0.25">
      <c r="A140" s="26">
        <v>16</v>
      </c>
      <c r="B140" s="5">
        <v>2</v>
      </c>
      <c r="C140" s="5">
        <v>7</v>
      </c>
      <c r="D140" s="5"/>
      <c r="E140" s="5"/>
      <c r="F140" s="5">
        <v>1</v>
      </c>
      <c r="G140" s="5"/>
      <c r="H140" s="2">
        <f t="shared" si="6"/>
        <v>9</v>
      </c>
    </row>
    <row r="141" spans="1:8" x14ac:dyDescent="0.25">
      <c r="A141" s="26">
        <v>17</v>
      </c>
      <c r="B141" s="5">
        <v>4</v>
      </c>
      <c r="C141" s="5">
        <v>4</v>
      </c>
      <c r="D141" s="5"/>
      <c r="E141" s="5"/>
      <c r="F141" s="5"/>
      <c r="G141" s="5">
        <v>1</v>
      </c>
      <c r="H141" s="2">
        <f t="shared" si="6"/>
        <v>8</v>
      </c>
    </row>
    <row r="142" spans="1:8" x14ac:dyDescent="0.25">
      <c r="A142" s="26">
        <v>18</v>
      </c>
      <c r="B142" s="5"/>
      <c r="C142" s="5">
        <v>3</v>
      </c>
      <c r="D142" s="5"/>
      <c r="E142" s="5"/>
      <c r="F142" s="5"/>
      <c r="G142" s="5"/>
      <c r="H142" s="2">
        <f t="shared" si="6"/>
        <v>5</v>
      </c>
    </row>
    <row r="143" spans="1:8" x14ac:dyDescent="0.25">
      <c r="A143" s="26">
        <v>19</v>
      </c>
      <c r="B143" s="5">
        <v>2</v>
      </c>
      <c r="C143" s="5">
        <v>2</v>
      </c>
      <c r="D143" s="5"/>
      <c r="E143" s="5"/>
      <c r="F143" s="5"/>
      <c r="G143" s="5"/>
      <c r="H143" s="2">
        <f t="shared" si="6"/>
        <v>5</v>
      </c>
    </row>
    <row r="144" spans="1:8" x14ac:dyDescent="0.25">
      <c r="A144" s="26">
        <v>20</v>
      </c>
      <c r="B144" s="5">
        <v>3</v>
      </c>
      <c r="C144" s="5">
        <v>1</v>
      </c>
      <c r="D144" s="5"/>
      <c r="E144" s="5"/>
      <c r="F144" s="5"/>
      <c r="G144" s="5"/>
      <c r="H144" s="2">
        <f t="shared" si="6"/>
        <v>7</v>
      </c>
    </row>
    <row r="145" spans="1:8" x14ac:dyDescent="0.25">
      <c r="A145" s="26">
        <v>21</v>
      </c>
      <c r="B145" s="5">
        <v>4</v>
      </c>
      <c r="C145" s="5">
        <v>3</v>
      </c>
      <c r="D145" s="5"/>
      <c r="E145" s="5"/>
      <c r="F145" s="5"/>
      <c r="G145" s="5"/>
      <c r="H145" s="2">
        <f t="shared" si="6"/>
        <v>8</v>
      </c>
    </row>
    <row r="146" spans="1:8" x14ac:dyDescent="0.25">
      <c r="A146" s="26">
        <v>22</v>
      </c>
      <c r="B146" s="5">
        <v>4</v>
      </c>
      <c r="C146" s="5"/>
      <c r="D146" s="5"/>
      <c r="E146" s="5"/>
      <c r="F146" s="5"/>
      <c r="G146" s="5"/>
      <c r="H146" s="2">
        <f t="shared" si="6"/>
        <v>12</v>
      </c>
    </row>
    <row r="147" spans="1:8" x14ac:dyDescent="0.25">
      <c r="A147" s="26">
        <v>23</v>
      </c>
      <c r="B147" s="5">
        <v>2</v>
      </c>
      <c r="C147" s="5">
        <v>5</v>
      </c>
      <c r="D147" s="5"/>
      <c r="E147" s="5"/>
      <c r="F147" s="5"/>
      <c r="G147" s="5"/>
      <c r="H147" s="2">
        <f t="shared" si="6"/>
        <v>9</v>
      </c>
    </row>
    <row r="148" spans="1:8" x14ac:dyDescent="0.25">
      <c r="A148" s="26">
        <v>24</v>
      </c>
      <c r="B148" s="5">
        <v>2</v>
      </c>
      <c r="C148" s="5">
        <v>2</v>
      </c>
      <c r="D148" s="5"/>
      <c r="E148" s="5"/>
      <c r="F148" s="5"/>
      <c r="G148" s="5"/>
      <c r="H148" s="2">
        <f t="shared" si="6"/>
        <v>9</v>
      </c>
    </row>
    <row r="149" spans="1:8" x14ac:dyDescent="0.25">
      <c r="A149" s="26">
        <v>25</v>
      </c>
      <c r="B149" s="5">
        <v>3</v>
      </c>
      <c r="C149" s="5">
        <v>4</v>
      </c>
      <c r="D149" s="5"/>
      <c r="E149" s="5"/>
      <c r="F149" s="5"/>
      <c r="G149" s="5">
        <v>1</v>
      </c>
      <c r="H149" s="2">
        <f t="shared" si="6"/>
        <v>7</v>
      </c>
    </row>
    <row r="150" spans="1:8" x14ac:dyDescent="0.25">
      <c r="A150" s="26">
        <v>26</v>
      </c>
      <c r="B150" s="5">
        <v>2</v>
      </c>
      <c r="C150" s="5">
        <v>2</v>
      </c>
      <c r="D150" s="5"/>
      <c r="E150" s="5"/>
      <c r="F150" s="5"/>
      <c r="G150" s="5"/>
      <c r="H150" s="2">
        <f t="shared" si="6"/>
        <v>7</v>
      </c>
    </row>
    <row r="151" spans="1:8" x14ac:dyDescent="0.25">
      <c r="A151" s="26">
        <v>27</v>
      </c>
      <c r="B151" s="5">
        <v>1</v>
      </c>
      <c r="C151" s="5"/>
      <c r="D151" s="5"/>
      <c r="E151" s="5"/>
      <c r="F151" s="5"/>
      <c r="G151" s="5"/>
      <c r="H151" s="2">
        <f t="shared" si="6"/>
        <v>8</v>
      </c>
    </row>
    <row r="152" spans="1:8" x14ac:dyDescent="0.25">
      <c r="A152" s="26">
        <v>28</v>
      </c>
      <c r="B152" s="5">
        <v>4</v>
      </c>
      <c r="C152" s="5">
        <v>3</v>
      </c>
      <c r="D152" s="5"/>
      <c r="E152" s="5"/>
      <c r="F152" s="5">
        <v>2</v>
      </c>
      <c r="G152" s="5"/>
      <c r="H152" s="2">
        <f t="shared" si="6"/>
        <v>11</v>
      </c>
    </row>
    <row r="153" spans="1:8" x14ac:dyDescent="0.25">
      <c r="A153" s="26">
        <v>29</v>
      </c>
      <c r="B153" s="5">
        <v>2</v>
      </c>
      <c r="C153" s="5"/>
      <c r="D153" s="5"/>
      <c r="E153" s="5"/>
      <c r="F153" s="5"/>
      <c r="G153" s="5"/>
      <c r="H153" s="2">
        <f t="shared" si="6"/>
        <v>13</v>
      </c>
    </row>
    <row r="154" spans="1:8" ht="15.75" thickBot="1" x14ac:dyDescent="0.3">
      <c r="A154" s="28">
        <v>30</v>
      </c>
      <c r="B154" s="29">
        <v>5</v>
      </c>
      <c r="C154" s="29">
        <v>4</v>
      </c>
      <c r="D154" s="29"/>
      <c r="E154" s="29"/>
      <c r="F154" s="29"/>
      <c r="G154" s="29"/>
      <c r="H154" s="57">
        <f t="shared" si="6"/>
        <v>14</v>
      </c>
    </row>
    <row r="155" spans="1:8" ht="15.75" thickBot="1" x14ac:dyDescent="0.3">
      <c r="A155" s="60" t="s">
        <v>35</v>
      </c>
      <c r="B155" s="58">
        <f>SUM(B125:B154)-E155</f>
        <v>81</v>
      </c>
      <c r="C155" s="58">
        <f t="shared" ref="C155:H155" si="7">SUM(C125:C154)</f>
        <v>80</v>
      </c>
      <c r="D155" s="58">
        <f t="shared" si="7"/>
        <v>0</v>
      </c>
      <c r="E155" s="58">
        <f t="shared" si="7"/>
        <v>0</v>
      </c>
      <c r="F155" s="58">
        <f t="shared" si="7"/>
        <v>3</v>
      </c>
      <c r="G155" s="58">
        <f t="shared" si="7"/>
        <v>3</v>
      </c>
      <c r="H155" s="59">
        <f t="shared" si="7"/>
        <v>293</v>
      </c>
    </row>
    <row r="158" spans="1:8" ht="36" x14ac:dyDescent="0.55000000000000004">
      <c r="A158" s="605" t="s">
        <v>1</v>
      </c>
      <c r="B158" s="605"/>
      <c r="C158" s="605"/>
      <c r="D158" s="605"/>
      <c r="E158" s="605"/>
      <c r="F158" s="605"/>
      <c r="G158" s="605"/>
      <c r="H158" s="605"/>
    </row>
    <row r="159" spans="1:8" ht="27" thickBot="1" x14ac:dyDescent="0.45">
      <c r="A159" s="606" t="s">
        <v>0</v>
      </c>
      <c r="B159" s="606"/>
      <c r="C159" s="606"/>
      <c r="D159" s="606"/>
      <c r="E159" s="606"/>
      <c r="F159" s="606"/>
      <c r="G159" s="606"/>
      <c r="H159" s="606"/>
    </row>
    <row r="160" spans="1:8" ht="15.75" x14ac:dyDescent="0.25">
      <c r="A160" s="39" t="s">
        <v>2</v>
      </c>
      <c r="B160" s="19" t="s">
        <v>3</v>
      </c>
      <c r="C160" s="20"/>
      <c r="D160" s="21" t="s">
        <v>52</v>
      </c>
      <c r="E160" s="607" t="s">
        <v>38</v>
      </c>
      <c r="F160" s="608"/>
      <c r="G160" s="19" t="s">
        <v>16</v>
      </c>
      <c r="H160" s="32" t="s">
        <v>58</v>
      </c>
    </row>
    <row r="161" spans="1:8" ht="15.75" x14ac:dyDescent="0.25">
      <c r="A161" s="609" t="s">
        <v>6</v>
      </c>
      <c r="B161" s="610"/>
      <c r="C161" s="610"/>
      <c r="D161" s="610"/>
      <c r="E161" s="610"/>
      <c r="F161" s="611"/>
      <c r="G161" s="1"/>
      <c r="H161" s="2">
        <f>H154</f>
        <v>14</v>
      </c>
    </row>
    <row r="162" spans="1:8" ht="15.75" x14ac:dyDescent="0.25">
      <c r="A162" s="3" t="s">
        <v>7</v>
      </c>
      <c r="B162" s="1"/>
      <c r="C162" s="1"/>
      <c r="D162" s="1"/>
      <c r="E162" s="1"/>
      <c r="F162" s="1"/>
      <c r="G162" s="1"/>
      <c r="H162" s="2">
        <v>20</v>
      </c>
    </row>
    <row r="163" spans="1:8" ht="51.75" thickBot="1" x14ac:dyDescent="0.3">
      <c r="A163" s="40" t="s">
        <v>8</v>
      </c>
      <c r="B163" s="41" t="s">
        <v>9</v>
      </c>
      <c r="C163" s="41" t="s">
        <v>10</v>
      </c>
      <c r="D163" s="41" t="s">
        <v>11</v>
      </c>
      <c r="E163" s="41" t="s">
        <v>12</v>
      </c>
      <c r="F163" s="41" t="s">
        <v>13</v>
      </c>
      <c r="G163" s="41" t="s">
        <v>14</v>
      </c>
      <c r="H163" s="42" t="s">
        <v>15</v>
      </c>
    </row>
    <row r="164" spans="1:8" x14ac:dyDescent="0.25">
      <c r="A164" s="36">
        <v>1</v>
      </c>
      <c r="B164" s="37">
        <v>4</v>
      </c>
      <c r="C164" s="37">
        <v>2</v>
      </c>
      <c r="D164" s="37"/>
      <c r="E164" s="37"/>
      <c r="F164" s="37"/>
      <c r="G164" s="37"/>
      <c r="H164" s="38">
        <f>H161+B164+F164-(C164+D164+G164)-E164</f>
        <v>16</v>
      </c>
    </row>
    <row r="165" spans="1:8" x14ac:dyDescent="0.25">
      <c r="A165" s="26">
        <v>2</v>
      </c>
      <c r="B165" s="5">
        <v>2</v>
      </c>
      <c r="C165" s="5">
        <v>5</v>
      </c>
      <c r="D165" s="5"/>
      <c r="E165" s="5"/>
      <c r="F165" s="5"/>
      <c r="G165" s="5"/>
      <c r="H165" s="2">
        <f>H164+B165+F165-(C165+D165+G165)-E165</f>
        <v>13</v>
      </c>
    </row>
    <row r="166" spans="1:8" x14ac:dyDescent="0.25">
      <c r="A166" s="26">
        <v>3</v>
      </c>
      <c r="B166" s="5">
        <v>2</v>
      </c>
      <c r="C166" s="5">
        <v>3</v>
      </c>
      <c r="D166" s="5"/>
      <c r="E166" s="5"/>
      <c r="F166" s="5"/>
      <c r="G166" s="5"/>
      <c r="H166" s="2">
        <f>H165+B166+F166-(C166+D166+G166)-E166</f>
        <v>12</v>
      </c>
    </row>
    <row r="167" spans="1:8" x14ac:dyDescent="0.25">
      <c r="A167" s="26">
        <v>4</v>
      </c>
      <c r="B167" s="5">
        <v>3</v>
      </c>
      <c r="C167" s="5">
        <v>3</v>
      </c>
      <c r="D167" s="5"/>
      <c r="E167" s="5"/>
      <c r="F167" s="5">
        <v>1</v>
      </c>
      <c r="G167" s="5"/>
      <c r="H167" s="2">
        <f t="shared" ref="H167:H194" si="8">H166+B167+F167-(C167+D167+G167)-E167</f>
        <v>13</v>
      </c>
    </row>
    <row r="168" spans="1:8" x14ac:dyDescent="0.25">
      <c r="A168" s="26">
        <v>5</v>
      </c>
      <c r="B168" s="5">
        <v>7</v>
      </c>
      <c r="C168" s="5">
        <v>3</v>
      </c>
      <c r="D168" s="5"/>
      <c r="E168" s="5"/>
      <c r="F168" s="5"/>
      <c r="G168" s="5"/>
      <c r="H168" s="2">
        <f t="shared" si="8"/>
        <v>17</v>
      </c>
    </row>
    <row r="169" spans="1:8" x14ac:dyDescent="0.25">
      <c r="A169" s="26">
        <v>6</v>
      </c>
      <c r="B169" s="5">
        <v>1</v>
      </c>
      <c r="C169" s="5">
        <v>3</v>
      </c>
      <c r="D169" s="5"/>
      <c r="E169" s="5"/>
      <c r="F169" s="5"/>
      <c r="G169" s="5"/>
      <c r="H169" s="2">
        <f t="shared" si="8"/>
        <v>15</v>
      </c>
    </row>
    <row r="170" spans="1:8" x14ac:dyDescent="0.25">
      <c r="A170" s="26">
        <v>7</v>
      </c>
      <c r="B170" s="5">
        <v>8</v>
      </c>
      <c r="C170" s="5">
        <v>7</v>
      </c>
      <c r="D170" s="5"/>
      <c r="E170" s="5"/>
      <c r="F170" s="5"/>
      <c r="G170" s="5"/>
      <c r="H170" s="2">
        <f t="shared" si="8"/>
        <v>16</v>
      </c>
    </row>
    <row r="171" spans="1:8" x14ac:dyDescent="0.25">
      <c r="A171" s="26">
        <v>8</v>
      </c>
      <c r="B171" s="5">
        <v>5</v>
      </c>
      <c r="C171" s="5">
        <v>2</v>
      </c>
      <c r="D171" s="5"/>
      <c r="E171" s="5"/>
      <c r="F171" s="5"/>
      <c r="G171" s="5">
        <v>1</v>
      </c>
      <c r="H171" s="2">
        <f t="shared" si="8"/>
        <v>18</v>
      </c>
    </row>
    <row r="172" spans="1:8" x14ac:dyDescent="0.25">
      <c r="A172" s="26">
        <v>9</v>
      </c>
      <c r="B172" s="5">
        <v>5</v>
      </c>
      <c r="C172" s="5">
        <v>2</v>
      </c>
      <c r="D172" s="5"/>
      <c r="E172" s="5"/>
      <c r="F172" s="5"/>
      <c r="G172" s="5"/>
      <c r="H172" s="2">
        <f t="shared" si="8"/>
        <v>21</v>
      </c>
    </row>
    <row r="173" spans="1:8" x14ac:dyDescent="0.25">
      <c r="A173" s="26">
        <v>10</v>
      </c>
      <c r="B173" s="5">
        <v>1</v>
      </c>
      <c r="C173" s="5">
        <v>7</v>
      </c>
      <c r="D173" s="5"/>
      <c r="E173" s="5"/>
      <c r="F173" s="5"/>
      <c r="G173" s="5"/>
      <c r="H173" s="2">
        <f t="shared" si="8"/>
        <v>15</v>
      </c>
    </row>
    <row r="174" spans="1:8" x14ac:dyDescent="0.25">
      <c r="A174" s="26">
        <v>11</v>
      </c>
      <c r="B174" s="5">
        <v>3</v>
      </c>
      <c r="C174" s="5">
        <v>2</v>
      </c>
      <c r="D174" s="5"/>
      <c r="E174" s="5"/>
      <c r="F174" s="5"/>
      <c r="G174" s="5">
        <v>1</v>
      </c>
      <c r="H174" s="2">
        <f t="shared" si="8"/>
        <v>15</v>
      </c>
    </row>
    <row r="175" spans="1:8" x14ac:dyDescent="0.25">
      <c r="A175" s="26">
        <v>12</v>
      </c>
      <c r="B175" s="5">
        <v>8</v>
      </c>
      <c r="C175" s="5">
        <v>6</v>
      </c>
      <c r="D175" s="5"/>
      <c r="E175" s="5"/>
      <c r="F175" s="5"/>
      <c r="G175" s="5"/>
      <c r="H175" s="2">
        <f t="shared" si="8"/>
        <v>17</v>
      </c>
    </row>
    <row r="176" spans="1:8" x14ac:dyDescent="0.25">
      <c r="A176" s="26">
        <v>13</v>
      </c>
      <c r="B176" s="5">
        <v>2</v>
      </c>
      <c r="C176" s="5">
        <v>5</v>
      </c>
      <c r="D176" s="5"/>
      <c r="E176" s="5"/>
      <c r="F176" s="5"/>
      <c r="G176" s="5"/>
      <c r="H176" s="2">
        <f t="shared" si="8"/>
        <v>14</v>
      </c>
    </row>
    <row r="177" spans="1:8" x14ac:dyDescent="0.25">
      <c r="A177" s="26">
        <v>14</v>
      </c>
      <c r="B177" s="5">
        <v>6</v>
      </c>
      <c r="C177" s="5">
        <v>2</v>
      </c>
      <c r="D177" s="5"/>
      <c r="E177" s="5"/>
      <c r="F177" s="5"/>
      <c r="G177" s="5"/>
      <c r="H177" s="2">
        <f t="shared" si="8"/>
        <v>18</v>
      </c>
    </row>
    <row r="178" spans="1:8" x14ac:dyDescent="0.25">
      <c r="A178" s="26">
        <v>15</v>
      </c>
      <c r="B178" s="5">
        <v>4</v>
      </c>
      <c r="C178" s="5">
        <v>3</v>
      </c>
      <c r="D178" s="5"/>
      <c r="E178" s="5"/>
      <c r="F178" s="5"/>
      <c r="G178" s="5"/>
      <c r="H178" s="2">
        <f t="shared" si="8"/>
        <v>19</v>
      </c>
    </row>
    <row r="179" spans="1:8" x14ac:dyDescent="0.25">
      <c r="A179" s="26">
        <v>16</v>
      </c>
      <c r="B179" s="5">
        <v>2</v>
      </c>
      <c r="C179" s="5">
        <v>8</v>
      </c>
      <c r="D179" s="5"/>
      <c r="E179" s="5"/>
      <c r="F179" s="5"/>
      <c r="G179" s="5"/>
      <c r="H179" s="2">
        <f t="shared" si="8"/>
        <v>13</v>
      </c>
    </row>
    <row r="180" spans="1:8" x14ac:dyDescent="0.25">
      <c r="A180" s="26">
        <v>17</v>
      </c>
      <c r="B180" s="5">
        <v>3</v>
      </c>
      <c r="C180" s="5">
        <v>5</v>
      </c>
      <c r="D180" s="5"/>
      <c r="E180" s="5"/>
      <c r="F180" s="5"/>
      <c r="G180" s="5"/>
      <c r="H180" s="2">
        <f t="shared" si="8"/>
        <v>11</v>
      </c>
    </row>
    <row r="181" spans="1:8" x14ac:dyDescent="0.25">
      <c r="A181" s="26">
        <v>18</v>
      </c>
      <c r="B181" s="5">
        <v>1</v>
      </c>
      <c r="C181" s="5">
        <v>3</v>
      </c>
      <c r="D181" s="5"/>
      <c r="E181" s="5"/>
      <c r="F181" s="5"/>
      <c r="G181" s="5"/>
      <c r="H181" s="2">
        <f t="shared" si="8"/>
        <v>9</v>
      </c>
    </row>
    <row r="182" spans="1:8" x14ac:dyDescent="0.25">
      <c r="A182" s="26">
        <v>19</v>
      </c>
      <c r="B182" s="5">
        <v>4</v>
      </c>
      <c r="C182" s="5">
        <v>3</v>
      </c>
      <c r="D182" s="5"/>
      <c r="E182" s="5"/>
      <c r="F182" s="5"/>
      <c r="G182" s="5"/>
      <c r="H182" s="2">
        <f t="shared" si="8"/>
        <v>10</v>
      </c>
    </row>
    <row r="183" spans="1:8" x14ac:dyDescent="0.25">
      <c r="A183" s="26">
        <v>20</v>
      </c>
      <c r="B183" s="5">
        <v>2</v>
      </c>
      <c r="C183" s="5">
        <v>3</v>
      </c>
      <c r="D183" s="5"/>
      <c r="E183" s="5"/>
      <c r="F183" s="5"/>
      <c r="G183" s="5"/>
      <c r="H183" s="2">
        <f t="shared" si="8"/>
        <v>9</v>
      </c>
    </row>
    <row r="184" spans="1:8" x14ac:dyDescent="0.25">
      <c r="A184" s="26">
        <v>21</v>
      </c>
      <c r="B184" s="5"/>
      <c r="C184" s="5">
        <v>5</v>
      </c>
      <c r="D184" s="5"/>
      <c r="E184" s="5"/>
      <c r="F184" s="5"/>
      <c r="G184" s="5"/>
      <c r="H184" s="2">
        <f t="shared" si="8"/>
        <v>4</v>
      </c>
    </row>
    <row r="185" spans="1:8" x14ac:dyDescent="0.25">
      <c r="A185" s="26">
        <v>22</v>
      </c>
      <c r="B185" s="5">
        <v>1</v>
      </c>
      <c r="C185" s="5">
        <v>1</v>
      </c>
      <c r="D185" s="5"/>
      <c r="E185" s="5"/>
      <c r="F185" s="5">
        <v>1</v>
      </c>
      <c r="G185" s="5"/>
      <c r="H185" s="2">
        <f t="shared" si="8"/>
        <v>5</v>
      </c>
    </row>
    <row r="186" spans="1:8" x14ac:dyDescent="0.25">
      <c r="A186" s="26">
        <v>23</v>
      </c>
      <c r="B186" s="5">
        <v>4</v>
      </c>
      <c r="C186" s="5">
        <v>1</v>
      </c>
      <c r="D186" s="5"/>
      <c r="E186" s="5"/>
      <c r="F186" s="5"/>
      <c r="G186" s="5"/>
      <c r="H186" s="2">
        <f t="shared" si="8"/>
        <v>8</v>
      </c>
    </row>
    <row r="187" spans="1:8" x14ac:dyDescent="0.25">
      <c r="A187" s="26">
        <v>24</v>
      </c>
      <c r="B187" s="5">
        <v>4</v>
      </c>
      <c r="C187" s="5">
        <v>1</v>
      </c>
      <c r="D187" s="5"/>
      <c r="E187" s="5"/>
      <c r="F187" s="5"/>
      <c r="G187" s="5"/>
      <c r="H187" s="2">
        <f t="shared" si="8"/>
        <v>11</v>
      </c>
    </row>
    <row r="188" spans="1:8" x14ac:dyDescent="0.25">
      <c r="A188" s="26">
        <v>25</v>
      </c>
      <c r="B188" s="5"/>
      <c r="C188" s="5">
        <v>1</v>
      </c>
      <c r="D188" s="5"/>
      <c r="E188" s="5"/>
      <c r="F188" s="5"/>
      <c r="G188" s="5"/>
      <c r="H188" s="2">
        <f t="shared" si="8"/>
        <v>10</v>
      </c>
    </row>
    <row r="189" spans="1:8" x14ac:dyDescent="0.25">
      <c r="A189" s="26">
        <v>26</v>
      </c>
      <c r="B189" s="5">
        <v>5</v>
      </c>
      <c r="C189" s="5">
        <v>4</v>
      </c>
      <c r="D189" s="5"/>
      <c r="E189" s="5"/>
      <c r="F189" s="5"/>
      <c r="G189" s="5"/>
      <c r="H189" s="2">
        <f t="shared" si="8"/>
        <v>11</v>
      </c>
    </row>
    <row r="190" spans="1:8" x14ac:dyDescent="0.25">
      <c r="A190" s="26">
        <v>27</v>
      </c>
      <c r="B190" s="5">
        <v>7</v>
      </c>
      <c r="C190" s="5">
        <v>4</v>
      </c>
      <c r="D190" s="5"/>
      <c r="E190" s="5"/>
      <c r="F190" s="5"/>
      <c r="G190" s="5"/>
      <c r="H190" s="2">
        <f t="shared" si="8"/>
        <v>14</v>
      </c>
    </row>
    <row r="191" spans="1:8" x14ac:dyDescent="0.25">
      <c r="A191" s="26">
        <v>28</v>
      </c>
      <c r="B191" s="5">
        <v>4</v>
      </c>
      <c r="C191" s="5">
        <v>4</v>
      </c>
      <c r="D191" s="5"/>
      <c r="E191" s="5"/>
      <c r="F191" s="5"/>
      <c r="G191" s="5"/>
      <c r="H191" s="2">
        <f t="shared" si="8"/>
        <v>14</v>
      </c>
    </row>
    <row r="192" spans="1:8" x14ac:dyDescent="0.25">
      <c r="A192" s="26">
        <v>29</v>
      </c>
      <c r="B192" s="5"/>
      <c r="C192" s="5">
        <v>5</v>
      </c>
      <c r="D192" s="5"/>
      <c r="E192" s="5"/>
      <c r="F192" s="5"/>
      <c r="G192" s="5"/>
      <c r="H192" s="2">
        <f t="shared" si="8"/>
        <v>9</v>
      </c>
    </row>
    <row r="193" spans="1:8" x14ac:dyDescent="0.25">
      <c r="A193" s="28">
        <v>30</v>
      </c>
      <c r="B193" s="29">
        <v>6</v>
      </c>
      <c r="C193" s="29">
        <v>6</v>
      </c>
      <c r="D193" s="29"/>
      <c r="E193" s="29"/>
      <c r="F193" s="29"/>
      <c r="G193" s="29"/>
      <c r="H193" s="57">
        <f t="shared" si="8"/>
        <v>9</v>
      </c>
    </row>
    <row r="194" spans="1:8" ht="15.75" thickBot="1" x14ac:dyDescent="0.3">
      <c r="A194" s="63">
        <v>31</v>
      </c>
      <c r="B194" s="29">
        <v>2</v>
      </c>
      <c r="C194" s="29">
        <v>1</v>
      </c>
      <c r="D194" s="29"/>
      <c r="E194" s="29"/>
      <c r="F194" s="29"/>
      <c r="G194" s="29"/>
      <c r="H194" s="29">
        <f t="shared" si="8"/>
        <v>10</v>
      </c>
    </row>
    <row r="195" spans="1:8" ht="15.75" thickBot="1" x14ac:dyDescent="0.3">
      <c r="A195" s="60" t="s">
        <v>35</v>
      </c>
      <c r="B195" s="58">
        <f>SUM(B164:B194)-E195</f>
        <v>106</v>
      </c>
      <c r="C195" s="58">
        <f t="shared" ref="C195:H195" si="9">SUM(C164:C194)</f>
        <v>110</v>
      </c>
      <c r="D195" s="58">
        <f t="shared" si="9"/>
        <v>0</v>
      </c>
      <c r="E195" s="58">
        <f t="shared" si="9"/>
        <v>0</v>
      </c>
      <c r="F195" s="58">
        <f t="shared" si="9"/>
        <v>2</v>
      </c>
      <c r="G195" s="58">
        <f t="shared" si="9"/>
        <v>2</v>
      </c>
      <c r="H195" s="59">
        <f t="shared" si="9"/>
        <v>396</v>
      </c>
    </row>
    <row r="198" spans="1:8" ht="36" x14ac:dyDescent="0.55000000000000004">
      <c r="A198" s="605" t="s">
        <v>1</v>
      </c>
      <c r="B198" s="605"/>
      <c r="C198" s="605"/>
      <c r="D198" s="605"/>
      <c r="E198" s="605"/>
      <c r="F198" s="605"/>
      <c r="G198" s="605"/>
      <c r="H198" s="605"/>
    </row>
    <row r="199" spans="1:8" ht="27" thickBot="1" x14ac:dyDescent="0.45">
      <c r="A199" s="606" t="s">
        <v>0</v>
      </c>
      <c r="B199" s="606"/>
      <c r="C199" s="606"/>
      <c r="D199" s="606"/>
      <c r="E199" s="606"/>
      <c r="F199" s="606"/>
      <c r="G199" s="606"/>
      <c r="H199" s="606"/>
    </row>
    <row r="200" spans="1:8" ht="15.75" x14ac:dyDescent="0.25">
      <c r="A200" s="39" t="s">
        <v>2</v>
      </c>
      <c r="B200" s="19" t="s">
        <v>3</v>
      </c>
      <c r="C200" s="20"/>
      <c r="D200" s="21" t="s">
        <v>52</v>
      </c>
      <c r="E200" s="607" t="s">
        <v>38</v>
      </c>
      <c r="F200" s="608"/>
      <c r="G200" s="19" t="s">
        <v>16</v>
      </c>
      <c r="H200" s="32" t="s">
        <v>60</v>
      </c>
    </row>
    <row r="201" spans="1:8" ht="15.75" x14ac:dyDescent="0.25">
      <c r="A201" s="609" t="s">
        <v>6</v>
      </c>
      <c r="B201" s="610"/>
      <c r="C201" s="610"/>
      <c r="D201" s="610"/>
      <c r="E201" s="610"/>
      <c r="F201" s="611"/>
      <c r="G201" s="1"/>
      <c r="H201" s="2">
        <f>H194</f>
        <v>10</v>
      </c>
    </row>
    <row r="202" spans="1:8" ht="15.75" x14ac:dyDescent="0.25">
      <c r="A202" s="3" t="s">
        <v>7</v>
      </c>
      <c r="B202" s="1"/>
      <c r="C202" s="1"/>
      <c r="D202" s="1"/>
      <c r="E202" s="1"/>
      <c r="F202" s="1"/>
      <c r="G202" s="1"/>
      <c r="H202" s="2">
        <v>20</v>
      </c>
    </row>
    <row r="203" spans="1:8" ht="51.75" thickBot="1" x14ac:dyDescent="0.3">
      <c r="A203" s="40" t="s">
        <v>8</v>
      </c>
      <c r="B203" s="41" t="s">
        <v>9</v>
      </c>
      <c r="C203" s="41" t="s">
        <v>10</v>
      </c>
      <c r="D203" s="41" t="s">
        <v>11</v>
      </c>
      <c r="E203" s="41" t="s">
        <v>12</v>
      </c>
      <c r="F203" s="41" t="s">
        <v>13</v>
      </c>
      <c r="G203" s="41" t="s">
        <v>14</v>
      </c>
      <c r="H203" s="42" t="s">
        <v>15</v>
      </c>
    </row>
    <row r="204" spans="1:8" x14ac:dyDescent="0.25">
      <c r="A204" s="36">
        <v>1</v>
      </c>
      <c r="B204" s="37">
        <v>1</v>
      </c>
      <c r="C204" s="37">
        <v>7</v>
      </c>
      <c r="D204" s="37"/>
      <c r="E204" s="37"/>
      <c r="F204" s="37"/>
      <c r="G204" s="37"/>
      <c r="H204" s="38">
        <f>H201+B204+F204-(C204+D204+G204)-E204</f>
        <v>4</v>
      </c>
    </row>
    <row r="205" spans="1:8" x14ac:dyDescent="0.25">
      <c r="A205" s="26">
        <v>2</v>
      </c>
      <c r="B205" s="5">
        <v>2</v>
      </c>
      <c r="C205" s="5"/>
      <c r="D205" s="5"/>
      <c r="E205" s="5"/>
      <c r="F205" s="5"/>
      <c r="G205" s="5"/>
      <c r="H205" s="2">
        <f>H204+B205+F205-(C205+D205+G205)-E205</f>
        <v>6</v>
      </c>
    </row>
    <row r="206" spans="1:8" x14ac:dyDescent="0.25">
      <c r="A206" s="26">
        <v>3</v>
      </c>
      <c r="B206" s="5">
        <v>1</v>
      </c>
      <c r="C206" s="5">
        <v>2</v>
      </c>
      <c r="D206" s="5"/>
      <c r="E206" s="5"/>
      <c r="F206" s="5"/>
      <c r="G206" s="5">
        <v>1</v>
      </c>
      <c r="H206" s="2">
        <f>H205+B206+F206-(C206+D206+G206)-E206</f>
        <v>4</v>
      </c>
    </row>
    <row r="207" spans="1:8" x14ac:dyDescent="0.25">
      <c r="A207" s="26">
        <v>4</v>
      </c>
      <c r="B207" s="5">
        <v>4</v>
      </c>
      <c r="C207" s="5">
        <v>1</v>
      </c>
      <c r="D207" s="5"/>
      <c r="E207" s="5"/>
      <c r="F207" s="5">
        <v>1</v>
      </c>
      <c r="G207" s="5">
        <v>1</v>
      </c>
      <c r="H207" s="2">
        <f t="shared" ref="H207:H233" si="10">H206+B207+F207-(C207+D207+G207)-E207</f>
        <v>7</v>
      </c>
    </row>
    <row r="208" spans="1:8" x14ac:dyDescent="0.25">
      <c r="A208" s="26">
        <v>5</v>
      </c>
      <c r="B208" s="5"/>
      <c r="C208" s="5"/>
      <c r="D208" s="5"/>
      <c r="E208" s="5"/>
      <c r="F208" s="5"/>
      <c r="G208" s="5">
        <v>1</v>
      </c>
      <c r="H208" s="2">
        <f t="shared" si="10"/>
        <v>6</v>
      </c>
    </row>
    <row r="209" spans="1:8" x14ac:dyDescent="0.25">
      <c r="A209" s="26">
        <v>6</v>
      </c>
      <c r="B209" s="5">
        <v>1</v>
      </c>
      <c r="C209" s="5">
        <v>4</v>
      </c>
      <c r="D209" s="5"/>
      <c r="E209" s="5"/>
      <c r="F209" s="5"/>
      <c r="G209" s="5"/>
      <c r="H209" s="2">
        <f t="shared" si="10"/>
        <v>3</v>
      </c>
    </row>
    <row r="210" spans="1:8" x14ac:dyDescent="0.25">
      <c r="A210" s="26">
        <v>7</v>
      </c>
      <c r="B210" s="5">
        <v>2</v>
      </c>
      <c r="C210" s="5">
        <v>1</v>
      </c>
      <c r="D210" s="5"/>
      <c r="E210" s="5"/>
      <c r="F210" s="5"/>
      <c r="G210" s="5"/>
      <c r="H210" s="2">
        <f t="shared" si="10"/>
        <v>4</v>
      </c>
    </row>
    <row r="211" spans="1:8" x14ac:dyDescent="0.25">
      <c r="A211" s="26">
        <v>8</v>
      </c>
      <c r="B211" s="5">
        <v>1</v>
      </c>
      <c r="C211" s="5"/>
      <c r="D211" s="5"/>
      <c r="E211" s="5"/>
      <c r="F211" s="5"/>
      <c r="G211" s="5"/>
      <c r="H211" s="2">
        <f t="shared" si="10"/>
        <v>5</v>
      </c>
    </row>
    <row r="212" spans="1:8" x14ac:dyDescent="0.25">
      <c r="A212" s="26">
        <v>9</v>
      </c>
      <c r="B212" s="5"/>
      <c r="C212" s="5">
        <v>4</v>
      </c>
      <c r="D212" s="5">
        <v>1</v>
      </c>
      <c r="E212" s="5"/>
      <c r="F212" s="5"/>
      <c r="G212" s="5"/>
      <c r="H212" s="2">
        <f t="shared" si="10"/>
        <v>0</v>
      </c>
    </row>
    <row r="213" spans="1:8" x14ac:dyDescent="0.25">
      <c r="A213" s="26">
        <v>10</v>
      </c>
      <c r="B213" s="5"/>
      <c r="C213" s="5"/>
      <c r="D213" s="5"/>
      <c r="E213" s="5"/>
      <c r="F213" s="5"/>
      <c r="G213" s="5"/>
      <c r="H213" s="2">
        <f t="shared" si="10"/>
        <v>0</v>
      </c>
    </row>
    <row r="214" spans="1:8" x14ac:dyDescent="0.25">
      <c r="A214" s="26">
        <v>11</v>
      </c>
      <c r="B214" s="5"/>
      <c r="C214" s="5"/>
      <c r="D214" s="5"/>
      <c r="E214" s="5"/>
      <c r="F214" s="5"/>
      <c r="G214" s="5"/>
      <c r="H214" s="2">
        <f t="shared" si="10"/>
        <v>0</v>
      </c>
    </row>
    <row r="215" spans="1:8" x14ac:dyDescent="0.25">
      <c r="A215" s="26">
        <v>12</v>
      </c>
      <c r="B215" s="5"/>
      <c r="C215" s="5"/>
      <c r="D215" s="5"/>
      <c r="E215" s="5"/>
      <c r="F215" s="5"/>
      <c r="G215" s="5"/>
      <c r="H215" s="2">
        <f t="shared" si="10"/>
        <v>0</v>
      </c>
    </row>
    <row r="216" spans="1:8" x14ac:dyDescent="0.25">
      <c r="A216" s="26">
        <v>13</v>
      </c>
      <c r="B216" s="5"/>
      <c r="C216" s="5"/>
      <c r="D216" s="5"/>
      <c r="E216" s="5"/>
      <c r="F216" s="5"/>
      <c r="G216" s="5"/>
      <c r="H216" s="2">
        <f t="shared" si="10"/>
        <v>0</v>
      </c>
    </row>
    <row r="217" spans="1:8" x14ac:dyDescent="0.25">
      <c r="A217" s="26">
        <v>14</v>
      </c>
      <c r="B217" s="5">
        <v>1</v>
      </c>
      <c r="C217" s="5"/>
      <c r="D217" s="5"/>
      <c r="E217" s="5"/>
      <c r="F217" s="5"/>
      <c r="G217" s="5"/>
      <c r="H217" s="2">
        <f t="shared" si="10"/>
        <v>1</v>
      </c>
    </row>
    <row r="218" spans="1:8" x14ac:dyDescent="0.25">
      <c r="A218" s="26">
        <v>15</v>
      </c>
      <c r="B218" s="5">
        <v>3</v>
      </c>
      <c r="C218" s="5"/>
      <c r="D218" s="5"/>
      <c r="E218" s="5"/>
      <c r="F218" s="5"/>
      <c r="G218" s="5"/>
      <c r="H218" s="2">
        <f t="shared" si="10"/>
        <v>4</v>
      </c>
    </row>
    <row r="219" spans="1:8" x14ac:dyDescent="0.25">
      <c r="A219" s="26">
        <v>16</v>
      </c>
      <c r="B219" s="5">
        <v>7</v>
      </c>
      <c r="C219" s="5">
        <v>2</v>
      </c>
      <c r="D219" s="5"/>
      <c r="E219" s="5"/>
      <c r="F219" s="5"/>
      <c r="G219" s="5"/>
      <c r="H219" s="2">
        <f t="shared" si="10"/>
        <v>9</v>
      </c>
    </row>
    <row r="220" spans="1:8" x14ac:dyDescent="0.25">
      <c r="A220" s="26">
        <v>17</v>
      </c>
      <c r="B220" s="5">
        <v>4</v>
      </c>
      <c r="C220" s="5">
        <v>2</v>
      </c>
      <c r="D220" s="5"/>
      <c r="E220" s="5"/>
      <c r="F220" s="5"/>
      <c r="G220" s="5"/>
      <c r="H220" s="2">
        <f t="shared" si="10"/>
        <v>11</v>
      </c>
    </row>
    <row r="221" spans="1:8" x14ac:dyDescent="0.25">
      <c r="A221" s="26">
        <v>18</v>
      </c>
      <c r="B221" s="5">
        <v>6</v>
      </c>
      <c r="C221" s="5">
        <v>5</v>
      </c>
      <c r="D221" s="5"/>
      <c r="E221" s="5"/>
      <c r="F221" s="5"/>
      <c r="G221" s="5"/>
      <c r="H221" s="2">
        <f t="shared" si="10"/>
        <v>12</v>
      </c>
    </row>
    <row r="222" spans="1:8" x14ac:dyDescent="0.25">
      <c r="A222" s="26">
        <v>19</v>
      </c>
      <c r="B222" s="5">
        <v>1</v>
      </c>
      <c r="C222" s="5">
        <v>6</v>
      </c>
      <c r="D222" s="5"/>
      <c r="E222" s="5"/>
      <c r="F222" s="5"/>
      <c r="G222" s="5"/>
      <c r="H222" s="2">
        <f t="shared" si="10"/>
        <v>7</v>
      </c>
    </row>
    <row r="223" spans="1:8" x14ac:dyDescent="0.25">
      <c r="A223" s="26">
        <v>20</v>
      </c>
      <c r="B223" s="5">
        <v>3</v>
      </c>
      <c r="C223" s="5">
        <v>2</v>
      </c>
      <c r="D223" s="5"/>
      <c r="E223" s="5"/>
      <c r="F223" s="5"/>
      <c r="G223" s="5"/>
      <c r="H223" s="2">
        <f t="shared" si="10"/>
        <v>8</v>
      </c>
    </row>
    <row r="224" spans="1:8" x14ac:dyDescent="0.25">
      <c r="A224" s="26">
        <v>21</v>
      </c>
      <c r="B224" s="5">
        <v>2</v>
      </c>
      <c r="C224" s="5">
        <v>5</v>
      </c>
      <c r="D224" s="5"/>
      <c r="E224" s="5"/>
      <c r="F224" s="5"/>
      <c r="G224" s="5"/>
      <c r="H224" s="2">
        <f t="shared" si="10"/>
        <v>5</v>
      </c>
    </row>
    <row r="225" spans="1:8" x14ac:dyDescent="0.25">
      <c r="A225" s="26">
        <v>22</v>
      </c>
      <c r="B225" s="5">
        <v>3</v>
      </c>
      <c r="C225" s="5"/>
      <c r="D225" s="5"/>
      <c r="E225" s="5"/>
      <c r="F225" s="5"/>
      <c r="G225" s="5"/>
      <c r="H225" s="2">
        <f t="shared" si="10"/>
        <v>8</v>
      </c>
    </row>
    <row r="226" spans="1:8" x14ac:dyDescent="0.25">
      <c r="A226" s="26">
        <v>23</v>
      </c>
      <c r="B226" s="5">
        <v>3</v>
      </c>
      <c r="C226" s="5">
        <v>3</v>
      </c>
      <c r="D226" s="5"/>
      <c r="E226" s="5"/>
      <c r="F226" s="5"/>
      <c r="G226" s="5"/>
      <c r="H226" s="2">
        <f t="shared" si="10"/>
        <v>8</v>
      </c>
    </row>
    <row r="227" spans="1:8" x14ac:dyDescent="0.25">
      <c r="A227" s="26">
        <v>24</v>
      </c>
      <c r="B227" s="5">
        <v>3</v>
      </c>
      <c r="C227" s="5">
        <v>1</v>
      </c>
      <c r="D227" s="5"/>
      <c r="E227" s="5"/>
      <c r="F227" s="5"/>
      <c r="G227" s="5"/>
      <c r="H227" s="2">
        <f t="shared" si="10"/>
        <v>10</v>
      </c>
    </row>
    <row r="228" spans="1:8" x14ac:dyDescent="0.25">
      <c r="A228" s="26">
        <v>25</v>
      </c>
      <c r="B228" s="5">
        <v>5</v>
      </c>
      <c r="C228" s="5">
        <v>2</v>
      </c>
      <c r="D228" s="5"/>
      <c r="E228" s="5"/>
      <c r="F228" s="5"/>
      <c r="G228" s="5"/>
      <c r="H228" s="2">
        <f t="shared" si="10"/>
        <v>13</v>
      </c>
    </row>
    <row r="229" spans="1:8" x14ac:dyDescent="0.25">
      <c r="A229" s="26">
        <v>26</v>
      </c>
      <c r="B229" s="5">
        <v>6</v>
      </c>
      <c r="C229" s="5">
        <v>3</v>
      </c>
      <c r="D229" s="5"/>
      <c r="E229" s="5"/>
      <c r="F229" s="5"/>
      <c r="G229" s="5"/>
      <c r="H229" s="2">
        <f t="shared" si="10"/>
        <v>16</v>
      </c>
    </row>
    <row r="230" spans="1:8" x14ac:dyDescent="0.25">
      <c r="A230" s="26">
        <v>27</v>
      </c>
      <c r="B230" s="5">
        <v>2</v>
      </c>
      <c r="C230" s="5">
        <v>6</v>
      </c>
      <c r="D230" s="5"/>
      <c r="E230" s="5"/>
      <c r="F230" s="5"/>
      <c r="G230" s="5"/>
      <c r="H230" s="2">
        <f t="shared" si="10"/>
        <v>12</v>
      </c>
    </row>
    <row r="231" spans="1:8" x14ac:dyDescent="0.25">
      <c r="A231" s="26">
        <v>28</v>
      </c>
      <c r="B231" s="5">
        <v>1</v>
      </c>
      <c r="C231" s="5">
        <v>4</v>
      </c>
      <c r="D231" s="5"/>
      <c r="E231" s="5"/>
      <c r="F231" s="5"/>
      <c r="G231" s="5"/>
      <c r="H231" s="2">
        <f t="shared" si="10"/>
        <v>9</v>
      </c>
    </row>
    <row r="232" spans="1:8" x14ac:dyDescent="0.25">
      <c r="A232" s="26">
        <v>29</v>
      </c>
      <c r="B232" s="5"/>
      <c r="C232" s="5"/>
      <c r="D232" s="5"/>
      <c r="E232" s="5"/>
      <c r="F232" s="5"/>
      <c r="G232" s="5"/>
      <c r="H232" s="2">
        <f t="shared" si="10"/>
        <v>9</v>
      </c>
    </row>
    <row r="233" spans="1:8" ht="15.75" thickBot="1" x14ac:dyDescent="0.3">
      <c r="A233" s="28">
        <v>30</v>
      </c>
      <c r="B233" s="29">
        <v>5</v>
      </c>
      <c r="C233" s="29">
        <v>4</v>
      </c>
      <c r="D233" s="29"/>
      <c r="E233" s="29"/>
      <c r="F233" s="29"/>
      <c r="G233" s="29"/>
      <c r="H233" s="57">
        <f t="shared" si="10"/>
        <v>10</v>
      </c>
    </row>
    <row r="234" spans="1:8" ht="15.75" thickBot="1" x14ac:dyDescent="0.3">
      <c r="A234" s="60" t="s">
        <v>35</v>
      </c>
      <c r="B234" s="58">
        <f>SUM(B204:B233)-E234</f>
        <v>67</v>
      </c>
      <c r="C234" s="58">
        <f t="shared" ref="C234:H234" si="11">SUM(C204:C233)</f>
        <v>64</v>
      </c>
      <c r="D234" s="58">
        <f t="shared" si="11"/>
        <v>1</v>
      </c>
      <c r="E234" s="58">
        <f t="shared" si="11"/>
        <v>0</v>
      </c>
      <c r="F234" s="58">
        <f t="shared" si="11"/>
        <v>1</v>
      </c>
      <c r="G234" s="58">
        <f t="shared" si="11"/>
        <v>3</v>
      </c>
      <c r="H234" s="59">
        <f t="shared" si="11"/>
        <v>191</v>
      </c>
    </row>
    <row r="237" spans="1:8" ht="36" x14ac:dyDescent="0.55000000000000004">
      <c r="A237" s="605" t="s">
        <v>1</v>
      </c>
      <c r="B237" s="605"/>
      <c r="C237" s="605"/>
      <c r="D237" s="605"/>
      <c r="E237" s="605"/>
      <c r="F237" s="605"/>
      <c r="G237" s="605"/>
      <c r="H237" s="605"/>
    </row>
    <row r="238" spans="1:8" ht="27" thickBot="1" x14ac:dyDescent="0.45">
      <c r="A238" s="606" t="s">
        <v>0</v>
      </c>
      <c r="B238" s="606"/>
      <c r="C238" s="606"/>
      <c r="D238" s="606"/>
      <c r="E238" s="606"/>
      <c r="F238" s="606"/>
      <c r="G238" s="606"/>
      <c r="H238" s="606"/>
    </row>
    <row r="239" spans="1:8" ht="15.75" x14ac:dyDescent="0.25">
      <c r="A239" s="39" t="s">
        <v>2</v>
      </c>
      <c r="B239" s="19" t="s">
        <v>3</v>
      </c>
      <c r="C239" s="20"/>
      <c r="D239" s="21" t="s">
        <v>52</v>
      </c>
      <c r="E239" s="607" t="s">
        <v>38</v>
      </c>
      <c r="F239" s="608"/>
      <c r="G239" s="19" t="s">
        <v>16</v>
      </c>
      <c r="H239" s="32" t="s">
        <v>61</v>
      </c>
    </row>
    <row r="240" spans="1:8" ht="15.75" x14ac:dyDescent="0.25">
      <c r="A240" s="609" t="s">
        <v>6</v>
      </c>
      <c r="B240" s="610"/>
      <c r="C240" s="610"/>
      <c r="D240" s="610"/>
      <c r="E240" s="610"/>
      <c r="F240" s="611"/>
      <c r="G240" s="1"/>
      <c r="H240" s="2">
        <f>H233</f>
        <v>10</v>
      </c>
    </row>
    <row r="241" spans="1:8" ht="15.75" x14ac:dyDescent="0.25">
      <c r="A241" s="3" t="s">
        <v>7</v>
      </c>
      <c r="B241" s="1"/>
      <c r="C241" s="1"/>
      <c r="D241" s="1"/>
      <c r="E241" s="1"/>
      <c r="F241" s="1"/>
      <c r="G241" s="1"/>
      <c r="H241" s="2">
        <v>20</v>
      </c>
    </row>
    <row r="242" spans="1:8" ht="51.75" thickBot="1" x14ac:dyDescent="0.3">
      <c r="A242" s="40" t="s">
        <v>8</v>
      </c>
      <c r="B242" s="41" t="s">
        <v>9</v>
      </c>
      <c r="C242" s="41" t="s">
        <v>10</v>
      </c>
      <c r="D242" s="41" t="s">
        <v>11</v>
      </c>
      <c r="E242" s="41" t="s">
        <v>12</v>
      </c>
      <c r="F242" s="41" t="s">
        <v>13</v>
      </c>
      <c r="G242" s="41" t="s">
        <v>14</v>
      </c>
      <c r="H242" s="42" t="s">
        <v>15</v>
      </c>
    </row>
    <row r="243" spans="1:8" x14ac:dyDescent="0.25">
      <c r="A243" s="36">
        <v>1</v>
      </c>
      <c r="B243" s="37">
        <v>6</v>
      </c>
      <c r="C243" s="37">
        <v>2</v>
      </c>
      <c r="D243" s="37"/>
      <c r="E243" s="37"/>
      <c r="F243" s="37"/>
      <c r="G243" s="37"/>
      <c r="H243" s="38">
        <f>H240+B243+F243-(C243+D243+G243)-E243</f>
        <v>14</v>
      </c>
    </row>
    <row r="244" spans="1:8" x14ac:dyDescent="0.25">
      <c r="A244" s="26">
        <v>2</v>
      </c>
      <c r="B244" s="5">
        <v>4</v>
      </c>
      <c r="C244" s="5">
        <v>3</v>
      </c>
      <c r="D244" s="5"/>
      <c r="E244" s="5"/>
      <c r="F244" s="5"/>
      <c r="G244" s="5"/>
      <c r="H244" s="2">
        <f>H243+B244+F244-(C244+D244+G244)-E244</f>
        <v>15</v>
      </c>
    </row>
    <row r="245" spans="1:8" x14ac:dyDescent="0.25">
      <c r="A245" s="26">
        <v>3</v>
      </c>
      <c r="B245" s="5">
        <v>4</v>
      </c>
      <c r="C245" s="5">
        <v>3</v>
      </c>
      <c r="D245" s="5"/>
      <c r="E245" s="5"/>
      <c r="F245" s="5"/>
      <c r="G245" s="5">
        <v>2</v>
      </c>
      <c r="H245" s="2">
        <f>H244+B245+F245-(C245+D245+G245)-E245</f>
        <v>14</v>
      </c>
    </row>
    <row r="246" spans="1:8" x14ac:dyDescent="0.25">
      <c r="A246" s="26">
        <v>4</v>
      </c>
      <c r="B246" s="5">
        <v>2</v>
      </c>
      <c r="C246" s="5">
        <v>5</v>
      </c>
      <c r="D246" s="5"/>
      <c r="E246" s="5"/>
      <c r="F246" s="5"/>
      <c r="G246" s="5">
        <v>1</v>
      </c>
      <c r="H246" s="2">
        <f t="shared" ref="H246:H273" si="12">H245+B246+F246-(C246+D246+G246)-E246</f>
        <v>10</v>
      </c>
    </row>
    <row r="247" spans="1:8" x14ac:dyDescent="0.25">
      <c r="A247" s="26">
        <v>5</v>
      </c>
      <c r="B247" s="5">
        <v>5</v>
      </c>
      <c r="C247" s="5"/>
      <c r="D247" s="5"/>
      <c r="E247" s="5"/>
      <c r="F247" s="5"/>
      <c r="G247" s="5">
        <v>1</v>
      </c>
      <c r="H247" s="2">
        <f t="shared" si="12"/>
        <v>14</v>
      </c>
    </row>
    <row r="248" spans="1:8" x14ac:dyDescent="0.25">
      <c r="A248" s="26">
        <v>6</v>
      </c>
      <c r="B248" s="5">
        <v>4</v>
      </c>
      <c r="C248" s="5">
        <v>4</v>
      </c>
      <c r="D248" s="5"/>
      <c r="E248" s="5"/>
      <c r="F248" s="5"/>
      <c r="G248" s="5"/>
      <c r="H248" s="2">
        <f t="shared" si="12"/>
        <v>14</v>
      </c>
    </row>
    <row r="249" spans="1:8" x14ac:dyDescent="0.25">
      <c r="A249" s="26">
        <v>7</v>
      </c>
      <c r="B249" s="5">
        <v>1</v>
      </c>
      <c r="C249" s="5">
        <v>4</v>
      </c>
      <c r="D249" s="5"/>
      <c r="E249" s="5"/>
      <c r="F249" s="5"/>
      <c r="G249" s="5"/>
      <c r="H249" s="2">
        <f t="shared" si="12"/>
        <v>11</v>
      </c>
    </row>
    <row r="250" spans="1:8" x14ac:dyDescent="0.25">
      <c r="A250" s="26">
        <v>8</v>
      </c>
      <c r="B250" s="5">
        <v>4</v>
      </c>
      <c r="C250" s="5">
        <v>5</v>
      </c>
      <c r="D250" s="5"/>
      <c r="E250" s="5"/>
      <c r="F250" s="5"/>
      <c r="G250" s="5"/>
      <c r="H250" s="2">
        <f t="shared" si="12"/>
        <v>10</v>
      </c>
    </row>
    <row r="251" spans="1:8" x14ac:dyDescent="0.25">
      <c r="A251" s="26">
        <v>9</v>
      </c>
      <c r="B251" s="5">
        <v>4</v>
      </c>
      <c r="C251" s="5">
        <v>4</v>
      </c>
      <c r="D251" s="5"/>
      <c r="E251" s="5"/>
      <c r="F251" s="5"/>
      <c r="G251" s="5"/>
      <c r="H251" s="2">
        <f t="shared" si="12"/>
        <v>10</v>
      </c>
    </row>
    <row r="252" spans="1:8" x14ac:dyDescent="0.25">
      <c r="A252" s="26">
        <v>10</v>
      </c>
      <c r="B252" s="5">
        <v>1</v>
      </c>
      <c r="C252" s="5">
        <v>4</v>
      </c>
      <c r="D252" s="5"/>
      <c r="E252" s="5"/>
      <c r="F252" s="5"/>
      <c r="G252" s="5"/>
      <c r="H252" s="2">
        <f t="shared" si="12"/>
        <v>7</v>
      </c>
    </row>
    <row r="253" spans="1:8" x14ac:dyDescent="0.25">
      <c r="A253" s="26">
        <v>11</v>
      </c>
      <c r="B253" s="5">
        <v>3</v>
      </c>
      <c r="C253" s="5">
        <v>3</v>
      </c>
      <c r="D253" s="5"/>
      <c r="E253" s="5"/>
      <c r="F253" s="5"/>
      <c r="G253" s="5"/>
      <c r="H253" s="2">
        <f t="shared" si="12"/>
        <v>7</v>
      </c>
    </row>
    <row r="254" spans="1:8" x14ac:dyDescent="0.25">
      <c r="A254" s="26">
        <v>12</v>
      </c>
      <c r="B254" s="5"/>
      <c r="C254" s="5">
        <v>1</v>
      </c>
      <c r="D254" s="5"/>
      <c r="E254" s="5"/>
      <c r="F254" s="5"/>
      <c r="G254" s="5"/>
      <c r="H254" s="2">
        <f t="shared" si="12"/>
        <v>6</v>
      </c>
    </row>
    <row r="255" spans="1:8" x14ac:dyDescent="0.25">
      <c r="A255" s="26">
        <v>13</v>
      </c>
      <c r="B255" s="5">
        <v>1</v>
      </c>
      <c r="C255" s="5">
        <v>3</v>
      </c>
      <c r="D255" s="5"/>
      <c r="E255" s="5"/>
      <c r="F255" s="5"/>
      <c r="G255" s="5"/>
      <c r="H255" s="2">
        <f t="shared" si="12"/>
        <v>4</v>
      </c>
    </row>
    <row r="256" spans="1:8" x14ac:dyDescent="0.25">
      <c r="A256" s="26">
        <v>14</v>
      </c>
      <c r="B256" s="5">
        <v>6</v>
      </c>
      <c r="C256" s="5"/>
      <c r="D256" s="5"/>
      <c r="E256" s="5"/>
      <c r="F256" s="5"/>
      <c r="G256" s="5"/>
      <c r="H256" s="2">
        <f t="shared" si="12"/>
        <v>10</v>
      </c>
    </row>
    <row r="257" spans="1:8" x14ac:dyDescent="0.25">
      <c r="A257" s="26">
        <v>15</v>
      </c>
      <c r="B257" s="5"/>
      <c r="C257" s="5">
        <v>1</v>
      </c>
      <c r="D257" s="5"/>
      <c r="E257" s="5"/>
      <c r="F257" s="5">
        <v>1</v>
      </c>
      <c r="G257" s="5"/>
      <c r="H257" s="2">
        <f t="shared" si="12"/>
        <v>10</v>
      </c>
    </row>
    <row r="258" spans="1:8" x14ac:dyDescent="0.25">
      <c r="A258" s="26">
        <v>16</v>
      </c>
      <c r="B258" s="5">
        <v>6</v>
      </c>
      <c r="C258" s="5">
        <v>3</v>
      </c>
      <c r="D258" s="5"/>
      <c r="E258" s="5"/>
      <c r="F258" s="5"/>
      <c r="G258" s="5"/>
      <c r="H258" s="2">
        <f t="shared" si="12"/>
        <v>13</v>
      </c>
    </row>
    <row r="259" spans="1:8" x14ac:dyDescent="0.25">
      <c r="A259" s="26">
        <v>17</v>
      </c>
      <c r="B259" s="5"/>
      <c r="C259" s="5">
        <v>5</v>
      </c>
      <c r="D259" s="5"/>
      <c r="E259" s="5"/>
      <c r="F259" s="5"/>
      <c r="G259" s="5">
        <v>1</v>
      </c>
      <c r="H259" s="2">
        <f t="shared" si="12"/>
        <v>7</v>
      </c>
    </row>
    <row r="260" spans="1:8" x14ac:dyDescent="0.25">
      <c r="A260" s="26">
        <v>18</v>
      </c>
      <c r="B260" s="5">
        <v>7</v>
      </c>
      <c r="C260" s="5">
        <v>2</v>
      </c>
      <c r="D260" s="5"/>
      <c r="E260" s="5"/>
      <c r="F260" s="5"/>
      <c r="G260" s="5"/>
      <c r="H260" s="2">
        <f t="shared" si="12"/>
        <v>12</v>
      </c>
    </row>
    <row r="261" spans="1:8" x14ac:dyDescent="0.25">
      <c r="A261" s="26">
        <v>19</v>
      </c>
      <c r="B261" s="5">
        <v>5</v>
      </c>
      <c r="C261" s="5">
        <v>3</v>
      </c>
      <c r="D261" s="5"/>
      <c r="E261" s="5"/>
      <c r="F261" s="5"/>
      <c r="G261" s="5"/>
      <c r="H261" s="2">
        <f t="shared" si="12"/>
        <v>14</v>
      </c>
    </row>
    <row r="262" spans="1:8" x14ac:dyDescent="0.25">
      <c r="A262" s="26">
        <v>20</v>
      </c>
      <c r="B262" s="5">
        <v>3</v>
      </c>
      <c r="C262" s="5">
        <v>4</v>
      </c>
      <c r="D262" s="5"/>
      <c r="E262" s="5"/>
      <c r="F262" s="5"/>
      <c r="G262" s="5">
        <v>1</v>
      </c>
      <c r="H262" s="2">
        <f t="shared" si="12"/>
        <v>12</v>
      </c>
    </row>
    <row r="263" spans="1:8" x14ac:dyDescent="0.25">
      <c r="A263" s="26">
        <v>21</v>
      </c>
      <c r="B263" s="5">
        <v>4</v>
      </c>
      <c r="C263" s="5">
        <v>6</v>
      </c>
      <c r="D263" s="5"/>
      <c r="E263" s="5"/>
      <c r="F263" s="5"/>
      <c r="G263" s="5">
        <v>1</v>
      </c>
      <c r="H263" s="2">
        <f t="shared" si="12"/>
        <v>9</v>
      </c>
    </row>
    <row r="264" spans="1:8" x14ac:dyDescent="0.25">
      <c r="A264" s="26">
        <v>22</v>
      </c>
      <c r="B264" s="5">
        <v>4</v>
      </c>
      <c r="C264" s="5">
        <v>1</v>
      </c>
      <c r="D264" s="5"/>
      <c r="E264" s="5"/>
      <c r="F264" s="5"/>
      <c r="G264" s="5"/>
      <c r="H264" s="2">
        <f t="shared" si="12"/>
        <v>12</v>
      </c>
    </row>
    <row r="265" spans="1:8" x14ac:dyDescent="0.25">
      <c r="A265" s="26">
        <v>23</v>
      </c>
      <c r="B265" s="5">
        <v>6</v>
      </c>
      <c r="C265" s="5">
        <v>2</v>
      </c>
      <c r="D265" s="5"/>
      <c r="E265" s="5"/>
      <c r="F265" s="5"/>
      <c r="G265" s="5"/>
      <c r="H265" s="2">
        <f t="shared" si="12"/>
        <v>16</v>
      </c>
    </row>
    <row r="266" spans="1:8" x14ac:dyDescent="0.25">
      <c r="A266" s="26">
        <v>24</v>
      </c>
      <c r="B266" s="5">
        <v>1</v>
      </c>
      <c r="C266" s="5">
        <v>4</v>
      </c>
      <c r="D266" s="5"/>
      <c r="E266" s="5"/>
      <c r="F266" s="5"/>
      <c r="G266" s="5"/>
      <c r="H266" s="2">
        <f t="shared" si="12"/>
        <v>13</v>
      </c>
    </row>
    <row r="267" spans="1:8" x14ac:dyDescent="0.25">
      <c r="A267" s="26">
        <v>25</v>
      </c>
      <c r="B267" s="5">
        <v>3</v>
      </c>
      <c r="C267" s="5">
        <v>4</v>
      </c>
      <c r="D267" s="5"/>
      <c r="E267" s="5"/>
      <c r="F267" s="5"/>
      <c r="G267" s="5"/>
      <c r="H267" s="2">
        <f t="shared" si="12"/>
        <v>12</v>
      </c>
    </row>
    <row r="268" spans="1:8" x14ac:dyDescent="0.25">
      <c r="A268" s="26">
        <v>26</v>
      </c>
      <c r="B268" s="5">
        <v>4</v>
      </c>
      <c r="C268" s="5">
        <v>3</v>
      </c>
      <c r="D268" s="5"/>
      <c r="E268" s="5"/>
      <c r="F268" s="5"/>
      <c r="G268" s="5"/>
      <c r="H268" s="2">
        <f t="shared" si="12"/>
        <v>13</v>
      </c>
    </row>
    <row r="269" spans="1:8" x14ac:dyDescent="0.25">
      <c r="A269" s="26">
        <v>27</v>
      </c>
      <c r="B269" s="5">
        <v>3</v>
      </c>
      <c r="C269" s="5">
        <v>4</v>
      </c>
      <c r="D269" s="5"/>
      <c r="E269" s="5"/>
      <c r="F269" s="5"/>
      <c r="G269" s="5"/>
      <c r="H269" s="2">
        <f t="shared" si="12"/>
        <v>12</v>
      </c>
    </row>
    <row r="270" spans="1:8" x14ac:dyDescent="0.25">
      <c r="A270" s="26">
        <v>28</v>
      </c>
      <c r="B270" s="5">
        <v>5</v>
      </c>
      <c r="C270" s="5">
        <v>4</v>
      </c>
      <c r="D270" s="5"/>
      <c r="E270" s="5"/>
      <c r="F270" s="5"/>
      <c r="G270" s="5"/>
      <c r="H270" s="2">
        <f t="shared" si="12"/>
        <v>13</v>
      </c>
    </row>
    <row r="271" spans="1:8" x14ac:dyDescent="0.25">
      <c r="A271" s="26">
        <v>29</v>
      </c>
      <c r="B271" s="5">
        <v>9</v>
      </c>
      <c r="C271" s="5">
        <v>1</v>
      </c>
      <c r="D271" s="5"/>
      <c r="E271" s="5"/>
      <c r="F271" s="5"/>
      <c r="G271" s="5"/>
      <c r="H271" s="2">
        <f t="shared" si="12"/>
        <v>21</v>
      </c>
    </row>
    <row r="272" spans="1:8" x14ac:dyDescent="0.25">
      <c r="A272" s="11">
        <v>30</v>
      </c>
      <c r="B272" s="5">
        <v>2</v>
      </c>
      <c r="C272" s="5">
        <v>9</v>
      </c>
      <c r="D272" s="5"/>
      <c r="E272" s="5"/>
      <c r="F272" s="5"/>
      <c r="G272" s="5"/>
      <c r="H272" s="5">
        <f t="shared" si="12"/>
        <v>14</v>
      </c>
    </row>
    <row r="273" spans="1:8" ht="15.75" thickBot="1" x14ac:dyDescent="0.3">
      <c r="A273" s="63">
        <v>31</v>
      </c>
      <c r="B273" s="29">
        <v>4</v>
      </c>
      <c r="C273" s="29">
        <v>5</v>
      </c>
      <c r="D273" s="29"/>
      <c r="E273" s="29"/>
      <c r="F273" s="29"/>
      <c r="G273" s="29"/>
      <c r="H273" s="5">
        <f t="shared" si="12"/>
        <v>13</v>
      </c>
    </row>
    <row r="274" spans="1:8" ht="15.75" thickBot="1" x14ac:dyDescent="0.3">
      <c r="A274" s="60" t="s">
        <v>35</v>
      </c>
      <c r="B274" s="58">
        <f>SUM(B243:B273)-E274</f>
        <v>111</v>
      </c>
      <c r="C274" s="58">
        <f t="shared" ref="C274:H274" si="13">SUM(C243:C273)</f>
        <v>102</v>
      </c>
      <c r="D274" s="58">
        <f t="shared" si="13"/>
        <v>0</v>
      </c>
      <c r="E274" s="58">
        <f t="shared" si="13"/>
        <v>0</v>
      </c>
      <c r="F274" s="58">
        <f t="shared" si="13"/>
        <v>1</v>
      </c>
      <c r="G274" s="58">
        <f t="shared" si="13"/>
        <v>7</v>
      </c>
      <c r="H274" s="58">
        <f t="shared" si="13"/>
        <v>362</v>
      </c>
    </row>
    <row r="277" spans="1:8" ht="36" x14ac:dyDescent="0.55000000000000004">
      <c r="A277" s="605" t="s">
        <v>1</v>
      </c>
      <c r="B277" s="605"/>
      <c r="C277" s="605"/>
      <c r="D277" s="605"/>
      <c r="E277" s="605"/>
      <c r="F277" s="605"/>
      <c r="G277" s="605"/>
      <c r="H277" s="605"/>
    </row>
    <row r="278" spans="1:8" ht="27" thickBot="1" x14ac:dyDescent="0.45">
      <c r="A278" s="606" t="s">
        <v>0</v>
      </c>
      <c r="B278" s="606"/>
      <c r="C278" s="606"/>
      <c r="D278" s="606"/>
      <c r="E278" s="606"/>
      <c r="F278" s="606"/>
      <c r="G278" s="606"/>
      <c r="H278" s="606"/>
    </row>
    <row r="279" spans="1:8" ht="15.75" x14ac:dyDescent="0.25">
      <c r="A279" s="39" t="s">
        <v>2</v>
      </c>
      <c r="B279" s="19" t="s">
        <v>3</v>
      </c>
      <c r="C279" s="20"/>
      <c r="D279" s="21" t="s">
        <v>52</v>
      </c>
      <c r="E279" s="607" t="s">
        <v>38</v>
      </c>
      <c r="F279" s="608"/>
      <c r="G279" s="19" t="s">
        <v>16</v>
      </c>
      <c r="H279" s="32" t="s">
        <v>62</v>
      </c>
    </row>
    <row r="280" spans="1:8" ht="15.75" x14ac:dyDescent="0.25">
      <c r="A280" s="609" t="s">
        <v>6</v>
      </c>
      <c r="B280" s="610"/>
      <c r="C280" s="610"/>
      <c r="D280" s="610"/>
      <c r="E280" s="610"/>
      <c r="F280" s="611"/>
      <c r="G280" s="1"/>
      <c r="H280" s="2">
        <f>H273</f>
        <v>13</v>
      </c>
    </row>
    <row r="281" spans="1:8" ht="15.75" x14ac:dyDescent="0.25">
      <c r="A281" s="3" t="s">
        <v>7</v>
      </c>
      <c r="B281" s="1"/>
      <c r="C281" s="1"/>
      <c r="D281" s="1"/>
      <c r="E281" s="1"/>
      <c r="F281" s="1"/>
      <c r="G281" s="1"/>
      <c r="H281" s="2">
        <v>20</v>
      </c>
    </row>
    <row r="282" spans="1:8" ht="51.75" thickBot="1" x14ac:dyDescent="0.3">
      <c r="A282" s="40" t="s">
        <v>8</v>
      </c>
      <c r="B282" s="41" t="s">
        <v>9</v>
      </c>
      <c r="C282" s="41" t="s">
        <v>10</v>
      </c>
      <c r="D282" s="41" t="s">
        <v>11</v>
      </c>
      <c r="E282" s="41" t="s">
        <v>12</v>
      </c>
      <c r="F282" s="41" t="s">
        <v>13</v>
      </c>
      <c r="G282" s="41" t="s">
        <v>14</v>
      </c>
      <c r="H282" s="42" t="s">
        <v>15</v>
      </c>
    </row>
    <row r="283" spans="1:8" x14ac:dyDescent="0.25">
      <c r="A283" s="36">
        <v>1</v>
      </c>
      <c r="B283" s="37"/>
      <c r="C283" s="37">
        <v>3</v>
      </c>
      <c r="D283" s="37"/>
      <c r="E283" s="37"/>
      <c r="F283" s="37"/>
      <c r="G283" s="37"/>
      <c r="H283" s="38">
        <f>H280+B283+F283-(C283+D283+G283)-E283</f>
        <v>10</v>
      </c>
    </row>
    <row r="284" spans="1:8" x14ac:dyDescent="0.25">
      <c r="A284" s="26">
        <v>2</v>
      </c>
      <c r="B284" s="5">
        <v>1</v>
      </c>
      <c r="C284" s="5">
        <v>5</v>
      </c>
      <c r="D284" s="5"/>
      <c r="E284" s="5"/>
      <c r="F284" s="5"/>
      <c r="G284" s="5"/>
      <c r="H284" s="2">
        <f>H283+B284+F284-(C284+D284+G284)-E284</f>
        <v>6</v>
      </c>
    </row>
    <row r="285" spans="1:8" x14ac:dyDescent="0.25">
      <c r="A285" s="26">
        <v>3</v>
      </c>
      <c r="B285" s="5">
        <v>3</v>
      </c>
      <c r="C285" s="5"/>
      <c r="D285" s="5"/>
      <c r="E285" s="5"/>
      <c r="F285" s="5"/>
      <c r="G285" s="5"/>
      <c r="H285" s="2">
        <f>H284+B285+F285-(C285+D285+G285)-E285</f>
        <v>9</v>
      </c>
    </row>
    <row r="286" spans="1:8" x14ac:dyDescent="0.25">
      <c r="A286" s="26">
        <v>4</v>
      </c>
      <c r="B286" s="5">
        <v>5</v>
      </c>
      <c r="C286" s="5">
        <v>2</v>
      </c>
      <c r="D286" s="5"/>
      <c r="E286" s="5"/>
      <c r="F286" s="5"/>
      <c r="G286" s="5"/>
      <c r="H286" s="2">
        <f t="shared" ref="H286:H313" si="14">H285+B286+F286-(C286+D286+G286)-E286</f>
        <v>12</v>
      </c>
    </row>
    <row r="287" spans="1:8" x14ac:dyDescent="0.25">
      <c r="A287" s="26">
        <v>5</v>
      </c>
      <c r="B287" s="5">
        <v>2</v>
      </c>
      <c r="C287" s="5">
        <v>3</v>
      </c>
      <c r="D287" s="5"/>
      <c r="E287" s="5"/>
      <c r="F287" s="5"/>
      <c r="G287" s="5"/>
      <c r="H287" s="2">
        <f t="shared" si="14"/>
        <v>11</v>
      </c>
    </row>
    <row r="288" spans="1:8" x14ac:dyDescent="0.25">
      <c r="A288" s="26">
        <v>6</v>
      </c>
      <c r="B288" s="5">
        <v>1</v>
      </c>
      <c r="C288" s="5"/>
      <c r="D288" s="5"/>
      <c r="E288" s="5"/>
      <c r="F288" s="5">
        <v>1</v>
      </c>
      <c r="G288" s="5"/>
      <c r="H288" s="2">
        <f t="shared" si="14"/>
        <v>13</v>
      </c>
    </row>
    <row r="289" spans="1:8" x14ac:dyDescent="0.25">
      <c r="A289" s="26">
        <v>7</v>
      </c>
      <c r="B289" s="5">
        <v>6</v>
      </c>
      <c r="C289" s="5">
        <v>3</v>
      </c>
      <c r="D289" s="5"/>
      <c r="E289" s="5"/>
      <c r="F289" s="5"/>
      <c r="G289" s="5"/>
      <c r="H289" s="2">
        <f t="shared" si="14"/>
        <v>16</v>
      </c>
    </row>
    <row r="290" spans="1:8" x14ac:dyDescent="0.25">
      <c r="A290" s="26">
        <v>8</v>
      </c>
      <c r="B290" s="5">
        <v>2</v>
      </c>
      <c r="C290" s="5">
        <v>8</v>
      </c>
      <c r="D290" s="5"/>
      <c r="E290" s="5"/>
      <c r="F290" s="5"/>
      <c r="G290" s="5"/>
      <c r="H290" s="2">
        <f t="shared" si="14"/>
        <v>10</v>
      </c>
    </row>
    <row r="291" spans="1:8" x14ac:dyDescent="0.25">
      <c r="A291" s="26">
        <v>9</v>
      </c>
      <c r="B291" s="5">
        <v>2</v>
      </c>
      <c r="C291" s="5">
        <v>3</v>
      </c>
      <c r="D291" s="5"/>
      <c r="E291" s="5"/>
      <c r="F291" s="5"/>
      <c r="G291" s="5"/>
      <c r="H291" s="2">
        <f t="shared" si="14"/>
        <v>9</v>
      </c>
    </row>
    <row r="292" spans="1:8" x14ac:dyDescent="0.25">
      <c r="A292" s="26">
        <v>10</v>
      </c>
      <c r="B292" s="5">
        <v>1</v>
      </c>
      <c r="C292" s="5"/>
      <c r="D292" s="5"/>
      <c r="E292" s="5"/>
      <c r="F292" s="5"/>
      <c r="G292" s="5"/>
      <c r="H292" s="2">
        <f t="shared" si="14"/>
        <v>10</v>
      </c>
    </row>
    <row r="293" spans="1:8" x14ac:dyDescent="0.25">
      <c r="A293" s="26">
        <v>11</v>
      </c>
      <c r="B293" s="5">
        <v>9</v>
      </c>
      <c r="C293" s="5">
        <v>3</v>
      </c>
      <c r="D293" s="5"/>
      <c r="E293" s="5"/>
      <c r="F293" s="5"/>
      <c r="G293" s="5"/>
      <c r="H293" s="2">
        <f t="shared" si="14"/>
        <v>16</v>
      </c>
    </row>
    <row r="294" spans="1:8" x14ac:dyDescent="0.25">
      <c r="A294" s="26">
        <v>12</v>
      </c>
      <c r="B294" s="5">
        <v>4</v>
      </c>
      <c r="C294" s="5">
        <v>2</v>
      </c>
      <c r="D294" s="5"/>
      <c r="E294" s="5"/>
      <c r="F294" s="5"/>
      <c r="G294" s="5"/>
      <c r="H294" s="2">
        <f t="shared" si="14"/>
        <v>18</v>
      </c>
    </row>
    <row r="295" spans="1:8" x14ac:dyDescent="0.25">
      <c r="A295" s="26">
        <v>13</v>
      </c>
      <c r="B295" s="5">
        <v>4</v>
      </c>
      <c r="C295" s="5">
        <v>5</v>
      </c>
      <c r="D295" s="5"/>
      <c r="E295" s="5"/>
      <c r="F295" s="5"/>
      <c r="G295" s="5"/>
      <c r="H295" s="2">
        <f t="shared" si="14"/>
        <v>17</v>
      </c>
    </row>
    <row r="296" spans="1:8" x14ac:dyDescent="0.25">
      <c r="A296" s="26">
        <v>14</v>
      </c>
      <c r="B296" s="5">
        <v>2</v>
      </c>
      <c r="C296" s="5">
        <v>6</v>
      </c>
      <c r="D296" s="5"/>
      <c r="E296" s="5"/>
      <c r="F296" s="5"/>
      <c r="G296" s="5"/>
      <c r="H296" s="2">
        <f t="shared" si="14"/>
        <v>13</v>
      </c>
    </row>
    <row r="297" spans="1:8" x14ac:dyDescent="0.25">
      <c r="A297" s="26">
        <v>15</v>
      </c>
      <c r="B297" s="5">
        <v>3</v>
      </c>
      <c r="C297" s="5">
        <v>3</v>
      </c>
      <c r="D297" s="5"/>
      <c r="E297" s="5"/>
      <c r="F297" s="5"/>
      <c r="G297" s="5">
        <v>1</v>
      </c>
      <c r="H297" s="2">
        <f t="shared" si="14"/>
        <v>12</v>
      </c>
    </row>
    <row r="298" spans="1:8" x14ac:dyDescent="0.25">
      <c r="A298" s="26">
        <v>16</v>
      </c>
      <c r="B298" s="5">
        <v>3</v>
      </c>
      <c r="C298" s="5">
        <v>2</v>
      </c>
      <c r="D298" s="5"/>
      <c r="E298" s="5"/>
      <c r="F298" s="5"/>
      <c r="G298" s="5"/>
      <c r="H298" s="2">
        <f t="shared" si="14"/>
        <v>13</v>
      </c>
    </row>
    <row r="299" spans="1:8" x14ac:dyDescent="0.25">
      <c r="A299" s="26">
        <v>17</v>
      </c>
      <c r="B299" s="5">
        <v>1</v>
      </c>
      <c r="C299" s="5">
        <v>4</v>
      </c>
      <c r="D299" s="5"/>
      <c r="E299" s="5"/>
      <c r="F299" s="5"/>
      <c r="G299" s="5"/>
      <c r="H299" s="2">
        <f t="shared" si="14"/>
        <v>10</v>
      </c>
    </row>
    <row r="300" spans="1:8" x14ac:dyDescent="0.25">
      <c r="A300" s="26">
        <v>18</v>
      </c>
      <c r="B300" s="5">
        <v>3</v>
      </c>
      <c r="C300" s="5">
        <v>6</v>
      </c>
      <c r="D300" s="5"/>
      <c r="E300" s="5"/>
      <c r="F300" s="5"/>
      <c r="G300" s="5"/>
      <c r="H300" s="2">
        <f t="shared" si="14"/>
        <v>7</v>
      </c>
    </row>
    <row r="301" spans="1:8" x14ac:dyDescent="0.25">
      <c r="A301" s="26">
        <v>19</v>
      </c>
      <c r="B301" s="5">
        <v>3</v>
      </c>
      <c r="C301" s="5">
        <v>3</v>
      </c>
      <c r="D301" s="5"/>
      <c r="E301" s="5"/>
      <c r="F301" s="5"/>
      <c r="G301" s="5"/>
      <c r="H301" s="2">
        <f t="shared" si="14"/>
        <v>7</v>
      </c>
    </row>
    <row r="302" spans="1:8" x14ac:dyDescent="0.25">
      <c r="A302" s="26">
        <v>20</v>
      </c>
      <c r="B302" s="5">
        <v>2</v>
      </c>
      <c r="C302" s="5">
        <v>1</v>
      </c>
      <c r="D302" s="5"/>
      <c r="E302" s="5"/>
      <c r="F302" s="5"/>
      <c r="G302" s="5"/>
      <c r="H302" s="2">
        <f t="shared" si="14"/>
        <v>8</v>
      </c>
    </row>
    <row r="303" spans="1:8" x14ac:dyDescent="0.25">
      <c r="A303" s="26">
        <v>21</v>
      </c>
      <c r="B303" s="5">
        <v>7</v>
      </c>
      <c r="C303" s="5">
        <v>3</v>
      </c>
      <c r="D303" s="5"/>
      <c r="E303" s="5"/>
      <c r="F303" s="5"/>
      <c r="G303" s="5"/>
      <c r="H303" s="2">
        <f t="shared" si="14"/>
        <v>12</v>
      </c>
    </row>
    <row r="304" spans="1:8" x14ac:dyDescent="0.25">
      <c r="A304" s="26">
        <v>22</v>
      </c>
      <c r="B304" s="5">
        <v>2</v>
      </c>
      <c r="C304" s="5">
        <v>2</v>
      </c>
      <c r="D304" s="5"/>
      <c r="E304" s="5"/>
      <c r="F304" s="5">
        <v>1</v>
      </c>
      <c r="G304" s="5"/>
      <c r="H304" s="2">
        <f t="shared" si="14"/>
        <v>13</v>
      </c>
    </row>
    <row r="305" spans="1:8" x14ac:dyDescent="0.25">
      <c r="A305" s="26">
        <v>23</v>
      </c>
      <c r="B305" s="5">
        <v>3</v>
      </c>
      <c r="C305" s="5">
        <v>7</v>
      </c>
      <c r="D305" s="5"/>
      <c r="E305" s="5"/>
      <c r="F305" s="5"/>
      <c r="G305" s="5"/>
      <c r="H305" s="2">
        <f t="shared" si="14"/>
        <v>9</v>
      </c>
    </row>
    <row r="306" spans="1:8" x14ac:dyDescent="0.25">
      <c r="A306" s="26">
        <v>24</v>
      </c>
      <c r="B306" s="5">
        <v>2</v>
      </c>
      <c r="C306" s="5"/>
      <c r="D306" s="5"/>
      <c r="E306" s="5"/>
      <c r="F306" s="5"/>
      <c r="G306" s="5"/>
      <c r="H306" s="2">
        <f t="shared" si="14"/>
        <v>11</v>
      </c>
    </row>
    <row r="307" spans="1:8" x14ac:dyDescent="0.25">
      <c r="A307" s="26">
        <v>25</v>
      </c>
      <c r="B307" s="5">
        <v>5</v>
      </c>
      <c r="C307" s="5">
        <v>4</v>
      </c>
      <c r="D307" s="5"/>
      <c r="E307" s="5"/>
      <c r="F307" s="5">
        <v>1</v>
      </c>
      <c r="G307" s="5"/>
      <c r="H307" s="2">
        <f t="shared" si="14"/>
        <v>13</v>
      </c>
    </row>
    <row r="308" spans="1:8" x14ac:dyDescent="0.25">
      <c r="A308" s="26">
        <v>26</v>
      </c>
      <c r="B308" s="5">
        <v>5</v>
      </c>
      <c r="C308" s="5">
        <v>4</v>
      </c>
      <c r="D308" s="5"/>
      <c r="E308" s="5"/>
      <c r="F308" s="5"/>
      <c r="G308" s="5"/>
      <c r="H308" s="2">
        <f t="shared" si="14"/>
        <v>14</v>
      </c>
    </row>
    <row r="309" spans="1:8" x14ac:dyDescent="0.25">
      <c r="A309" s="26">
        <v>27</v>
      </c>
      <c r="B309" s="5">
        <v>5</v>
      </c>
      <c r="C309" s="5">
        <v>6</v>
      </c>
      <c r="D309" s="5"/>
      <c r="E309" s="5"/>
      <c r="F309" s="5"/>
      <c r="G309" s="5"/>
      <c r="H309" s="2">
        <f t="shared" si="14"/>
        <v>13</v>
      </c>
    </row>
    <row r="310" spans="1:8" x14ac:dyDescent="0.25">
      <c r="A310" s="26">
        <v>28</v>
      </c>
      <c r="B310" s="5">
        <v>2</v>
      </c>
      <c r="C310" s="5">
        <v>4</v>
      </c>
      <c r="D310" s="5"/>
      <c r="E310" s="5"/>
      <c r="F310" s="5"/>
      <c r="G310" s="5"/>
      <c r="H310" s="2">
        <f t="shared" si="14"/>
        <v>11</v>
      </c>
    </row>
    <row r="311" spans="1:8" x14ac:dyDescent="0.25">
      <c r="A311" s="26">
        <v>29</v>
      </c>
      <c r="B311" s="5">
        <v>6</v>
      </c>
      <c r="C311" s="5">
        <v>5</v>
      </c>
      <c r="D311" s="5"/>
      <c r="E311" s="5"/>
      <c r="F311" s="5"/>
      <c r="G311" s="5"/>
      <c r="H311" s="2">
        <f t="shared" si="14"/>
        <v>12</v>
      </c>
    </row>
    <row r="312" spans="1:8" x14ac:dyDescent="0.25">
      <c r="A312" s="11">
        <v>30</v>
      </c>
      <c r="B312" s="5">
        <v>3</v>
      </c>
      <c r="C312" s="5">
        <v>7</v>
      </c>
      <c r="D312" s="5"/>
      <c r="E312" s="5"/>
      <c r="F312" s="5"/>
      <c r="G312" s="5"/>
      <c r="H312" s="5">
        <f t="shared" si="14"/>
        <v>8</v>
      </c>
    </row>
    <row r="313" spans="1:8" ht="15.75" thickBot="1" x14ac:dyDescent="0.3">
      <c r="A313" s="63">
        <v>31</v>
      </c>
      <c r="B313" s="29">
        <v>2</v>
      </c>
      <c r="C313" s="29">
        <v>2</v>
      </c>
      <c r="D313" s="29"/>
      <c r="E313" s="29"/>
      <c r="F313" s="29"/>
      <c r="G313" s="29"/>
      <c r="H313" s="5">
        <f t="shared" si="14"/>
        <v>8</v>
      </c>
    </row>
    <row r="314" spans="1:8" ht="15.75" thickBot="1" x14ac:dyDescent="0.3">
      <c r="A314" s="60" t="s">
        <v>35</v>
      </c>
      <c r="B314" s="58">
        <f>SUM(B283:B313)-E314</f>
        <v>99</v>
      </c>
      <c r="C314" s="58">
        <f t="shared" ref="C314:H314" si="15">SUM(C283:C313)</f>
        <v>106</v>
      </c>
      <c r="D314" s="58">
        <f t="shared" si="15"/>
        <v>0</v>
      </c>
      <c r="E314" s="58">
        <f t="shared" si="15"/>
        <v>0</v>
      </c>
      <c r="F314" s="58">
        <f t="shared" si="15"/>
        <v>3</v>
      </c>
      <c r="G314" s="58">
        <f t="shared" si="15"/>
        <v>1</v>
      </c>
      <c r="H314" s="58">
        <f t="shared" si="15"/>
        <v>351</v>
      </c>
    </row>
    <row r="317" spans="1:8" ht="36" x14ac:dyDescent="0.55000000000000004">
      <c r="A317" s="605" t="s">
        <v>1</v>
      </c>
      <c r="B317" s="605"/>
      <c r="C317" s="605"/>
      <c r="D317" s="605"/>
      <c r="E317" s="605"/>
      <c r="F317" s="605"/>
      <c r="G317" s="605"/>
      <c r="H317" s="605"/>
    </row>
    <row r="318" spans="1:8" ht="27" thickBot="1" x14ac:dyDescent="0.45">
      <c r="A318" s="606" t="s">
        <v>0</v>
      </c>
      <c r="B318" s="606"/>
      <c r="C318" s="606"/>
      <c r="D318" s="606"/>
      <c r="E318" s="606"/>
      <c r="F318" s="606"/>
      <c r="G318" s="606"/>
      <c r="H318" s="606"/>
    </row>
    <row r="319" spans="1:8" ht="15.75" x14ac:dyDescent="0.25">
      <c r="A319" s="39" t="s">
        <v>2</v>
      </c>
      <c r="B319" s="19" t="s">
        <v>3</v>
      </c>
      <c r="C319" s="20"/>
      <c r="D319" s="21" t="s">
        <v>52</v>
      </c>
      <c r="E319" s="607" t="s">
        <v>38</v>
      </c>
      <c r="F319" s="608"/>
      <c r="G319" s="19" t="s">
        <v>16</v>
      </c>
      <c r="H319" s="32" t="s">
        <v>63</v>
      </c>
    </row>
    <row r="320" spans="1:8" ht="15.75" x14ac:dyDescent="0.25">
      <c r="A320" s="609" t="s">
        <v>6</v>
      </c>
      <c r="B320" s="610"/>
      <c r="C320" s="610"/>
      <c r="D320" s="610"/>
      <c r="E320" s="610"/>
      <c r="F320" s="611"/>
      <c r="G320" s="1"/>
      <c r="H320" s="2">
        <f>H313</f>
        <v>8</v>
      </c>
    </row>
    <row r="321" spans="1:8" ht="15.75" x14ac:dyDescent="0.25">
      <c r="A321" s="3" t="s">
        <v>7</v>
      </c>
      <c r="B321" s="1"/>
      <c r="C321" s="1"/>
      <c r="D321" s="1"/>
      <c r="E321" s="1"/>
      <c r="F321" s="1"/>
      <c r="G321" s="1"/>
      <c r="H321" s="2">
        <v>20</v>
      </c>
    </row>
    <row r="322" spans="1:8" ht="51.75" thickBot="1" x14ac:dyDescent="0.3">
      <c r="A322" s="40" t="s">
        <v>8</v>
      </c>
      <c r="B322" s="41" t="s">
        <v>9</v>
      </c>
      <c r="C322" s="41" t="s">
        <v>10</v>
      </c>
      <c r="D322" s="41" t="s">
        <v>11</v>
      </c>
      <c r="E322" s="41" t="s">
        <v>12</v>
      </c>
      <c r="F322" s="41" t="s">
        <v>13</v>
      </c>
      <c r="G322" s="41" t="s">
        <v>14</v>
      </c>
      <c r="H322" s="42" t="s">
        <v>15</v>
      </c>
    </row>
    <row r="323" spans="1:8" x14ac:dyDescent="0.25">
      <c r="A323" s="36">
        <v>1</v>
      </c>
      <c r="B323" s="37">
        <v>5</v>
      </c>
      <c r="C323" s="37">
        <v>3</v>
      </c>
      <c r="D323" s="37"/>
      <c r="E323" s="37"/>
      <c r="F323" s="37"/>
      <c r="G323" s="37"/>
      <c r="H323" s="38">
        <f>H320+B323+F323-(C323+D323+G323)-E323</f>
        <v>10</v>
      </c>
    </row>
    <row r="324" spans="1:8" x14ac:dyDescent="0.25">
      <c r="A324" s="26">
        <v>2</v>
      </c>
      <c r="B324" s="5">
        <v>3</v>
      </c>
      <c r="C324" s="5">
        <v>1</v>
      </c>
      <c r="D324" s="5"/>
      <c r="E324" s="5"/>
      <c r="F324" s="5"/>
      <c r="G324" s="5"/>
      <c r="H324" s="2">
        <f>H323+B324+F324-(C324+D324+G324)-E324</f>
        <v>12</v>
      </c>
    </row>
    <row r="325" spans="1:8" x14ac:dyDescent="0.25">
      <c r="A325" s="26">
        <v>3</v>
      </c>
      <c r="B325" s="5">
        <v>3</v>
      </c>
      <c r="C325" s="5">
        <v>3</v>
      </c>
      <c r="D325" s="5"/>
      <c r="E325" s="5"/>
      <c r="F325" s="5"/>
      <c r="G325" s="5"/>
      <c r="H325" s="2">
        <f>H324+B325+F325-(C325+D325+G325)-E325</f>
        <v>12</v>
      </c>
    </row>
    <row r="326" spans="1:8" x14ac:dyDescent="0.25">
      <c r="A326" s="26">
        <v>4</v>
      </c>
      <c r="B326" s="5">
        <v>2</v>
      </c>
      <c r="C326" s="5">
        <v>6</v>
      </c>
      <c r="D326" s="5"/>
      <c r="E326" s="5"/>
      <c r="F326" s="5"/>
      <c r="G326" s="5">
        <v>1</v>
      </c>
      <c r="H326" s="2">
        <f t="shared" ref="H326:H352" si="16">H325+B326+F326-(C326+D326+G326)-E326</f>
        <v>7</v>
      </c>
    </row>
    <row r="327" spans="1:8" x14ac:dyDescent="0.25">
      <c r="A327" s="26">
        <v>5</v>
      </c>
      <c r="B327" s="5">
        <v>4</v>
      </c>
      <c r="C327" s="5">
        <v>2</v>
      </c>
      <c r="D327" s="5"/>
      <c r="E327" s="5"/>
      <c r="F327" s="5"/>
      <c r="G327" s="5"/>
      <c r="H327" s="2">
        <f t="shared" si="16"/>
        <v>9</v>
      </c>
    </row>
    <row r="328" spans="1:8" x14ac:dyDescent="0.25">
      <c r="A328" s="26">
        <v>6</v>
      </c>
      <c r="B328" s="5">
        <v>3</v>
      </c>
      <c r="C328" s="5">
        <v>2</v>
      </c>
      <c r="D328" s="5"/>
      <c r="E328" s="5"/>
      <c r="F328" s="5"/>
      <c r="G328" s="5"/>
      <c r="H328" s="2">
        <f t="shared" si="16"/>
        <v>10</v>
      </c>
    </row>
    <row r="329" spans="1:8" x14ac:dyDescent="0.25">
      <c r="A329" s="26">
        <v>7</v>
      </c>
      <c r="B329" s="5">
        <v>4</v>
      </c>
      <c r="C329" s="5">
        <v>4</v>
      </c>
      <c r="D329" s="5"/>
      <c r="E329" s="5"/>
      <c r="F329" s="5"/>
      <c r="G329" s="5"/>
      <c r="H329" s="2">
        <f t="shared" si="16"/>
        <v>10</v>
      </c>
    </row>
    <row r="330" spans="1:8" x14ac:dyDescent="0.25">
      <c r="A330" s="26">
        <v>8</v>
      </c>
      <c r="B330" s="5">
        <v>7</v>
      </c>
      <c r="C330" s="5">
        <v>3</v>
      </c>
      <c r="D330" s="5"/>
      <c r="E330" s="5"/>
      <c r="F330" s="5"/>
      <c r="G330" s="5"/>
      <c r="H330" s="2">
        <f t="shared" si="16"/>
        <v>14</v>
      </c>
    </row>
    <row r="331" spans="1:8" x14ac:dyDescent="0.25">
      <c r="A331" s="26">
        <v>9</v>
      </c>
      <c r="B331" s="5">
        <v>2</v>
      </c>
      <c r="C331" s="5">
        <v>4</v>
      </c>
      <c r="D331" s="5"/>
      <c r="E331" s="5"/>
      <c r="F331" s="5"/>
      <c r="G331" s="5"/>
      <c r="H331" s="2">
        <f t="shared" si="16"/>
        <v>12</v>
      </c>
    </row>
    <row r="332" spans="1:8" x14ac:dyDescent="0.25">
      <c r="A332" s="26">
        <v>10</v>
      </c>
      <c r="B332" s="5">
        <v>2</v>
      </c>
      <c r="C332" s="5">
        <v>3</v>
      </c>
      <c r="D332" s="5"/>
      <c r="E332" s="5"/>
      <c r="F332" s="5"/>
      <c r="G332" s="5">
        <v>1</v>
      </c>
      <c r="H332" s="2">
        <f t="shared" si="16"/>
        <v>10</v>
      </c>
    </row>
    <row r="333" spans="1:8" x14ac:dyDescent="0.25">
      <c r="A333" s="26">
        <v>11</v>
      </c>
      <c r="B333" s="5"/>
      <c r="C333" s="5">
        <v>1</v>
      </c>
      <c r="D333" s="5"/>
      <c r="E333" s="5"/>
      <c r="F333" s="5"/>
      <c r="G333" s="5"/>
      <c r="H333" s="2">
        <f t="shared" si="16"/>
        <v>9</v>
      </c>
    </row>
    <row r="334" spans="1:8" x14ac:dyDescent="0.25">
      <c r="A334" s="26">
        <v>12</v>
      </c>
      <c r="B334" s="5">
        <v>4</v>
      </c>
      <c r="C334" s="5">
        <v>2</v>
      </c>
      <c r="D334" s="5"/>
      <c r="E334" s="5"/>
      <c r="F334" s="5">
        <v>1</v>
      </c>
      <c r="G334" s="5"/>
      <c r="H334" s="2">
        <f t="shared" si="16"/>
        <v>12</v>
      </c>
    </row>
    <row r="335" spans="1:8" x14ac:dyDescent="0.25">
      <c r="A335" s="26">
        <v>13</v>
      </c>
      <c r="B335" s="5"/>
      <c r="C335" s="5">
        <v>1</v>
      </c>
      <c r="D335" s="5"/>
      <c r="E335" s="5"/>
      <c r="F335" s="5"/>
      <c r="G335" s="5"/>
      <c r="H335" s="2">
        <f t="shared" si="16"/>
        <v>11</v>
      </c>
    </row>
    <row r="336" spans="1:8" x14ac:dyDescent="0.25">
      <c r="A336" s="26">
        <v>14</v>
      </c>
      <c r="B336" s="5">
        <v>4</v>
      </c>
      <c r="C336" s="5">
        <v>2</v>
      </c>
      <c r="D336" s="5"/>
      <c r="E336" s="5"/>
      <c r="F336" s="5"/>
      <c r="G336" s="5"/>
      <c r="H336" s="2">
        <f t="shared" si="16"/>
        <v>13</v>
      </c>
    </row>
    <row r="337" spans="1:8" x14ac:dyDescent="0.25">
      <c r="A337" s="26">
        <v>15</v>
      </c>
      <c r="B337" s="5">
        <v>4</v>
      </c>
      <c r="C337" s="5">
        <v>2</v>
      </c>
      <c r="D337" s="5"/>
      <c r="E337" s="5"/>
      <c r="F337" s="5"/>
      <c r="G337" s="5"/>
      <c r="H337" s="2">
        <f t="shared" si="16"/>
        <v>15</v>
      </c>
    </row>
    <row r="338" spans="1:8" x14ac:dyDescent="0.25">
      <c r="A338" s="26">
        <v>16</v>
      </c>
      <c r="B338" s="5">
        <v>3</v>
      </c>
      <c r="C338" s="5">
        <v>2</v>
      </c>
      <c r="D338" s="5"/>
      <c r="E338" s="5"/>
      <c r="F338" s="5"/>
      <c r="G338" s="5"/>
      <c r="H338" s="2">
        <f t="shared" si="16"/>
        <v>16</v>
      </c>
    </row>
    <row r="339" spans="1:8" x14ac:dyDescent="0.25">
      <c r="A339" s="26">
        <v>17</v>
      </c>
      <c r="B339" s="5">
        <v>5</v>
      </c>
      <c r="C339" s="5">
        <v>3</v>
      </c>
      <c r="D339" s="5"/>
      <c r="E339" s="5"/>
      <c r="F339" s="5"/>
      <c r="G339" s="5"/>
      <c r="H339" s="2">
        <f t="shared" si="16"/>
        <v>18</v>
      </c>
    </row>
    <row r="340" spans="1:8" x14ac:dyDescent="0.25">
      <c r="A340" s="26">
        <v>18</v>
      </c>
      <c r="B340" s="5">
        <v>2</v>
      </c>
      <c r="C340" s="5">
        <v>4</v>
      </c>
      <c r="D340" s="5"/>
      <c r="E340" s="5"/>
      <c r="F340" s="5"/>
      <c r="G340" s="5"/>
      <c r="H340" s="2">
        <f t="shared" si="16"/>
        <v>16</v>
      </c>
    </row>
    <row r="341" spans="1:8" x14ac:dyDescent="0.25">
      <c r="A341" s="26">
        <v>19</v>
      </c>
      <c r="B341" s="5">
        <v>2</v>
      </c>
      <c r="C341" s="5">
        <v>3</v>
      </c>
      <c r="D341" s="5"/>
      <c r="E341" s="5"/>
      <c r="F341" s="5"/>
      <c r="G341" s="5"/>
      <c r="H341" s="2">
        <f t="shared" si="16"/>
        <v>15</v>
      </c>
    </row>
    <row r="342" spans="1:8" x14ac:dyDescent="0.25">
      <c r="A342" s="26">
        <v>20</v>
      </c>
      <c r="B342" s="5">
        <v>2</v>
      </c>
      <c r="C342" s="5">
        <v>4</v>
      </c>
      <c r="D342" s="5"/>
      <c r="E342" s="5"/>
      <c r="F342" s="5"/>
      <c r="G342" s="5"/>
      <c r="H342" s="2">
        <f t="shared" si="16"/>
        <v>13</v>
      </c>
    </row>
    <row r="343" spans="1:8" x14ac:dyDescent="0.25">
      <c r="A343" s="26">
        <v>21</v>
      </c>
      <c r="B343" s="5">
        <v>3</v>
      </c>
      <c r="C343" s="5">
        <v>6</v>
      </c>
      <c r="D343" s="5"/>
      <c r="E343" s="5"/>
      <c r="F343" s="5"/>
      <c r="G343" s="5"/>
      <c r="H343" s="2">
        <f t="shared" si="16"/>
        <v>10</v>
      </c>
    </row>
    <row r="344" spans="1:8" x14ac:dyDescent="0.25">
      <c r="A344" s="26">
        <v>22</v>
      </c>
      <c r="B344" s="5">
        <v>3</v>
      </c>
      <c r="C344" s="5">
        <v>1</v>
      </c>
      <c r="D344" s="5"/>
      <c r="E344" s="5"/>
      <c r="F344" s="5">
        <v>1</v>
      </c>
      <c r="G344" s="5"/>
      <c r="H344" s="2">
        <f t="shared" si="16"/>
        <v>13</v>
      </c>
    </row>
    <row r="345" spans="1:8" x14ac:dyDescent="0.25">
      <c r="A345" s="26">
        <v>23</v>
      </c>
      <c r="B345" s="5">
        <v>2</v>
      </c>
      <c r="C345" s="5">
        <v>4</v>
      </c>
      <c r="D345" s="5"/>
      <c r="E345" s="5"/>
      <c r="F345" s="5"/>
      <c r="G345" s="5">
        <v>2</v>
      </c>
      <c r="H345" s="2">
        <f t="shared" si="16"/>
        <v>9</v>
      </c>
    </row>
    <row r="346" spans="1:8" x14ac:dyDescent="0.25">
      <c r="A346" s="26">
        <v>24</v>
      </c>
      <c r="B346" s="5">
        <v>4</v>
      </c>
      <c r="C346" s="5">
        <v>1</v>
      </c>
      <c r="D346" s="5"/>
      <c r="E346" s="5"/>
      <c r="F346" s="5"/>
      <c r="G346" s="5"/>
      <c r="H346" s="2">
        <f t="shared" si="16"/>
        <v>12</v>
      </c>
    </row>
    <row r="347" spans="1:8" x14ac:dyDescent="0.25">
      <c r="A347" s="26">
        <v>25</v>
      </c>
      <c r="B347" s="5">
        <v>3</v>
      </c>
      <c r="C347" s="5">
        <v>1</v>
      </c>
      <c r="D347" s="5"/>
      <c r="E347" s="5"/>
      <c r="F347" s="5"/>
      <c r="G347" s="5"/>
      <c r="H347" s="2">
        <f t="shared" si="16"/>
        <v>14</v>
      </c>
    </row>
    <row r="348" spans="1:8" x14ac:dyDescent="0.25">
      <c r="A348" s="26">
        <v>26</v>
      </c>
      <c r="B348" s="5">
        <v>1</v>
      </c>
      <c r="C348" s="5">
        <v>4</v>
      </c>
      <c r="D348" s="5"/>
      <c r="E348" s="5"/>
      <c r="F348" s="5"/>
      <c r="G348" s="5"/>
      <c r="H348" s="2">
        <f t="shared" si="16"/>
        <v>11</v>
      </c>
    </row>
    <row r="349" spans="1:8" x14ac:dyDescent="0.25">
      <c r="A349" s="26">
        <v>27</v>
      </c>
      <c r="B349" s="5"/>
      <c r="C349" s="5">
        <v>3</v>
      </c>
      <c r="D349" s="5"/>
      <c r="E349" s="5"/>
      <c r="F349" s="5"/>
      <c r="G349" s="5"/>
      <c r="H349" s="2">
        <f t="shared" si="16"/>
        <v>8</v>
      </c>
    </row>
    <row r="350" spans="1:8" x14ac:dyDescent="0.25">
      <c r="A350" s="26">
        <v>28</v>
      </c>
      <c r="B350" s="5">
        <v>4</v>
      </c>
      <c r="C350" s="5">
        <v>1</v>
      </c>
      <c r="D350" s="5"/>
      <c r="E350" s="5"/>
      <c r="F350" s="5"/>
      <c r="G350" s="5"/>
      <c r="H350" s="2">
        <f t="shared" si="16"/>
        <v>11</v>
      </c>
    </row>
    <row r="351" spans="1:8" x14ac:dyDescent="0.25">
      <c r="A351" s="26">
        <v>29</v>
      </c>
      <c r="B351" s="5">
        <v>5</v>
      </c>
      <c r="C351" s="5">
        <v>4</v>
      </c>
      <c r="D351" s="5"/>
      <c r="E351" s="5"/>
      <c r="F351" s="5"/>
      <c r="G351" s="5"/>
      <c r="H351" s="2">
        <f t="shared" si="16"/>
        <v>12</v>
      </c>
    </row>
    <row r="352" spans="1:8" ht="15.75" thickBot="1" x14ac:dyDescent="0.3">
      <c r="A352" s="11">
        <v>30</v>
      </c>
      <c r="B352" s="5">
        <v>2</v>
      </c>
      <c r="C352" s="5">
        <v>2</v>
      </c>
      <c r="D352" s="5"/>
      <c r="E352" s="5"/>
      <c r="F352" s="5"/>
      <c r="G352" s="5"/>
      <c r="H352" s="5">
        <f t="shared" si="16"/>
        <v>12</v>
      </c>
    </row>
    <row r="353" spans="1:8" ht="15.75" thickBot="1" x14ac:dyDescent="0.3">
      <c r="A353" s="60" t="s">
        <v>35</v>
      </c>
      <c r="B353" s="58">
        <f>SUM(B323:B352)-E353</f>
        <v>88</v>
      </c>
      <c r="C353" s="58">
        <f t="shared" ref="C353:H353" si="17">SUM(C323:C352)</f>
        <v>82</v>
      </c>
      <c r="D353" s="58">
        <f t="shared" si="17"/>
        <v>0</v>
      </c>
      <c r="E353" s="58">
        <f t="shared" si="17"/>
        <v>0</v>
      </c>
      <c r="F353" s="58">
        <f t="shared" si="17"/>
        <v>2</v>
      </c>
      <c r="G353" s="58">
        <f t="shared" si="17"/>
        <v>4</v>
      </c>
      <c r="H353" s="58">
        <f t="shared" si="17"/>
        <v>356</v>
      </c>
    </row>
    <row r="356" spans="1:8" ht="36" x14ac:dyDescent="0.55000000000000004">
      <c r="A356" s="605" t="s">
        <v>1</v>
      </c>
      <c r="B356" s="605"/>
      <c r="C356" s="605"/>
      <c r="D356" s="605"/>
      <c r="E356" s="605"/>
      <c r="F356" s="605"/>
      <c r="G356" s="605"/>
      <c r="H356" s="605"/>
    </row>
    <row r="357" spans="1:8" ht="27" thickBot="1" x14ac:dyDescent="0.45">
      <c r="A357" s="606" t="s">
        <v>0</v>
      </c>
      <c r="B357" s="606"/>
      <c r="C357" s="606"/>
      <c r="D357" s="606"/>
      <c r="E357" s="606"/>
      <c r="F357" s="606"/>
      <c r="G357" s="606"/>
      <c r="H357" s="606"/>
    </row>
    <row r="358" spans="1:8" ht="15.75" x14ac:dyDescent="0.25">
      <c r="A358" s="39" t="s">
        <v>2</v>
      </c>
      <c r="B358" s="19" t="s">
        <v>3</v>
      </c>
      <c r="C358" s="20"/>
      <c r="D358" s="21" t="s">
        <v>52</v>
      </c>
      <c r="E358" s="607" t="s">
        <v>38</v>
      </c>
      <c r="F358" s="608"/>
      <c r="G358" s="19" t="s">
        <v>16</v>
      </c>
      <c r="H358" s="32" t="s">
        <v>64</v>
      </c>
    </row>
    <row r="359" spans="1:8" ht="15.75" x14ac:dyDescent="0.25">
      <c r="A359" s="609" t="s">
        <v>6</v>
      </c>
      <c r="B359" s="610"/>
      <c r="C359" s="610"/>
      <c r="D359" s="610"/>
      <c r="E359" s="610"/>
      <c r="F359" s="611"/>
      <c r="G359" s="1"/>
      <c r="H359" s="2">
        <f>H352</f>
        <v>12</v>
      </c>
    </row>
    <row r="360" spans="1:8" ht="15.75" x14ac:dyDescent="0.25">
      <c r="A360" s="3" t="s">
        <v>7</v>
      </c>
      <c r="B360" s="1"/>
      <c r="C360" s="1"/>
      <c r="D360" s="1"/>
      <c r="E360" s="1"/>
      <c r="F360" s="1"/>
      <c r="G360" s="1"/>
      <c r="H360" s="2">
        <v>20</v>
      </c>
    </row>
    <row r="361" spans="1:8" ht="51.75" thickBot="1" x14ac:dyDescent="0.3">
      <c r="A361" s="40" t="s">
        <v>8</v>
      </c>
      <c r="B361" s="41" t="s">
        <v>9</v>
      </c>
      <c r="C361" s="41" t="s">
        <v>10</v>
      </c>
      <c r="D361" s="41" t="s">
        <v>11</v>
      </c>
      <c r="E361" s="41" t="s">
        <v>12</v>
      </c>
      <c r="F361" s="41" t="s">
        <v>13</v>
      </c>
      <c r="G361" s="41" t="s">
        <v>14</v>
      </c>
      <c r="H361" s="42" t="s">
        <v>15</v>
      </c>
    </row>
    <row r="362" spans="1:8" x14ac:dyDescent="0.25">
      <c r="A362" s="36">
        <v>1</v>
      </c>
      <c r="B362" s="527">
        <v>3</v>
      </c>
      <c r="C362" s="527">
        <v>3</v>
      </c>
      <c r="D362" s="527"/>
      <c r="E362" s="527"/>
      <c r="F362" s="527"/>
      <c r="G362" s="527"/>
      <c r="H362" s="38">
        <f>H359+B362+F362-(C362+D362+G362)-E362</f>
        <v>12</v>
      </c>
    </row>
    <row r="363" spans="1:8" x14ac:dyDescent="0.25">
      <c r="A363" s="26">
        <v>2</v>
      </c>
      <c r="B363" s="268">
        <v>2</v>
      </c>
      <c r="C363" s="268">
        <v>4</v>
      </c>
      <c r="D363" s="268"/>
      <c r="E363" s="268"/>
      <c r="F363" s="268"/>
      <c r="G363" s="268"/>
      <c r="H363" s="2">
        <f>H362+B363+F363-(C363+D363+G363)-E363</f>
        <v>10</v>
      </c>
    </row>
    <row r="364" spans="1:8" x14ac:dyDescent="0.25">
      <c r="A364" s="26">
        <v>3</v>
      </c>
      <c r="B364" s="268">
        <v>3</v>
      </c>
      <c r="C364" s="268">
        <v>6</v>
      </c>
      <c r="D364" s="268"/>
      <c r="E364" s="268"/>
      <c r="F364" s="268"/>
      <c r="G364" s="268"/>
      <c r="H364" s="2">
        <f>H363+B364+F364-(C364+D364+G364)-E364</f>
        <v>7</v>
      </c>
    </row>
    <row r="365" spans="1:8" x14ac:dyDescent="0.25">
      <c r="A365" s="26">
        <v>4</v>
      </c>
      <c r="B365" s="268">
        <v>3</v>
      </c>
      <c r="C365" s="268"/>
      <c r="D365" s="268"/>
      <c r="E365" s="268"/>
      <c r="F365" s="268"/>
      <c r="G365" s="268"/>
      <c r="H365" s="2">
        <f t="shared" ref="H365:H392" si="18">H364+B365+F365-(C365+D365+G365)-E365</f>
        <v>10</v>
      </c>
    </row>
    <row r="366" spans="1:8" x14ac:dyDescent="0.25">
      <c r="A366" s="26">
        <v>5</v>
      </c>
      <c r="B366" s="268">
        <v>1</v>
      </c>
      <c r="C366" s="268">
        <v>3</v>
      </c>
      <c r="D366" s="268"/>
      <c r="E366" s="268"/>
      <c r="F366" s="268"/>
      <c r="G366" s="268"/>
      <c r="H366" s="2">
        <f t="shared" si="18"/>
        <v>8</v>
      </c>
    </row>
    <row r="367" spans="1:8" x14ac:dyDescent="0.25">
      <c r="A367" s="26">
        <v>6</v>
      </c>
      <c r="B367" s="268"/>
      <c r="C367" s="268">
        <v>3</v>
      </c>
      <c r="D367" s="268"/>
      <c r="E367" s="268"/>
      <c r="F367" s="268"/>
      <c r="G367" s="268"/>
      <c r="H367" s="2">
        <f t="shared" si="18"/>
        <v>5</v>
      </c>
    </row>
    <row r="368" spans="1:8" x14ac:dyDescent="0.25">
      <c r="A368" s="26">
        <v>7</v>
      </c>
      <c r="B368" s="268">
        <v>6</v>
      </c>
      <c r="C368" s="268"/>
      <c r="D368" s="268"/>
      <c r="E368" s="268"/>
      <c r="F368" s="268"/>
      <c r="G368" s="268">
        <v>1</v>
      </c>
      <c r="H368" s="2">
        <f t="shared" si="18"/>
        <v>10</v>
      </c>
    </row>
    <row r="369" spans="1:8" x14ac:dyDescent="0.25">
      <c r="A369" s="26">
        <v>8</v>
      </c>
      <c r="B369" s="268">
        <v>2</v>
      </c>
      <c r="C369" s="268">
        <v>2</v>
      </c>
      <c r="D369" s="268"/>
      <c r="E369" s="268"/>
      <c r="F369" s="268"/>
      <c r="G369" s="268"/>
      <c r="H369" s="2">
        <f t="shared" si="18"/>
        <v>10</v>
      </c>
    </row>
    <row r="370" spans="1:8" x14ac:dyDescent="0.25">
      <c r="A370" s="26">
        <v>9</v>
      </c>
      <c r="B370" s="268">
        <v>6</v>
      </c>
      <c r="C370" s="268">
        <v>2</v>
      </c>
      <c r="D370" s="268"/>
      <c r="E370" s="268"/>
      <c r="F370" s="268">
        <v>1</v>
      </c>
      <c r="G370" s="268"/>
      <c r="H370" s="2">
        <f t="shared" si="18"/>
        <v>15</v>
      </c>
    </row>
    <row r="371" spans="1:8" x14ac:dyDescent="0.25">
      <c r="A371" s="26">
        <v>10</v>
      </c>
      <c r="B371" s="268">
        <v>3</v>
      </c>
      <c r="C371" s="268">
        <v>6</v>
      </c>
      <c r="D371" s="268"/>
      <c r="E371" s="268"/>
      <c r="F371" s="268"/>
      <c r="G371" s="268"/>
      <c r="H371" s="2">
        <f t="shared" si="18"/>
        <v>12</v>
      </c>
    </row>
    <row r="372" spans="1:8" x14ac:dyDescent="0.25">
      <c r="A372" s="26">
        <v>11</v>
      </c>
      <c r="B372" s="268">
        <v>2</v>
      </c>
      <c r="C372" s="268"/>
      <c r="D372" s="268"/>
      <c r="E372" s="268"/>
      <c r="F372" s="268"/>
      <c r="G372" s="268"/>
      <c r="H372" s="2">
        <f t="shared" si="18"/>
        <v>14</v>
      </c>
    </row>
    <row r="373" spans="1:8" x14ac:dyDescent="0.25">
      <c r="A373" s="26">
        <v>12</v>
      </c>
      <c r="B373" s="268">
        <v>2</v>
      </c>
      <c r="C373" s="268">
        <v>5</v>
      </c>
      <c r="D373" s="268"/>
      <c r="E373" s="268"/>
      <c r="F373" s="268"/>
      <c r="G373" s="268"/>
      <c r="H373" s="2">
        <f t="shared" si="18"/>
        <v>11</v>
      </c>
    </row>
    <row r="374" spans="1:8" x14ac:dyDescent="0.25">
      <c r="A374" s="26">
        <v>13</v>
      </c>
      <c r="B374" s="268">
        <v>8</v>
      </c>
      <c r="C374" s="268">
        <v>3</v>
      </c>
      <c r="D374" s="268"/>
      <c r="E374" s="268"/>
      <c r="F374" s="268"/>
      <c r="G374" s="268"/>
      <c r="H374" s="2">
        <f t="shared" si="18"/>
        <v>16</v>
      </c>
    </row>
    <row r="375" spans="1:8" x14ac:dyDescent="0.25">
      <c r="A375" s="26">
        <v>14</v>
      </c>
      <c r="B375" s="268">
        <v>4</v>
      </c>
      <c r="C375" s="268">
        <v>4</v>
      </c>
      <c r="D375" s="268"/>
      <c r="E375" s="268"/>
      <c r="F375" s="268"/>
      <c r="G375" s="268"/>
      <c r="H375" s="2">
        <f t="shared" si="18"/>
        <v>16</v>
      </c>
    </row>
    <row r="376" spans="1:8" x14ac:dyDescent="0.25">
      <c r="A376" s="26">
        <v>15</v>
      </c>
      <c r="B376" s="268">
        <v>2</v>
      </c>
      <c r="C376" s="268">
        <v>3</v>
      </c>
      <c r="D376" s="268"/>
      <c r="E376" s="268"/>
      <c r="F376" s="268"/>
      <c r="G376" s="268"/>
      <c r="H376" s="2">
        <f t="shared" si="18"/>
        <v>15</v>
      </c>
    </row>
    <row r="377" spans="1:8" x14ac:dyDescent="0.25">
      <c r="A377" s="26">
        <v>16</v>
      </c>
      <c r="B377" s="268">
        <v>6</v>
      </c>
      <c r="C377" s="268">
        <v>2</v>
      </c>
      <c r="D377" s="268"/>
      <c r="E377" s="268"/>
      <c r="F377" s="268"/>
      <c r="G377" s="268"/>
      <c r="H377" s="2">
        <f t="shared" si="18"/>
        <v>19</v>
      </c>
    </row>
    <row r="378" spans="1:8" x14ac:dyDescent="0.25">
      <c r="A378" s="26">
        <v>17</v>
      </c>
      <c r="B378" s="268"/>
      <c r="C378" s="268">
        <v>8</v>
      </c>
      <c r="D378" s="268"/>
      <c r="E378" s="268"/>
      <c r="F378" s="268"/>
      <c r="G378" s="268"/>
      <c r="H378" s="2">
        <f t="shared" si="18"/>
        <v>11</v>
      </c>
    </row>
    <row r="379" spans="1:8" x14ac:dyDescent="0.25">
      <c r="A379" s="26">
        <v>18</v>
      </c>
      <c r="B379" s="268">
        <v>2</v>
      </c>
      <c r="C379" s="268">
        <v>3</v>
      </c>
      <c r="D379" s="268"/>
      <c r="E379" s="268"/>
      <c r="F379" s="268"/>
      <c r="G379" s="268"/>
      <c r="H379" s="2">
        <f t="shared" si="18"/>
        <v>10</v>
      </c>
    </row>
    <row r="380" spans="1:8" x14ac:dyDescent="0.25">
      <c r="A380" s="26">
        <v>19</v>
      </c>
      <c r="B380" s="268">
        <v>5</v>
      </c>
      <c r="C380" s="268">
        <v>1</v>
      </c>
      <c r="D380" s="268"/>
      <c r="E380" s="268"/>
      <c r="F380" s="268"/>
      <c r="G380" s="268"/>
      <c r="H380" s="2">
        <f t="shared" si="18"/>
        <v>14</v>
      </c>
    </row>
    <row r="381" spans="1:8" x14ac:dyDescent="0.25">
      <c r="A381" s="26">
        <v>20</v>
      </c>
      <c r="B381" s="268">
        <v>6</v>
      </c>
      <c r="C381" s="268">
        <v>7</v>
      </c>
      <c r="D381" s="268"/>
      <c r="E381" s="268"/>
      <c r="F381" s="268"/>
      <c r="G381" s="268"/>
      <c r="H381" s="2">
        <f t="shared" si="18"/>
        <v>13</v>
      </c>
    </row>
    <row r="382" spans="1:8" x14ac:dyDescent="0.25">
      <c r="A382" s="26">
        <v>21</v>
      </c>
      <c r="B382" s="268">
        <v>3</v>
      </c>
      <c r="C382" s="268">
        <v>8</v>
      </c>
      <c r="D382" s="268"/>
      <c r="E382" s="268"/>
      <c r="F382" s="268"/>
      <c r="G382" s="268"/>
      <c r="H382" s="2">
        <f t="shared" si="18"/>
        <v>8</v>
      </c>
    </row>
    <row r="383" spans="1:8" x14ac:dyDescent="0.25">
      <c r="A383" s="26">
        <v>22</v>
      </c>
      <c r="B383" s="268">
        <v>6</v>
      </c>
      <c r="C383" s="268">
        <v>1</v>
      </c>
      <c r="D383" s="268"/>
      <c r="E383" s="268"/>
      <c r="F383" s="268"/>
      <c r="G383" s="268"/>
      <c r="H383" s="2">
        <f t="shared" si="18"/>
        <v>13</v>
      </c>
    </row>
    <row r="384" spans="1:8" x14ac:dyDescent="0.25">
      <c r="A384" s="26">
        <v>23</v>
      </c>
      <c r="B384" s="268"/>
      <c r="C384" s="268">
        <v>4</v>
      </c>
      <c r="D384" s="268"/>
      <c r="E384" s="268"/>
      <c r="F384" s="268"/>
      <c r="G384" s="268"/>
      <c r="H384" s="2">
        <f t="shared" si="18"/>
        <v>9</v>
      </c>
    </row>
    <row r="385" spans="1:8" x14ac:dyDescent="0.25">
      <c r="A385" s="26">
        <v>24</v>
      </c>
      <c r="B385" s="268">
        <v>4</v>
      </c>
      <c r="C385" s="268">
        <v>3</v>
      </c>
      <c r="D385" s="268"/>
      <c r="E385" s="268"/>
      <c r="F385" s="268"/>
      <c r="G385" s="268">
        <v>1</v>
      </c>
      <c r="H385" s="2">
        <f t="shared" si="18"/>
        <v>9</v>
      </c>
    </row>
    <row r="386" spans="1:8" x14ac:dyDescent="0.25">
      <c r="A386" s="26">
        <v>25</v>
      </c>
      <c r="B386" s="268">
        <v>3</v>
      </c>
      <c r="C386" s="268">
        <v>1</v>
      </c>
      <c r="D386" s="268"/>
      <c r="E386" s="268"/>
      <c r="F386" s="268"/>
      <c r="G386" s="268"/>
      <c r="H386" s="2">
        <f t="shared" si="18"/>
        <v>11</v>
      </c>
    </row>
    <row r="387" spans="1:8" x14ac:dyDescent="0.25">
      <c r="A387" s="26">
        <v>26</v>
      </c>
      <c r="B387" s="268">
        <v>2</v>
      </c>
      <c r="C387" s="268">
        <v>4</v>
      </c>
      <c r="D387" s="268"/>
      <c r="E387" s="268"/>
      <c r="F387" s="268"/>
      <c r="G387" s="268"/>
      <c r="H387" s="2">
        <f t="shared" si="18"/>
        <v>9</v>
      </c>
    </row>
    <row r="388" spans="1:8" x14ac:dyDescent="0.25">
      <c r="A388" s="26">
        <v>27</v>
      </c>
      <c r="B388" s="268">
        <v>5</v>
      </c>
      <c r="C388" s="268">
        <v>5</v>
      </c>
      <c r="D388" s="268"/>
      <c r="E388" s="268"/>
      <c r="F388" s="268"/>
      <c r="G388" s="268"/>
      <c r="H388" s="2">
        <f t="shared" si="18"/>
        <v>9</v>
      </c>
    </row>
    <row r="389" spans="1:8" x14ac:dyDescent="0.25">
      <c r="A389" s="26">
        <v>28</v>
      </c>
      <c r="B389" s="268">
        <v>2</v>
      </c>
      <c r="C389" s="268">
        <v>4</v>
      </c>
      <c r="D389" s="268"/>
      <c r="E389" s="268"/>
      <c r="F389" s="268"/>
      <c r="G389" s="268"/>
      <c r="H389" s="2">
        <f t="shared" si="18"/>
        <v>7</v>
      </c>
    </row>
    <row r="390" spans="1:8" x14ac:dyDescent="0.25">
      <c r="A390" s="26">
        <v>29</v>
      </c>
      <c r="B390" s="268">
        <v>5</v>
      </c>
      <c r="C390" s="268">
        <v>1</v>
      </c>
      <c r="D390" s="268"/>
      <c r="E390" s="268"/>
      <c r="F390" s="268"/>
      <c r="G390" s="268"/>
      <c r="H390" s="2">
        <f t="shared" si="18"/>
        <v>11</v>
      </c>
    </row>
    <row r="391" spans="1:8" x14ac:dyDescent="0.25">
      <c r="A391" s="26">
        <v>30</v>
      </c>
      <c r="B391" s="268">
        <v>2</v>
      </c>
      <c r="C391" s="268">
        <v>3</v>
      </c>
      <c r="D391" s="268"/>
      <c r="E391" s="268"/>
      <c r="F391" s="268"/>
      <c r="G391" s="268"/>
      <c r="H391" s="2">
        <f t="shared" si="18"/>
        <v>10</v>
      </c>
    </row>
    <row r="392" spans="1:8" ht="15.75" thickBot="1" x14ac:dyDescent="0.3">
      <c r="A392" s="64">
        <v>31</v>
      </c>
      <c r="B392" s="528">
        <v>4</v>
      </c>
      <c r="C392" s="528">
        <v>4</v>
      </c>
      <c r="D392" s="528"/>
      <c r="E392" s="528"/>
      <c r="F392" s="528"/>
      <c r="G392" s="528"/>
      <c r="H392" s="2">
        <f t="shared" si="18"/>
        <v>10</v>
      </c>
    </row>
    <row r="393" spans="1:8" ht="15.75" thickBot="1" x14ac:dyDescent="0.3">
      <c r="A393" s="60" t="s">
        <v>35</v>
      </c>
      <c r="B393" s="58">
        <f>SUM(B362:B392)-E393</f>
        <v>102</v>
      </c>
      <c r="C393" s="58">
        <f t="shared" ref="C393:H393" si="19">SUM(C362:C392)</f>
        <v>103</v>
      </c>
      <c r="D393" s="58">
        <f t="shared" si="19"/>
        <v>0</v>
      </c>
      <c r="E393" s="58">
        <f t="shared" si="19"/>
        <v>0</v>
      </c>
      <c r="F393" s="58">
        <f t="shared" si="19"/>
        <v>1</v>
      </c>
      <c r="G393" s="58">
        <f t="shared" si="19"/>
        <v>2</v>
      </c>
      <c r="H393" s="59">
        <f t="shared" si="19"/>
        <v>344</v>
      </c>
    </row>
    <row r="396" spans="1:8" ht="36" x14ac:dyDescent="0.55000000000000004">
      <c r="A396" s="605" t="s">
        <v>1</v>
      </c>
      <c r="B396" s="605"/>
      <c r="C396" s="605"/>
      <c r="D396" s="605"/>
      <c r="E396" s="605"/>
      <c r="F396" s="605"/>
      <c r="G396" s="605"/>
      <c r="H396" s="605"/>
    </row>
    <row r="397" spans="1:8" ht="27" thickBot="1" x14ac:dyDescent="0.45">
      <c r="A397" s="606" t="s">
        <v>0</v>
      </c>
      <c r="B397" s="606"/>
      <c r="C397" s="606"/>
      <c r="D397" s="606"/>
      <c r="E397" s="606"/>
      <c r="F397" s="606"/>
      <c r="G397" s="606"/>
      <c r="H397" s="606"/>
    </row>
    <row r="398" spans="1:8" ht="15.75" x14ac:dyDescent="0.25">
      <c r="A398" s="39" t="s">
        <v>2</v>
      </c>
      <c r="B398" s="19" t="s">
        <v>3</v>
      </c>
      <c r="C398" s="20"/>
      <c r="D398" s="21" t="s">
        <v>52</v>
      </c>
      <c r="E398" s="607" t="s">
        <v>38</v>
      </c>
      <c r="F398" s="608"/>
      <c r="G398" s="19" t="s">
        <v>16</v>
      </c>
      <c r="H398" s="32" t="s">
        <v>66</v>
      </c>
    </row>
    <row r="399" spans="1:8" ht="15.75" x14ac:dyDescent="0.25">
      <c r="A399" s="609" t="s">
        <v>6</v>
      </c>
      <c r="B399" s="610"/>
      <c r="C399" s="610"/>
      <c r="D399" s="610"/>
      <c r="E399" s="610"/>
      <c r="F399" s="611"/>
      <c r="G399" s="1"/>
      <c r="H399" s="2">
        <f>H392</f>
        <v>10</v>
      </c>
    </row>
    <row r="400" spans="1:8" ht="15.75" x14ac:dyDescent="0.25">
      <c r="A400" s="3" t="s">
        <v>7</v>
      </c>
      <c r="B400" s="1"/>
      <c r="C400" s="1"/>
      <c r="D400" s="1"/>
      <c r="E400" s="1"/>
      <c r="F400" s="1"/>
      <c r="G400" s="1"/>
      <c r="H400" s="2">
        <v>20</v>
      </c>
    </row>
    <row r="401" spans="1:8" ht="51.75" thickBot="1" x14ac:dyDescent="0.3">
      <c r="A401" s="40" t="s">
        <v>8</v>
      </c>
      <c r="B401" s="41" t="s">
        <v>9</v>
      </c>
      <c r="C401" s="41" t="s">
        <v>10</v>
      </c>
      <c r="D401" s="41" t="s">
        <v>11</v>
      </c>
      <c r="E401" s="41" t="s">
        <v>12</v>
      </c>
      <c r="F401" s="41" t="s">
        <v>13</v>
      </c>
      <c r="G401" s="41" t="s">
        <v>14</v>
      </c>
      <c r="H401" s="42" t="s">
        <v>15</v>
      </c>
    </row>
    <row r="402" spans="1:8" x14ac:dyDescent="0.25">
      <c r="A402" s="36">
        <v>1</v>
      </c>
      <c r="B402" s="527"/>
      <c r="C402" s="527">
        <v>3</v>
      </c>
      <c r="D402" s="527"/>
      <c r="E402" s="527"/>
      <c r="F402" s="527"/>
      <c r="G402" s="527"/>
      <c r="H402" s="38">
        <f>H399+B402+F402-(C402+D402+G402)-E402</f>
        <v>7</v>
      </c>
    </row>
    <row r="403" spans="1:8" x14ac:dyDescent="0.25">
      <c r="A403" s="26">
        <v>2</v>
      </c>
      <c r="B403" s="268">
        <v>1</v>
      </c>
      <c r="C403" s="268">
        <v>2</v>
      </c>
      <c r="D403" s="268"/>
      <c r="E403" s="268"/>
      <c r="F403" s="268"/>
      <c r="G403" s="268"/>
      <c r="H403" s="2">
        <f>H402+B403+F403-(C403+D403+G403)-E403</f>
        <v>6</v>
      </c>
    </row>
    <row r="404" spans="1:8" x14ac:dyDescent="0.25">
      <c r="A404" s="26">
        <v>3</v>
      </c>
      <c r="B404" s="268">
        <v>5</v>
      </c>
      <c r="C404" s="268">
        <v>2</v>
      </c>
      <c r="D404" s="268"/>
      <c r="E404" s="268"/>
      <c r="F404" s="268"/>
      <c r="G404" s="268"/>
      <c r="H404" s="2">
        <f>H403+B404+F404-(C404+D404+G404)-E404</f>
        <v>9</v>
      </c>
    </row>
    <row r="405" spans="1:8" x14ac:dyDescent="0.25">
      <c r="A405" s="26">
        <v>4</v>
      </c>
      <c r="B405" s="268">
        <v>1</v>
      </c>
      <c r="C405" s="268">
        <v>3</v>
      </c>
      <c r="D405" s="268"/>
      <c r="E405" s="268"/>
      <c r="F405" s="268"/>
      <c r="G405" s="268"/>
      <c r="H405" s="2">
        <f t="shared" ref="H405:H431" si="20">H404+B405+F405-(C405+D405+G405)-E405</f>
        <v>7</v>
      </c>
    </row>
    <row r="406" spans="1:8" x14ac:dyDescent="0.25">
      <c r="A406" s="26">
        <v>5</v>
      </c>
      <c r="B406" s="268">
        <v>4</v>
      </c>
      <c r="C406" s="268">
        <v>3</v>
      </c>
      <c r="D406" s="268"/>
      <c r="E406" s="268"/>
      <c r="F406" s="268"/>
      <c r="G406" s="268"/>
      <c r="H406" s="2">
        <f t="shared" si="20"/>
        <v>8</v>
      </c>
    </row>
    <row r="407" spans="1:8" x14ac:dyDescent="0.25">
      <c r="A407" s="26">
        <v>6</v>
      </c>
      <c r="B407" s="268">
        <v>6</v>
      </c>
      <c r="C407" s="268"/>
      <c r="D407" s="268"/>
      <c r="E407" s="268"/>
      <c r="F407" s="268"/>
      <c r="G407" s="268"/>
      <c r="H407" s="2">
        <f t="shared" si="20"/>
        <v>14</v>
      </c>
    </row>
    <row r="408" spans="1:8" x14ac:dyDescent="0.25">
      <c r="A408" s="26">
        <v>7</v>
      </c>
      <c r="B408" s="268">
        <v>2</v>
      </c>
      <c r="C408" s="268">
        <v>4</v>
      </c>
      <c r="D408" s="268"/>
      <c r="E408" s="268"/>
      <c r="F408" s="268"/>
      <c r="G408" s="268"/>
      <c r="H408" s="2">
        <f t="shared" si="20"/>
        <v>12</v>
      </c>
    </row>
    <row r="409" spans="1:8" x14ac:dyDescent="0.25">
      <c r="A409" s="26">
        <v>8</v>
      </c>
      <c r="B409" s="268">
        <v>8</v>
      </c>
      <c r="C409" s="268">
        <v>3</v>
      </c>
      <c r="D409" s="268"/>
      <c r="E409" s="268"/>
      <c r="F409" s="268"/>
      <c r="G409" s="268"/>
      <c r="H409" s="2">
        <f t="shared" si="20"/>
        <v>17</v>
      </c>
    </row>
    <row r="410" spans="1:8" x14ac:dyDescent="0.25">
      <c r="A410" s="26">
        <v>9</v>
      </c>
      <c r="B410" s="268">
        <v>2</v>
      </c>
      <c r="C410" s="268">
        <v>6</v>
      </c>
      <c r="D410" s="268"/>
      <c r="E410" s="268"/>
      <c r="F410" s="268"/>
      <c r="G410" s="268"/>
      <c r="H410" s="2">
        <f t="shared" si="20"/>
        <v>13</v>
      </c>
    </row>
    <row r="411" spans="1:8" x14ac:dyDescent="0.25">
      <c r="A411" s="26">
        <v>10</v>
      </c>
      <c r="B411" s="268">
        <v>3</v>
      </c>
      <c r="C411" s="268">
        <v>4</v>
      </c>
      <c r="D411" s="268"/>
      <c r="E411" s="268"/>
      <c r="F411" s="268"/>
      <c r="G411" s="268"/>
      <c r="H411" s="2">
        <f t="shared" si="20"/>
        <v>12</v>
      </c>
    </row>
    <row r="412" spans="1:8" x14ac:dyDescent="0.25">
      <c r="A412" s="26">
        <v>11</v>
      </c>
      <c r="B412" s="268">
        <v>4</v>
      </c>
      <c r="C412" s="268">
        <v>1</v>
      </c>
      <c r="D412" s="268"/>
      <c r="E412" s="268"/>
      <c r="F412" s="268"/>
      <c r="G412" s="268"/>
      <c r="H412" s="2">
        <f t="shared" si="20"/>
        <v>15</v>
      </c>
    </row>
    <row r="413" spans="1:8" x14ac:dyDescent="0.25">
      <c r="A413" s="26">
        <v>12</v>
      </c>
      <c r="B413" s="268">
        <v>3</v>
      </c>
      <c r="C413" s="268">
        <v>4</v>
      </c>
      <c r="D413" s="268"/>
      <c r="E413" s="268"/>
      <c r="F413" s="268"/>
      <c r="G413" s="268">
        <v>1</v>
      </c>
      <c r="H413" s="2">
        <f t="shared" si="20"/>
        <v>13</v>
      </c>
    </row>
    <row r="414" spans="1:8" x14ac:dyDescent="0.25">
      <c r="A414" s="26">
        <v>13</v>
      </c>
      <c r="B414" s="268">
        <v>6</v>
      </c>
      <c r="C414" s="268">
        <v>3</v>
      </c>
      <c r="D414" s="268"/>
      <c r="E414" s="268"/>
      <c r="F414" s="268"/>
      <c r="G414" s="268"/>
      <c r="H414" s="2">
        <f t="shared" si="20"/>
        <v>16</v>
      </c>
    </row>
    <row r="415" spans="1:8" x14ac:dyDescent="0.25">
      <c r="A415" s="26">
        <v>14</v>
      </c>
      <c r="B415" s="268"/>
      <c r="C415" s="268">
        <v>1</v>
      </c>
      <c r="D415" s="268"/>
      <c r="E415" s="268"/>
      <c r="F415" s="268"/>
      <c r="G415" s="268"/>
      <c r="H415" s="2">
        <f t="shared" si="20"/>
        <v>15</v>
      </c>
    </row>
    <row r="416" spans="1:8" x14ac:dyDescent="0.25">
      <c r="A416" s="26">
        <v>15</v>
      </c>
      <c r="B416" s="268">
        <v>2</v>
      </c>
      <c r="C416" s="268">
        <v>2</v>
      </c>
      <c r="D416" s="268"/>
      <c r="E416" s="268"/>
      <c r="F416" s="268"/>
      <c r="G416" s="268">
        <v>4</v>
      </c>
      <c r="H416" s="2">
        <f t="shared" si="20"/>
        <v>11</v>
      </c>
    </row>
    <row r="417" spans="1:8" x14ac:dyDescent="0.25">
      <c r="A417" s="26">
        <v>16</v>
      </c>
      <c r="B417" s="268">
        <v>2</v>
      </c>
      <c r="C417" s="268">
        <v>3</v>
      </c>
      <c r="D417" s="268"/>
      <c r="E417" s="268"/>
      <c r="F417" s="268"/>
      <c r="G417" s="268"/>
      <c r="H417" s="2">
        <f t="shared" si="20"/>
        <v>10</v>
      </c>
    </row>
    <row r="418" spans="1:8" x14ac:dyDescent="0.25">
      <c r="A418" s="26">
        <v>17</v>
      </c>
      <c r="B418" s="268">
        <v>4</v>
      </c>
      <c r="C418" s="268"/>
      <c r="D418" s="268"/>
      <c r="E418" s="268"/>
      <c r="F418" s="268"/>
      <c r="G418" s="268"/>
      <c r="H418" s="2">
        <f t="shared" si="20"/>
        <v>14</v>
      </c>
    </row>
    <row r="419" spans="1:8" x14ac:dyDescent="0.25">
      <c r="A419" s="26">
        <v>18</v>
      </c>
      <c r="B419" s="268">
        <v>3</v>
      </c>
      <c r="C419" s="268">
        <v>2</v>
      </c>
      <c r="D419" s="268"/>
      <c r="E419" s="268"/>
      <c r="F419" s="268"/>
      <c r="G419" s="268">
        <v>2</v>
      </c>
      <c r="H419" s="2">
        <f t="shared" si="20"/>
        <v>13</v>
      </c>
    </row>
    <row r="420" spans="1:8" x14ac:dyDescent="0.25">
      <c r="A420" s="26">
        <v>19</v>
      </c>
      <c r="B420" s="268">
        <v>1</v>
      </c>
      <c r="C420" s="268">
        <v>5</v>
      </c>
      <c r="D420" s="268"/>
      <c r="E420" s="268"/>
      <c r="F420" s="268"/>
      <c r="G420" s="268"/>
      <c r="H420" s="2">
        <f t="shared" si="20"/>
        <v>9</v>
      </c>
    </row>
    <row r="421" spans="1:8" x14ac:dyDescent="0.25">
      <c r="A421" s="26">
        <v>20</v>
      </c>
      <c r="B421" s="268">
        <v>2</v>
      </c>
      <c r="C421" s="268">
        <v>3</v>
      </c>
      <c r="D421" s="268"/>
      <c r="E421" s="268"/>
      <c r="F421" s="268"/>
      <c r="G421" s="268"/>
      <c r="H421" s="2">
        <f t="shared" si="20"/>
        <v>8</v>
      </c>
    </row>
    <row r="422" spans="1:8" x14ac:dyDescent="0.25">
      <c r="A422" s="26">
        <v>21</v>
      </c>
      <c r="B422" s="268">
        <v>3</v>
      </c>
      <c r="C422" s="268"/>
      <c r="D422" s="268"/>
      <c r="E422" s="268"/>
      <c r="F422" s="268"/>
      <c r="G422" s="268"/>
      <c r="H422" s="2">
        <f t="shared" si="20"/>
        <v>11</v>
      </c>
    </row>
    <row r="423" spans="1:8" x14ac:dyDescent="0.25">
      <c r="A423" s="26">
        <v>22</v>
      </c>
      <c r="B423" s="268">
        <v>1</v>
      </c>
      <c r="C423" s="268">
        <v>3</v>
      </c>
      <c r="D423" s="268"/>
      <c r="E423" s="268"/>
      <c r="F423" s="268"/>
      <c r="G423" s="268"/>
      <c r="H423" s="2">
        <f t="shared" si="20"/>
        <v>9</v>
      </c>
    </row>
    <row r="424" spans="1:8" x14ac:dyDescent="0.25">
      <c r="A424" s="26">
        <v>23</v>
      </c>
      <c r="B424" s="268">
        <v>2</v>
      </c>
      <c r="C424" s="268">
        <v>1</v>
      </c>
      <c r="D424" s="268"/>
      <c r="E424" s="268"/>
      <c r="F424" s="268"/>
      <c r="G424" s="268"/>
      <c r="H424" s="2">
        <f t="shared" si="20"/>
        <v>10</v>
      </c>
    </row>
    <row r="425" spans="1:8" x14ac:dyDescent="0.25">
      <c r="A425" s="26">
        <v>24</v>
      </c>
      <c r="B425" s="268">
        <v>6</v>
      </c>
      <c r="C425" s="268">
        <v>1</v>
      </c>
      <c r="D425" s="268"/>
      <c r="E425" s="268"/>
      <c r="F425" s="268"/>
      <c r="G425" s="268"/>
      <c r="H425" s="2">
        <f t="shared" si="20"/>
        <v>15</v>
      </c>
    </row>
    <row r="426" spans="1:8" x14ac:dyDescent="0.25">
      <c r="A426" s="26">
        <v>25</v>
      </c>
      <c r="B426" s="268">
        <v>3</v>
      </c>
      <c r="C426" s="268">
        <v>1</v>
      </c>
      <c r="D426" s="268"/>
      <c r="E426" s="268"/>
      <c r="F426" s="268"/>
      <c r="G426" s="268"/>
      <c r="H426" s="2">
        <f t="shared" si="20"/>
        <v>17</v>
      </c>
    </row>
    <row r="427" spans="1:8" x14ac:dyDescent="0.25">
      <c r="A427" s="26">
        <v>26</v>
      </c>
      <c r="B427" s="268">
        <v>3</v>
      </c>
      <c r="C427" s="268"/>
      <c r="D427" s="268"/>
      <c r="E427" s="268"/>
      <c r="F427" s="268"/>
      <c r="G427" s="268"/>
      <c r="H427" s="2">
        <f t="shared" si="20"/>
        <v>20</v>
      </c>
    </row>
    <row r="428" spans="1:8" x14ac:dyDescent="0.25">
      <c r="A428" s="26">
        <v>27</v>
      </c>
      <c r="B428" s="268">
        <v>1</v>
      </c>
      <c r="C428" s="268">
        <v>6</v>
      </c>
      <c r="D428" s="268"/>
      <c r="E428" s="268"/>
      <c r="F428" s="268"/>
      <c r="G428" s="268"/>
      <c r="H428" s="2">
        <f t="shared" si="20"/>
        <v>15</v>
      </c>
    </row>
    <row r="429" spans="1:8" x14ac:dyDescent="0.25">
      <c r="A429" s="26">
        <v>28</v>
      </c>
      <c r="B429" s="268">
        <v>2</v>
      </c>
      <c r="C429" s="268">
        <v>1</v>
      </c>
      <c r="D429" s="268"/>
      <c r="E429" s="268"/>
      <c r="F429" s="268"/>
      <c r="G429" s="268">
        <v>1</v>
      </c>
      <c r="H429" s="2">
        <f t="shared" si="20"/>
        <v>15</v>
      </c>
    </row>
    <row r="430" spans="1:8" x14ac:dyDescent="0.25">
      <c r="A430" s="26">
        <v>29</v>
      </c>
      <c r="B430" s="268">
        <v>4</v>
      </c>
      <c r="C430" s="268">
        <v>5</v>
      </c>
      <c r="D430" s="268"/>
      <c r="E430" s="268"/>
      <c r="F430" s="268"/>
      <c r="G430" s="268"/>
      <c r="H430" s="2">
        <f t="shared" si="20"/>
        <v>14</v>
      </c>
    </row>
    <row r="431" spans="1:8" ht="15.75" thickBot="1" x14ac:dyDescent="0.3">
      <c r="A431" s="26">
        <v>30</v>
      </c>
      <c r="B431" s="268">
        <v>2</v>
      </c>
      <c r="C431" s="268">
        <v>2</v>
      </c>
      <c r="D431" s="268"/>
      <c r="E431" s="268"/>
      <c r="F431" s="268"/>
      <c r="G431" s="268"/>
      <c r="H431" s="2">
        <f t="shared" si="20"/>
        <v>14</v>
      </c>
    </row>
    <row r="432" spans="1:8" ht="15.75" thickBot="1" x14ac:dyDescent="0.3">
      <c r="A432" s="60" t="s">
        <v>35</v>
      </c>
      <c r="B432" s="58">
        <f>SUM(B402:B431)-E432</f>
        <v>86</v>
      </c>
      <c r="C432" s="58">
        <f t="shared" ref="C432:H432" si="21">SUM(C402:C431)</f>
        <v>74</v>
      </c>
      <c r="D432" s="58">
        <f t="shared" si="21"/>
        <v>0</v>
      </c>
      <c r="E432" s="58">
        <f t="shared" si="21"/>
        <v>0</v>
      </c>
      <c r="F432" s="58">
        <f t="shared" si="21"/>
        <v>0</v>
      </c>
      <c r="G432" s="58">
        <f t="shared" si="21"/>
        <v>8</v>
      </c>
      <c r="H432" s="59">
        <f t="shared" si="21"/>
        <v>369</v>
      </c>
    </row>
    <row r="435" spans="1:11" ht="36" x14ac:dyDescent="0.55000000000000004">
      <c r="A435" s="605" t="s">
        <v>1</v>
      </c>
      <c r="B435" s="605"/>
      <c r="C435" s="605"/>
      <c r="D435" s="605"/>
      <c r="E435" s="605"/>
      <c r="F435" s="605"/>
      <c r="G435" s="605"/>
      <c r="H435" s="605"/>
    </row>
    <row r="436" spans="1:11" ht="27" thickBot="1" x14ac:dyDescent="0.45">
      <c r="A436" s="606" t="s">
        <v>0</v>
      </c>
      <c r="B436" s="606"/>
      <c r="C436" s="606"/>
      <c r="D436" s="606"/>
      <c r="E436" s="606"/>
      <c r="F436" s="606"/>
      <c r="G436" s="606"/>
      <c r="H436" s="606"/>
    </row>
    <row r="437" spans="1:11" ht="15.75" x14ac:dyDescent="0.25">
      <c r="A437" s="39" t="s">
        <v>2</v>
      </c>
      <c r="B437" s="19" t="s">
        <v>3</v>
      </c>
      <c r="C437" s="20"/>
      <c r="D437" s="21" t="s">
        <v>52</v>
      </c>
      <c r="E437" s="607" t="s">
        <v>38</v>
      </c>
      <c r="F437" s="608"/>
      <c r="G437" s="19" t="s">
        <v>16</v>
      </c>
      <c r="H437" s="32" t="s">
        <v>67</v>
      </c>
    </row>
    <row r="438" spans="1:11" ht="15.75" x14ac:dyDescent="0.25">
      <c r="A438" s="609" t="s">
        <v>6</v>
      </c>
      <c r="B438" s="610"/>
      <c r="C438" s="610"/>
      <c r="D438" s="610"/>
      <c r="E438" s="610"/>
      <c r="F438" s="611"/>
      <c r="G438" s="1"/>
      <c r="H438" s="2">
        <f>H431</f>
        <v>14</v>
      </c>
    </row>
    <row r="439" spans="1:11" ht="15.75" x14ac:dyDescent="0.25">
      <c r="A439" s="3" t="s">
        <v>7</v>
      </c>
      <c r="B439" s="1"/>
      <c r="C439" s="1"/>
      <c r="D439" s="1"/>
      <c r="E439" s="1"/>
      <c r="F439" s="1"/>
      <c r="G439" s="1"/>
      <c r="H439" s="2">
        <v>20</v>
      </c>
      <c r="K439" t="s">
        <v>49</v>
      </c>
    </row>
    <row r="440" spans="1:11" ht="51.75" thickBot="1" x14ac:dyDescent="0.3">
      <c r="A440" s="40" t="s">
        <v>8</v>
      </c>
      <c r="B440" s="41" t="s">
        <v>9</v>
      </c>
      <c r="C440" s="41" t="s">
        <v>10</v>
      </c>
      <c r="D440" s="41" t="s">
        <v>11</v>
      </c>
      <c r="E440" s="41" t="s">
        <v>12</v>
      </c>
      <c r="F440" s="41" t="s">
        <v>13</v>
      </c>
      <c r="G440" s="41" t="s">
        <v>14</v>
      </c>
      <c r="H440" s="42" t="s">
        <v>15</v>
      </c>
    </row>
    <row r="441" spans="1:11" x14ac:dyDescent="0.25">
      <c r="A441" s="36">
        <v>1</v>
      </c>
      <c r="B441" s="527">
        <v>4</v>
      </c>
      <c r="C441" s="527">
        <v>5</v>
      </c>
      <c r="D441" s="527"/>
      <c r="E441" s="527"/>
      <c r="F441" s="527"/>
      <c r="G441" s="527"/>
      <c r="H441" s="38">
        <f>H438+B441+F441-(C441+D441+G441)-E441</f>
        <v>13</v>
      </c>
    </row>
    <row r="442" spans="1:11" x14ac:dyDescent="0.25">
      <c r="A442" s="26">
        <v>2</v>
      </c>
      <c r="B442" s="268">
        <v>2</v>
      </c>
      <c r="C442" s="268">
        <v>1</v>
      </c>
      <c r="D442" s="268"/>
      <c r="E442" s="268"/>
      <c r="F442" s="268">
        <v>1</v>
      </c>
      <c r="G442" s="268"/>
      <c r="H442" s="2">
        <f>H441+B442+F442-(C442+D442+G442)-E442</f>
        <v>15</v>
      </c>
    </row>
    <row r="443" spans="1:11" x14ac:dyDescent="0.25">
      <c r="A443" s="26">
        <v>3</v>
      </c>
      <c r="B443" s="268">
        <v>2</v>
      </c>
      <c r="C443" s="268">
        <v>4</v>
      </c>
      <c r="D443" s="268"/>
      <c r="E443" s="268"/>
      <c r="F443" s="268"/>
      <c r="G443" s="268"/>
      <c r="H443" s="2">
        <f>H442+B443+F443-(C443+D443+G443)-E443</f>
        <v>13</v>
      </c>
    </row>
    <row r="444" spans="1:11" x14ac:dyDescent="0.25">
      <c r="A444" s="26">
        <v>4</v>
      </c>
      <c r="B444" s="268">
        <v>1</v>
      </c>
      <c r="C444" s="268">
        <v>6</v>
      </c>
      <c r="D444" s="268"/>
      <c r="E444" s="268"/>
      <c r="F444" s="268"/>
      <c r="G444" s="268"/>
      <c r="H444" s="2">
        <f t="shared" ref="H444:H471" si="22">H443+B444+F444-(C444+D444+G444)-E444</f>
        <v>8</v>
      </c>
    </row>
    <row r="445" spans="1:11" x14ac:dyDescent="0.25">
      <c r="A445" s="26">
        <v>5</v>
      </c>
      <c r="B445" s="268">
        <v>3</v>
      </c>
      <c r="C445" s="268"/>
      <c r="D445" s="268"/>
      <c r="E445" s="268"/>
      <c r="F445" s="268"/>
      <c r="G445" s="268"/>
      <c r="H445" s="2">
        <f t="shared" si="22"/>
        <v>11</v>
      </c>
    </row>
    <row r="446" spans="1:11" x14ac:dyDescent="0.25">
      <c r="A446" s="26">
        <v>6</v>
      </c>
      <c r="B446" s="268">
        <v>2</v>
      </c>
      <c r="C446" s="268">
        <v>4</v>
      </c>
      <c r="D446" s="268"/>
      <c r="E446" s="268"/>
      <c r="F446" s="268">
        <v>1</v>
      </c>
      <c r="G446" s="268">
        <v>1</v>
      </c>
      <c r="H446" s="2">
        <f t="shared" si="22"/>
        <v>9</v>
      </c>
    </row>
    <row r="447" spans="1:11" x14ac:dyDescent="0.25">
      <c r="A447" s="26">
        <v>7</v>
      </c>
      <c r="B447" s="268">
        <v>1</v>
      </c>
      <c r="C447" s="268">
        <v>3</v>
      </c>
      <c r="D447" s="268"/>
      <c r="E447" s="268"/>
      <c r="F447" s="268"/>
      <c r="G447" s="268"/>
      <c r="H447" s="2">
        <f t="shared" si="22"/>
        <v>7</v>
      </c>
    </row>
    <row r="448" spans="1:11" x14ac:dyDescent="0.25">
      <c r="A448" s="26">
        <v>8</v>
      </c>
      <c r="B448" s="268">
        <v>3</v>
      </c>
      <c r="C448" s="268">
        <v>3</v>
      </c>
      <c r="D448" s="268"/>
      <c r="E448" s="268"/>
      <c r="F448" s="268"/>
      <c r="G448" s="268"/>
      <c r="H448" s="2">
        <f t="shared" si="22"/>
        <v>7</v>
      </c>
    </row>
    <row r="449" spans="1:8" x14ac:dyDescent="0.25">
      <c r="A449" s="26">
        <v>9</v>
      </c>
      <c r="B449" s="268">
        <v>3</v>
      </c>
      <c r="C449" s="268">
        <v>1</v>
      </c>
      <c r="D449" s="268"/>
      <c r="E449" s="268"/>
      <c r="F449" s="268"/>
      <c r="G449" s="268"/>
      <c r="H449" s="2">
        <f t="shared" si="22"/>
        <v>9</v>
      </c>
    </row>
    <row r="450" spans="1:8" x14ac:dyDescent="0.25">
      <c r="A450" s="26">
        <v>10</v>
      </c>
      <c r="B450" s="268">
        <v>2</v>
      </c>
      <c r="C450" s="268">
        <v>1</v>
      </c>
      <c r="D450" s="268"/>
      <c r="E450" s="268"/>
      <c r="F450" s="268"/>
      <c r="G450" s="268"/>
      <c r="H450" s="2">
        <f t="shared" si="22"/>
        <v>10</v>
      </c>
    </row>
    <row r="451" spans="1:8" x14ac:dyDescent="0.25">
      <c r="A451" s="26">
        <v>11</v>
      </c>
      <c r="B451" s="268">
        <v>4</v>
      </c>
      <c r="C451" s="268">
        <v>5</v>
      </c>
      <c r="D451" s="268"/>
      <c r="E451" s="268"/>
      <c r="F451" s="268"/>
      <c r="G451" s="268"/>
      <c r="H451" s="2">
        <f t="shared" si="22"/>
        <v>9</v>
      </c>
    </row>
    <row r="452" spans="1:8" x14ac:dyDescent="0.25">
      <c r="A452" s="26">
        <v>12</v>
      </c>
      <c r="B452" s="268">
        <v>2</v>
      </c>
      <c r="C452" s="268">
        <v>3</v>
      </c>
      <c r="D452" s="268"/>
      <c r="E452" s="268"/>
      <c r="F452" s="268"/>
      <c r="G452" s="268"/>
      <c r="H452" s="2">
        <f t="shared" si="22"/>
        <v>8</v>
      </c>
    </row>
    <row r="453" spans="1:8" x14ac:dyDescent="0.25">
      <c r="A453" s="26">
        <v>13</v>
      </c>
      <c r="B453" s="268"/>
      <c r="C453" s="268">
        <v>2</v>
      </c>
      <c r="D453" s="268"/>
      <c r="E453" s="268"/>
      <c r="F453" s="268"/>
      <c r="G453" s="268"/>
      <c r="H453" s="2">
        <f t="shared" si="22"/>
        <v>6</v>
      </c>
    </row>
    <row r="454" spans="1:8" x14ac:dyDescent="0.25">
      <c r="A454" s="26">
        <v>14</v>
      </c>
      <c r="B454" s="268">
        <v>4</v>
      </c>
      <c r="C454" s="268"/>
      <c r="D454" s="268"/>
      <c r="E454" s="268"/>
      <c r="F454" s="268"/>
      <c r="G454" s="268"/>
      <c r="H454" s="2">
        <f t="shared" si="22"/>
        <v>10</v>
      </c>
    </row>
    <row r="455" spans="1:8" x14ac:dyDescent="0.25">
      <c r="A455" s="26">
        <v>15</v>
      </c>
      <c r="B455" s="268">
        <v>3</v>
      </c>
      <c r="C455" s="268">
        <v>5</v>
      </c>
      <c r="D455" s="268"/>
      <c r="E455" s="268"/>
      <c r="F455" s="268"/>
      <c r="G455" s="268"/>
      <c r="H455" s="2">
        <f t="shared" si="22"/>
        <v>8</v>
      </c>
    </row>
    <row r="456" spans="1:8" x14ac:dyDescent="0.25">
      <c r="A456" s="26">
        <v>16</v>
      </c>
      <c r="B456" s="268">
        <v>4</v>
      </c>
      <c r="C456" s="268">
        <v>3</v>
      </c>
      <c r="D456" s="268"/>
      <c r="E456" s="268"/>
      <c r="F456" s="268"/>
      <c r="G456" s="268"/>
      <c r="H456" s="2">
        <f t="shared" si="22"/>
        <v>9</v>
      </c>
    </row>
    <row r="457" spans="1:8" x14ac:dyDescent="0.25">
      <c r="A457" s="26">
        <v>17</v>
      </c>
      <c r="B457" s="268"/>
      <c r="C457" s="268">
        <v>2</v>
      </c>
      <c r="D457" s="268"/>
      <c r="E457" s="268"/>
      <c r="F457" s="268"/>
      <c r="G457" s="268"/>
      <c r="H457" s="2">
        <f t="shared" si="22"/>
        <v>7</v>
      </c>
    </row>
    <row r="458" spans="1:8" x14ac:dyDescent="0.25">
      <c r="A458" s="26">
        <v>18</v>
      </c>
      <c r="B458" s="268">
        <v>4</v>
      </c>
      <c r="C458" s="268">
        <v>4</v>
      </c>
      <c r="D458" s="268"/>
      <c r="E458" s="268"/>
      <c r="F458" s="268"/>
      <c r="G458" s="268"/>
      <c r="H458" s="2">
        <f t="shared" si="22"/>
        <v>7</v>
      </c>
    </row>
    <row r="459" spans="1:8" x14ac:dyDescent="0.25">
      <c r="A459" s="26">
        <v>19</v>
      </c>
      <c r="B459" s="268">
        <v>2</v>
      </c>
      <c r="C459" s="268">
        <v>4</v>
      </c>
      <c r="D459" s="268"/>
      <c r="E459" s="268"/>
      <c r="F459" s="268"/>
      <c r="G459" s="268"/>
      <c r="H459" s="2">
        <f t="shared" si="22"/>
        <v>5</v>
      </c>
    </row>
    <row r="460" spans="1:8" x14ac:dyDescent="0.25">
      <c r="A460" s="26">
        <v>20</v>
      </c>
      <c r="B460" s="268">
        <v>2</v>
      </c>
      <c r="C460" s="268">
        <v>1</v>
      </c>
      <c r="D460" s="268"/>
      <c r="E460" s="268"/>
      <c r="F460" s="268"/>
      <c r="G460" s="268"/>
      <c r="H460" s="2">
        <f t="shared" si="22"/>
        <v>6</v>
      </c>
    </row>
    <row r="461" spans="1:8" x14ac:dyDescent="0.25">
      <c r="A461" s="26">
        <v>21</v>
      </c>
      <c r="B461" s="268">
        <v>2</v>
      </c>
      <c r="C461" s="268"/>
      <c r="D461" s="268"/>
      <c r="E461" s="268"/>
      <c r="F461" s="268"/>
      <c r="G461" s="268"/>
      <c r="H461" s="2">
        <f t="shared" si="22"/>
        <v>8</v>
      </c>
    </row>
    <row r="462" spans="1:8" x14ac:dyDescent="0.25">
      <c r="A462" s="26">
        <v>22</v>
      </c>
      <c r="B462" s="268">
        <v>7</v>
      </c>
      <c r="C462" s="268">
        <v>2</v>
      </c>
      <c r="D462" s="268"/>
      <c r="E462" s="268"/>
      <c r="F462" s="268"/>
      <c r="G462" s="268"/>
      <c r="H462" s="2">
        <f t="shared" si="22"/>
        <v>13</v>
      </c>
    </row>
    <row r="463" spans="1:8" x14ac:dyDescent="0.25">
      <c r="A463" s="26">
        <v>23</v>
      </c>
      <c r="B463" s="268">
        <v>1</v>
      </c>
      <c r="C463" s="268">
        <v>3</v>
      </c>
      <c r="D463" s="268"/>
      <c r="E463" s="268"/>
      <c r="F463" s="268"/>
      <c r="G463" s="268"/>
      <c r="H463" s="2">
        <f t="shared" si="22"/>
        <v>11</v>
      </c>
    </row>
    <row r="464" spans="1:8" x14ac:dyDescent="0.25">
      <c r="A464" s="26">
        <v>24</v>
      </c>
      <c r="B464" s="268">
        <v>2</v>
      </c>
      <c r="C464" s="268">
        <v>2</v>
      </c>
      <c r="D464" s="268"/>
      <c r="E464" s="268"/>
      <c r="F464" s="268"/>
      <c r="G464" s="268"/>
      <c r="H464" s="2">
        <f t="shared" si="22"/>
        <v>11</v>
      </c>
    </row>
    <row r="465" spans="1:8" x14ac:dyDescent="0.25">
      <c r="A465" s="26">
        <v>25</v>
      </c>
      <c r="B465" s="268">
        <v>2</v>
      </c>
      <c r="C465" s="268">
        <v>4</v>
      </c>
      <c r="D465" s="268"/>
      <c r="E465" s="268"/>
      <c r="F465" s="268"/>
      <c r="G465" s="268"/>
      <c r="H465" s="2">
        <f t="shared" si="22"/>
        <v>9</v>
      </c>
    </row>
    <row r="466" spans="1:8" x14ac:dyDescent="0.25">
      <c r="A466" s="26">
        <v>26</v>
      </c>
      <c r="B466" s="268">
        <v>2</v>
      </c>
      <c r="C466" s="268">
        <v>3</v>
      </c>
      <c r="D466" s="268"/>
      <c r="E466" s="268"/>
      <c r="F466" s="268"/>
      <c r="G466" s="268"/>
      <c r="H466" s="2">
        <f t="shared" si="22"/>
        <v>8</v>
      </c>
    </row>
    <row r="467" spans="1:8" x14ac:dyDescent="0.25">
      <c r="A467" s="26">
        <v>27</v>
      </c>
      <c r="B467" s="268">
        <v>4</v>
      </c>
      <c r="C467" s="268"/>
      <c r="D467" s="268"/>
      <c r="E467" s="268"/>
      <c r="F467" s="268"/>
      <c r="G467" s="268"/>
      <c r="H467" s="2">
        <f t="shared" si="22"/>
        <v>12</v>
      </c>
    </row>
    <row r="468" spans="1:8" x14ac:dyDescent="0.25">
      <c r="A468" s="26">
        <v>28</v>
      </c>
      <c r="B468" s="268">
        <v>2</v>
      </c>
      <c r="C468" s="268">
        <v>2</v>
      </c>
      <c r="D468" s="268"/>
      <c r="E468" s="268"/>
      <c r="F468" s="268"/>
      <c r="G468" s="268"/>
      <c r="H468" s="2">
        <f t="shared" si="22"/>
        <v>12</v>
      </c>
    </row>
    <row r="469" spans="1:8" x14ac:dyDescent="0.25">
      <c r="A469" s="26">
        <v>29</v>
      </c>
      <c r="B469" s="268">
        <v>4</v>
      </c>
      <c r="C469" s="268">
        <v>5</v>
      </c>
      <c r="D469" s="268"/>
      <c r="E469" s="268"/>
      <c r="F469" s="268"/>
      <c r="G469" s="268"/>
      <c r="H469" s="2">
        <f t="shared" si="22"/>
        <v>11</v>
      </c>
    </row>
    <row r="470" spans="1:8" x14ac:dyDescent="0.25">
      <c r="A470" s="26">
        <v>30</v>
      </c>
      <c r="B470" s="268">
        <v>1</v>
      </c>
      <c r="C470" s="268">
        <v>4</v>
      </c>
      <c r="D470" s="268"/>
      <c r="E470" s="268"/>
      <c r="F470" s="268"/>
      <c r="G470" s="268"/>
      <c r="H470" s="2">
        <f t="shared" si="22"/>
        <v>8</v>
      </c>
    </row>
    <row r="471" spans="1:8" ht="15.75" thickBot="1" x14ac:dyDescent="0.3">
      <c r="A471" s="64">
        <v>31</v>
      </c>
      <c r="B471" s="528">
        <v>3</v>
      </c>
      <c r="C471" s="528">
        <v>2</v>
      </c>
      <c r="D471" s="528"/>
      <c r="E471" s="528"/>
      <c r="F471" s="528"/>
      <c r="G471" s="528"/>
      <c r="H471" s="2">
        <f t="shared" si="22"/>
        <v>9</v>
      </c>
    </row>
    <row r="472" spans="1:8" ht="15.75" thickBot="1" x14ac:dyDescent="0.3">
      <c r="A472" s="60" t="s">
        <v>35</v>
      </c>
      <c r="B472" s="58">
        <f>SUM(B441:B471)-E472</f>
        <v>78</v>
      </c>
      <c r="C472" s="58">
        <f t="shared" ref="C472:H472" si="23">SUM(C441:C471)</f>
        <v>84</v>
      </c>
      <c r="D472" s="58">
        <f t="shared" si="23"/>
        <v>0</v>
      </c>
      <c r="E472" s="58">
        <f t="shared" si="23"/>
        <v>0</v>
      </c>
      <c r="F472" s="58">
        <f t="shared" si="23"/>
        <v>2</v>
      </c>
      <c r="G472" s="58">
        <f t="shared" si="23"/>
        <v>1</v>
      </c>
      <c r="H472" s="59">
        <f t="shared" si="23"/>
        <v>289</v>
      </c>
    </row>
  </sheetData>
  <sheetProtection sheet="1" objects="1" scenarios="1"/>
  <mergeCells count="47">
    <mergeCell ref="A436:H436"/>
    <mergeCell ref="E437:F437"/>
    <mergeCell ref="A438:F438"/>
    <mergeCell ref="A396:H396"/>
    <mergeCell ref="A397:H397"/>
    <mergeCell ref="E398:F398"/>
    <mergeCell ref="A399:F399"/>
    <mergeCell ref="A435:H435"/>
    <mergeCell ref="A356:H356"/>
    <mergeCell ref="A357:H357"/>
    <mergeCell ref="E358:F358"/>
    <mergeCell ref="A359:F359"/>
    <mergeCell ref="A317:H317"/>
    <mergeCell ref="A318:H318"/>
    <mergeCell ref="E319:F319"/>
    <mergeCell ref="A320:F320"/>
    <mergeCell ref="A277:H277"/>
    <mergeCell ref="A278:H278"/>
    <mergeCell ref="E279:F279"/>
    <mergeCell ref="A280:F280"/>
    <mergeCell ref="A79:H79"/>
    <mergeCell ref="A80:H80"/>
    <mergeCell ref="E81:F81"/>
    <mergeCell ref="A82:F82"/>
    <mergeCell ref="A237:H237"/>
    <mergeCell ref="A238:H238"/>
    <mergeCell ref="E239:F239"/>
    <mergeCell ref="A240:F240"/>
    <mergeCell ref="A119:H119"/>
    <mergeCell ref="A120:H120"/>
    <mergeCell ref="A122:F122"/>
    <mergeCell ref="A198:H198"/>
    <mergeCell ref="A199:H199"/>
    <mergeCell ref="E200:F200"/>
    <mergeCell ref="A201:F201"/>
    <mergeCell ref="A158:H158"/>
    <mergeCell ref="A159:H159"/>
    <mergeCell ref="E160:F160"/>
    <mergeCell ref="A161:F161"/>
    <mergeCell ref="A42:H42"/>
    <mergeCell ref="E43:F43"/>
    <mergeCell ref="A44:F44"/>
    <mergeCell ref="A1:H1"/>
    <mergeCell ref="A2:H2"/>
    <mergeCell ref="E3:F3"/>
    <mergeCell ref="A4:F4"/>
    <mergeCell ref="A41:H4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5" tint="-0.249977111117893"/>
  </sheetPr>
  <dimension ref="A1:H472"/>
  <sheetViews>
    <sheetView topLeftCell="A436" zoomScale="85" zoomScaleNormal="85" workbookViewId="0">
      <selection activeCell="B472" sqref="B472"/>
    </sheetView>
  </sheetViews>
  <sheetFormatPr defaultRowHeight="15" x14ac:dyDescent="0.25"/>
  <cols>
    <col min="1" max="1" width="10" customWidth="1"/>
    <col min="2" max="2" width="13.28515625" customWidth="1"/>
    <col min="3" max="3" width="12.28515625" customWidth="1"/>
    <col min="4" max="4" width="8.7109375" customWidth="1"/>
    <col min="5" max="5" width="9.5703125" customWidth="1"/>
    <col min="6" max="6" width="11.28515625" customWidth="1"/>
    <col min="7" max="7" width="11.42578125" customWidth="1"/>
    <col min="8" max="8" width="12.42578125" customWidth="1"/>
  </cols>
  <sheetData>
    <row r="1" spans="1:8" ht="36" x14ac:dyDescent="0.55000000000000004">
      <c r="A1" s="605" t="s">
        <v>1</v>
      </c>
      <c r="B1" s="605"/>
      <c r="C1" s="605"/>
      <c r="D1" s="605"/>
      <c r="E1" s="605"/>
      <c r="F1" s="605"/>
      <c r="G1" s="605"/>
      <c r="H1" s="605"/>
    </row>
    <row r="2" spans="1:8" ht="26.25" x14ac:dyDescent="0.4">
      <c r="A2" s="606" t="s">
        <v>0</v>
      </c>
      <c r="B2" s="606"/>
      <c r="C2" s="606"/>
      <c r="D2" s="606"/>
      <c r="E2" s="606"/>
      <c r="F2" s="606"/>
      <c r="G2" s="606"/>
      <c r="H2" s="606"/>
    </row>
    <row r="3" spans="1:8" ht="15.75" x14ac:dyDescent="0.25">
      <c r="A3" s="4" t="s">
        <v>19</v>
      </c>
      <c r="B3" s="4" t="s">
        <v>3</v>
      </c>
      <c r="C3" s="5"/>
      <c r="D3" s="1" t="s">
        <v>18</v>
      </c>
      <c r="E3" s="619" t="s">
        <v>129</v>
      </c>
      <c r="F3" s="619"/>
      <c r="G3" s="4" t="s">
        <v>16</v>
      </c>
      <c r="H3" s="6" t="s">
        <v>17</v>
      </c>
    </row>
    <row r="4" spans="1:8" ht="15.75" x14ac:dyDescent="0.25">
      <c r="A4" s="620" t="s">
        <v>6</v>
      </c>
      <c r="B4" s="620"/>
      <c r="C4" s="620"/>
      <c r="D4" s="620"/>
      <c r="E4" s="620"/>
      <c r="F4" s="620"/>
      <c r="G4" s="1"/>
      <c r="H4" s="5">
        <v>8</v>
      </c>
    </row>
    <row r="5" spans="1:8" ht="15.75" x14ac:dyDescent="0.25">
      <c r="A5" s="1" t="s">
        <v>7</v>
      </c>
      <c r="B5" s="1"/>
      <c r="C5" s="1"/>
      <c r="D5" s="1"/>
      <c r="E5" s="1"/>
      <c r="F5" s="1"/>
      <c r="G5" s="1"/>
      <c r="H5" s="5">
        <v>14</v>
      </c>
    </row>
    <row r="6" spans="1:8" ht="51" x14ac:dyDescent="0.25">
      <c r="A6" s="9" t="s">
        <v>8</v>
      </c>
      <c r="B6" s="9" t="s">
        <v>9</v>
      </c>
      <c r="C6" s="9" t="s">
        <v>10</v>
      </c>
      <c r="D6" s="9" t="s">
        <v>11</v>
      </c>
      <c r="E6" s="9" t="s">
        <v>12</v>
      </c>
      <c r="F6" s="9" t="s">
        <v>13</v>
      </c>
      <c r="G6" s="9" t="s">
        <v>14</v>
      </c>
      <c r="H6" s="31" t="s">
        <v>15</v>
      </c>
    </row>
    <row r="7" spans="1:8" x14ac:dyDescent="0.25">
      <c r="A7" s="11">
        <v>1</v>
      </c>
      <c r="B7" s="5">
        <v>4</v>
      </c>
      <c r="C7" s="5">
        <v>5</v>
      </c>
      <c r="D7" s="5"/>
      <c r="E7" s="5"/>
      <c r="F7" s="5"/>
      <c r="G7" s="5">
        <v>1</v>
      </c>
      <c r="H7" s="5">
        <f>H4+B7+F7-(C7+D7+G7)-E7</f>
        <v>6</v>
      </c>
    </row>
    <row r="8" spans="1:8" x14ac:dyDescent="0.25">
      <c r="A8" s="11">
        <v>2</v>
      </c>
      <c r="B8" s="5">
        <v>3</v>
      </c>
      <c r="C8" s="5">
        <v>1</v>
      </c>
      <c r="D8" s="5"/>
      <c r="E8" s="5"/>
      <c r="F8" s="5"/>
      <c r="G8" s="5">
        <v>1</v>
      </c>
      <c r="H8" s="5">
        <f>H7+B8+F8-(C8+D8+G8)-E8</f>
        <v>7</v>
      </c>
    </row>
    <row r="9" spans="1:8" x14ac:dyDescent="0.25">
      <c r="A9" s="11">
        <v>3</v>
      </c>
      <c r="B9" s="5">
        <v>3</v>
      </c>
      <c r="C9" s="5">
        <v>1</v>
      </c>
      <c r="D9" s="5"/>
      <c r="E9" s="5"/>
      <c r="F9" s="5">
        <v>1</v>
      </c>
      <c r="G9" s="5"/>
      <c r="H9" s="5">
        <f t="shared" ref="H9:H37" si="0">H8+B9+F9-(C9+D9+G9)-E9</f>
        <v>10</v>
      </c>
    </row>
    <row r="10" spans="1:8" x14ac:dyDescent="0.25">
      <c r="A10" s="11">
        <v>4</v>
      </c>
      <c r="B10" s="5">
        <v>2</v>
      </c>
      <c r="C10" s="5">
        <v>9</v>
      </c>
      <c r="D10" s="5"/>
      <c r="E10" s="5"/>
      <c r="F10" s="5">
        <v>1</v>
      </c>
      <c r="G10" s="5">
        <v>2</v>
      </c>
      <c r="H10" s="5">
        <f t="shared" si="0"/>
        <v>2</v>
      </c>
    </row>
    <row r="11" spans="1:8" x14ac:dyDescent="0.25">
      <c r="A11" s="11">
        <v>5</v>
      </c>
      <c r="B11" s="5">
        <v>3</v>
      </c>
      <c r="C11" s="5"/>
      <c r="D11" s="5"/>
      <c r="E11" s="5"/>
      <c r="F11" s="5">
        <v>1</v>
      </c>
      <c r="G11" s="5">
        <v>1</v>
      </c>
      <c r="H11" s="5">
        <f t="shared" si="0"/>
        <v>5</v>
      </c>
    </row>
    <row r="12" spans="1:8" x14ac:dyDescent="0.25">
      <c r="A12" s="11">
        <v>6</v>
      </c>
      <c r="B12" s="5">
        <v>5</v>
      </c>
      <c r="C12" s="5">
        <v>2</v>
      </c>
      <c r="D12" s="5"/>
      <c r="E12" s="5"/>
      <c r="F12" s="5"/>
      <c r="G12" s="5">
        <v>1</v>
      </c>
      <c r="H12" s="5">
        <f t="shared" si="0"/>
        <v>7</v>
      </c>
    </row>
    <row r="13" spans="1:8" x14ac:dyDescent="0.25">
      <c r="A13" s="11">
        <v>7</v>
      </c>
      <c r="B13" s="5">
        <v>3</v>
      </c>
      <c r="C13" s="5">
        <v>2</v>
      </c>
      <c r="D13" s="5"/>
      <c r="E13" s="5"/>
      <c r="F13" s="5">
        <v>2</v>
      </c>
      <c r="G13" s="5">
        <v>1</v>
      </c>
      <c r="H13" s="5">
        <f t="shared" si="0"/>
        <v>9</v>
      </c>
    </row>
    <row r="14" spans="1:8" x14ac:dyDescent="0.25">
      <c r="A14" s="11">
        <v>8</v>
      </c>
      <c r="B14" s="5">
        <v>1</v>
      </c>
      <c r="C14" s="5">
        <v>4</v>
      </c>
      <c r="D14" s="5"/>
      <c r="E14" s="5"/>
      <c r="F14" s="5">
        <v>2</v>
      </c>
      <c r="G14" s="5"/>
      <c r="H14" s="5">
        <f t="shared" si="0"/>
        <v>8</v>
      </c>
    </row>
    <row r="15" spans="1:8" x14ac:dyDescent="0.25">
      <c r="A15" s="11">
        <v>9</v>
      </c>
      <c r="B15" s="5">
        <v>5</v>
      </c>
      <c r="C15" s="5">
        <v>5</v>
      </c>
      <c r="D15" s="5"/>
      <c r="E15" s="5"/>
      <c r="F15" s="5"/>
      <c r="G15" s="5">
        <v>1</v>
      </c>
      <c r="H15" s="5">
        <f t="shared" si="0"/>
        <v>7</v>
      </c>
    </row>
    <row r="16" spans="1:8" x14ac:dyDescent="0.25">
      <c r="A16" s="11">
        <v>10</v>
      </c>
      <c r="B16" s="5">
        <v>4</v>
      </c>
      <c r="C16" s="5">
        <v>3</v>
      </c>
      <c r="D16" s="5"/>
      <c r="E16" s="5"/>
      <c r="F16" s="5">
        <v>1</v>
      </c>
      <c r="G16" s="5"/>
      <c r="H16" s="5">
        <f t="shared" si="0"/>
        <v>9</v>
      </c>
    </row>
    <row r="17" spans="1:8" x14ac:dyDescent="0.25">
      <c r="A17" s="11">
        <v>11</v>
      </c>
      <c r="B17" s="5">
        <v>5</v>
      </c>
      <c r="C17" s="5">
        <v>4</v>
      </c>
      <c r="D17" s="5"/>
      <c r="E17" s="5"/>
      <c r="F17" s="5"/>
      <c r="G17" s="5">
        <v>3</v>
      </c>
      <c r="H17" s="5">
        <f t="shared" si="0"/>
        <v>7</v>
      </c>
    </row>
    <row r="18" spans="1:8" x14ac:dyDescent="0.25">
      <c r="A18" s="11">
        <v>12</v>
      </c>
      <c r="B18" s="5">
        <v>3</v>
      </c>
      <c r="C18" s="5">
        <v>4</v>
      </c>
      <c r="D18" s="5"/>
      <c r="E18" s="5"/>
      <c r="F18" s="5"/>
      <c r="G18" s="5">
        <v>2</v>
      </c>
      <c r="H18" s="5">
        <f t="shared" si="0"/>
        <v>4</v>
      </c>
    </row>
    <row r="19" spans="1:8" x14ac:dyDescent="0.25">
      <c r="A19" s="11">
        <v>13</v>
      </c>
      <c r="B19" s="5">
        <v>3</v>
      </c>
      <c r="C19" s="5">
        <v>2</v>
      </c>
      <c r="D19" s="5"/>
      <c r="E19" s="5"/>
      <c r="F19" s="5">
        <v>1</v>
      </c>
      <c r="G19" s="5"/>
      <c r="H19" s="5">
        <f t="shared" si="0"/>
        <v>6</v>
      </c>
    </row>
    <row r="20" spans="1:8" x14ac:dyDescent="0.25">
      <c r="A20" s="11">
        <v>14</v>
      </c>
      <c r="B20" s="5">
        <v>4</v>
      </c>
      <c r="C20" s="5">
        <v>5</v>
      </c>
      <c r="D20" s="5"/>
      <c r="E20" s="5"/>
      <c r="F20" s="5">
        <v>2</v>
      </c>
      <c r="G20" s="5">
        <v>2</v>
      </c>
      <c r="H20" s="5">
        <f t="shared" si="0"/>
        <v>5</v>
      </c>
    </row>
    <row r="21" spans="1:8" x14ac:dyDescent="0.25">
      <c r="A21" s="11">
        <v>15</v>
      </c>
      <c r="B21" s="5">
        <v>5</v>
      </c>
      <c r="C21" s="5">
        <v>3</v>
      </c>
      <c r="D21" s="5"/>
      <c r="E21" s="5"/>
      <c r="F21" s="5"/>
      <c r="G21" s="5">
        <v>1</v>
      </c>
      <c r="H21" s="5">
        <f t="shared" si="0"/>
        <v>6</v>
      </c>
    </row>
    <row r="22" spans="1:8" x14ac:dyDescent="0.25">
      <c r="A22" s="11">
        <v>16</v>
      </c>
      <c r="B22" s="5">
        <v>3</v>
      </c>
      <c r="C22" s="5"/>
      <c r="D22" s="5"/>
      <c r="E22" s="5"/>
      <c r="F22" s="5">
        <v>1</v>
      </c>
      <c r="G22" s="5"/>
      <c r="H22" s="5">
        <f t="shared" si="0"/>
        <v>10</v>
      </c>
    </row>
    <row r="23" spans="1:8" x14ac:dyDescent="0.25">
      <c r="A23" s="11">
        <v>17</v>
      </c>
      <c r="B23" s="5">
        <v>1</v>
      </c>
      <c r="C23" s="5">
        <v>8</v>
      </c>
      <c r="D23" s="5"/>
      <c r="E23" s="5"/>
      <c r="F23" s="5">
        <v>2</v>
      </c>
      <c r="G23" s="5">
        <v>1</v>
      </c>
      <c r="H23" s="5">
        <f t="shared" si="0"/>
        <v>4</v>
      </c>
    </row>
    <row r="24" spans="1:8" x14ac:dyDescent="0.25">
      <c r="A24" s="11">
        <v>18</v>
      </c>
      <c r="B24" s="5">
        <v>2</v>
      </c>
      <c r="C24" s="5">
        <v>1</v>
      </c>
      <c r="D24" s="5"/>
      <c r="E24" s="5"/>
      <c r="F24" s="5"/>
      <c r="G24" s="5"/>
      <c r="H24" s="5">
        <f t="shared" si="0"/>
        <v>5</v>
      </c>
    </row>
    <row r="25" spans="1:8" x14ac:dyDescent="0.25">
      <c r="A25" s="11">
        <v>19</v>
      </c>
      <c r="B25" s="5">
        <v>2</v>
      </c>
      <c r="C25" s="5">
        <v>2</v>
      </c>
      <c r="D25" s="5"/>
      <c r="E25" s="5"/>
      <c r="F25" s="5"/>
      <c r="G25" s="5">
        <v>1</v>
      </c>
      <c r="H25" s="5">
        <f t="shared" si="0"/>
        <v>4</v>
      </c>
    </row>
    <row r="26" spans="1:8" x14ac:dyDescent="0.25">
      <c r="A26" s="11">
        <v>20</v>
      </c>
      <c r="B26" s="5">
        <v>3</v>
      </c>
      <c r="C26" s="5">
        <v>3</v>
      </c>
      <c r="D26" s="5"/>
      <c r="E26" s="5"/>
      <c r="F26" s="5">
        <v>2</v>
      </c>
      <c r="G26" s="5"/>
      <c r="H26" s="5">
        <f t="shared" si="0"/>
        <v>6</v>
      </c>
    </row>
    <row r="27" spans="1:8" x14ac:dyDescent="0.25">
      <c r="A27" s="11">
        <v>21</v>
      </c>
      <c r="B27" s="5">
        <v>3</v>
      </c>
      <c r="C27" s="5">
        <v>1</v>
      </c>
      <c r="D27" s="5"/>
      <c r="E27" s="5"/>
      <c r="F27" s="5"/>
      <c r="G27" s="5">
        <v>3</v>
      </c>
      <c r="H27" s="5">
        <f t="shared" si="0"/>
        <v>5</v>
      </c>
    </row>
    <row r="28" spans="1:8" x14ac:dyDescent="0.25">
      <c r="A28" s="11">
        <v>22</v>
      </c>
      <c r="B28" s="5">
        <v>2</v>
      </c>
      <c r="C28" s="5">
        <v>1</v>
      </c>
      <c r="D28" s="5"/>
      <c r="E28" s="5"/>
      <c r="F28" s="5"/>
      <c r="G28" s="5">
        <v>1</v>
      </c>
      <c r="H28" s="5">
        <f t="shared" si="0"/>
        <v>5</v>
      </c>
    </row>
    <row r="29" spans="1:8" x14ac:dyDescent="0.25">
      <c r="A29" s="11">
        <v>23</v>
      </c>
      <c r="B29" s="5">
        <v>2</v>
      </c>
      <c r="C29" s="5"/>
      <c r="D29" s="5"/>
      <c r="E29" s="5"/>
      <c r="F29" s="5"/>
      <c r="G29" s="5"/>
      <c r="H29" s="5">
        <f t="shared" si="0"/>
        <v>7</v>
      </c>
    </row>
    <row r="30" spans="1:8" x14ac:dyDescent="0.25">
      <c r="A30" s="11">
        <v>24</v>
      </c>
      <c r="B30" s="5">
        <v>4</v>
      </c>
      <c r="C30" s="5">
        <v>4</v>
      </c>
      <c r="D30" s="5"/>
      <c r="E30" s="5"/>
      <c r="F30" s="5">
        <v>1</v>
      </c>
      <c r="G30" s="5">
        <v>1</v>
      </c>
      <c r="H30" s="5">
        <f t="shared" si="0"/>
        <v>7</v>
      </c>
    </row>
    <row r="31" spans="1:8" x14ac:dyDescent="0.25">
      <c r="A31" s="11">
        <v>25</v>
      </c>
      <c r="B31" s="5">
        <v>2</v>
      </c>
      <c r="C31" s="5">
        <v>2</v>
      </c>
      <c r="D31" s="5"/>
      <c r="E31" s="5"/>
      <c r="F31" s="5">
        <v>1</v>
      </c>
      <c r="G31" s="5">
        <v>2</v>
      </c>
      <c r="H31" s="5">
        <f t="shared" si="0"/>
        <v>6</v>
      </c>
    </row>
    <row r="32" spans="1:8" x14ac:dyDescent="0.25">
      <c r="A32" s="11">
        <v>26</v>
      </c>
      <c r="B32" s="5">
        <v>2</v>
      </c>
      <c r="C32" s="5">
        <v>2</v>
      </c>
      <c r="D32" s="5"/>
      <c r="E32" s="5"/>
      <c r="F32" s="5">
        <v>1</v>
      </c>
      <c r="G32" s="5"/>
      <c r="H32" s="5">
        <f t="shared" si="0"/>
        <v>7</v>
      </c>
    </row>
    <row r="33" spans="1:8" x14ac:dyDescent="0.25">
      <c r="A33" s="11">
        <v>27</v>
      </c>
      <c r="B33" s="5">
        <v>1</v>
      </c>
      <c r="C33" s="5">
        <v>3</v>
      </c>
      <c r="D33" s="5"/>
      <c r="E33" s="5"/>
      <c r="F33" s="5"/>
      <c r="G33" s="5">
        <v>1</v>
      </c>
      <c r="H33" s="5">
        <f t="shared" si="0"/>
        <v>4</v>
      </c>
    </row>
    <row r="34" spans="1:8" x14ac:dyDescent="0.25">
      <c r="A34" s="11">
        <v>28</v>
      </c>
      <c r="B34" s="5">
        <v>4</v>
      </c>
      <c r="C34" s="5"/>
      <c r="D34" s="5"/>
      <c r="E34" s="5"/>
      <c r="F34" s="5"/>
      <c r="G34" s="5"/>
      <c r="H34" s="5">
        <f t="shared" si="0"/>
        <v>8</v>
      </c>
    </row>
    <row r="35" spans="1:8" x14ac:dyDescent="0.25">
      <c r="A35" s="11">
        <v>29</v>
      </c>
      <c r="B35" s="5">
        <v>6</v>
      </c>
      <c r="C35" s="5">
        <v>1</v>
      </c>
      <c r="D35" s="5"/>
      <c r="E35" s="5"/>
      <c r="F35" s="5"/>
      <c r="G35" s="5">
        <v>2</v>
      </c>
      <c r="H35" s="5">
        <f t="shared" si="0"/>
        <v>11</v>
      </c>
    </row>
    <row r="36" spans="1:8" x14ac:dyDescent="0.25">
      <c r="A36" s="11">
        <v>30</v>
      </c>
      <c r="B36" s="5">
        <v>1</v>
      </c>
      <c r="C36" s="5">
        <v>9</v>
      </c>
      <c r="D36" s="5"/>
      <c r="E36" s="5"/>
      <c r="F36" s="5">
        <v>1</v>
      </c>
      <c r="G36" s="5"/>
      <c r="H36" s="5">
        <f t="shared" si="0"/>
        <v>4</v>
      </c>
    </row>
    <row r="37" spans="1:8" x14ac:dyDescent="0.25">
      <c r="A37" s="11">
        <v>31</v>
      </c>
      <c r="B37" s="5">
        <v>4</v>
      </c>
      <c r="C37" s="5">
        <v>3</v>
      </c>
      <c r="D37" s="5"/>
      <c r="E37" s="5"/>
      <c r="F37" s="5">
        <v>3</v>
      </c>
      <c r="G37" s="5"/>
      <c r="H37" s="5">
        <f t="shared" si="0"/>
        <v>8</v>
      </c>
    </row>
    <row r="38" spans="1:8" x14ac:dyDescent="0.25">
      <c r="A38" s="12" t="s">
        <v>35</v>
      </c>
      <c r="B38" s="12">
        <f>SUM(B7:B37)-E38</f>
        <v>95</v>
      </c>
      <c r="C38" s="12">
        <f t="shared" ref="C38:H38" si="1">SUM(C7:C37)</f>
        <v>90</v>
      </c>
      <c r="D38" s="12">
        <f t="shared" si="1"/>
        <v>0</v>
      </c>
      <c r="E38" s="12">
        <f t="shared" si="1"/>
        <v>0</v>
      </c>
      <c r="F38" s="12">
        <f t="shared" si="1"/>
        <v>23</v>
      </c>
      <c r="G38" s="12">
        <f t="shared" si="1"/>
        <v>28</v>
      </c>
      <c r="H38" s="12">
        <f t="shared" si="1"/>
        <v>199</v>
      </c>
    </row>
    <row r="41" spans="1:8" ht="36" x14ac:dyDescent="0.55000000000000004">
      <c r="A41" s="605" t="s">
        <v>1</v>
      </c>
      <c r="B41" s="605"/>
      <c r="C41" s="605"/>
      <c r="D41" s="605"/>
      <c r="E41" s="605"/>
      <c r="F41" s="605"/>
      <c r="G41" s="605"/>
      <c r="H41" s="605"/>
    </row>
    <row r="42" spans="1:8" ht="26.25" x14ac:dyDescent="0.4">
      <c r="A42" s="606" t="s">
        <v>0</v>
      </c>
      <c r="B42" s="606"/>
      <c r="C42" s="606"/>
      <c r="D42" s="606"/>
      <c r="E42" s="606"/>
      <c r="F42" s="606"/>
      <c r="G42" s="606"/>
      <c r="H42" s="606"/>
    </row>
    <row r="43" spans="1:8" ht="15.75" x14ac:dyDescent="0.25">
      <c r="A43" s="4" t="s">
        <v>19</v>
      </c>
      <c r="B43" s="4" t="s">
        <v>3</v>
      </c>
      <c r="C43" s="5"/>
      <c r="D43" s="1" t="s">
        <v>18</v>
      </c>
      <c r="E43" s="619" t="s">
        <v>129</v>
      </c>
      <c r="F43" s="619"/>
      <c r="G43" s="4" t="s">
        <v>16</v>
      </c>
      <c r="H43" s="6" t="s">
        <v>41</v>
      </c>
    </row>
    <row r="44" spans="1:8" ht="15.75" x14ac:dyDescent="0.25">
      <c r="A44" s="620" t="s">
        <v>6</v>
      </c>
      <c r="B44" s="620"/>
      <c r="C44" s="620"/>
      <c r="D44" s="620"/>
      <c r="E44" s="620"/>
      <c r="F44" s="620"/>
      <c r="G44" s="1"/>
      <c r="H44" s="5">
        <f>H37</f>
        <v>8</v>
      </c>
    </row>
    <row r="45" spans="1:8" ht="15.75" x14ac:dyDescent="0.25">
      <c r="A45" s="1" t="s">
        <v>7</v>
      </c>
      <c r="B45" s="1"/>
      <c r="C45" s="1"/>
      <c r="D45" s="1"/>
      <c r="E45" s="1"/>
      <c r="F45" s="1"/>
      <c r="G45" s="1"/>
      <c r="H45" s="5">
        <v>14</v>
      </c>
    </row>
    <row r="46" spans="1:8" ht="51" x14ac:dyDescent="0.25">
      <c r="A46" s="9" t="s">
        <v>8</v>
      </c>
      <c r="B46" s="9" t="s">
        <v>9</v>
      </c>
      <c r="C46" s="9" t="s">
        <v>10</v>
      </c>
      <c r="D46" s="9" t="s">
        <v>11</v>
      </c>
      <c r="E46" s="9" t="s">
        <v>12</v>
      </c>
      <c r="F46" s="9" t="s">
        <v>13</v>
      </c>
      <c r="G46" s="9" t="s">
        <v>14</v>
      </c>
      <c r="H46" s="31" t="s">
        <v>15</v>
      </c>
    </row>
    <row r="47" spans="1:8" x14ac:dyDescent="0.25">
      <c r="A47" s="11">
        <v>1</v>
      </c>
      <c r="B47" s="5">
        <v>1</v>
      </c>
      <c r="C47" s="5">
        <v>2</v>
      </c>
      <c r="D47" s="5"/>
      <c r="E47" s="5"/>
      <c r="F47" s="5">
        <v>1</v>
      </c>
      <c r="G47" s="5">
        <v>1</v>
      </c>
      <c r="H47" s="5">
        <f>H44+B47+F47-(C47+D47+G47)-E47</f>
        <v>7</v>
      </c>
    </row>
    <row r="48" spans="1:8" x14ac:dyDescent="0.25">
      <c r="A48" s="11">
        <v>2</v>
      </c>
      <c r="B48" s="5">
        <v>2</v>
      </c>
      <c r="C48" s="5">
        <v>4</v>
      </c>
      <c r="D48" s="5"/>
      <c r="E48" s="5"/>
      <c r="F48" s="5"/>
      <c r="G48" s="5">
        <v>2</v>
      </c>
      <c r="H48" s="5">
        <f>H47+B48+F48-(C48+D48+G48)-E48</f>
        <v>3</v>
      </c>
    </row>
    <row r="49" spans="1:8" x14ac:dyDescent="0.25">
      <c r="A49" s="11">
        <v>3</v>
      </c>
      <c r="B49" s="5">
        <v>3</v>
      </c>
      <c r="C49" s="5">
        <v>2</v>
      </c>
      <c r="D49" s="5"/>
      <c r="E49" s="5"/>
      <c r="F49" s="5">
        <v>1</v>
      </c>
      <c r="G49" s="5">
        <v>1</v>
      </c>
      <c r="H49" s="5">
        <f t="shared" ref="H49:H75" si="2">H48+B49+F49-(C49+D49+G49)-E49</f>
        <v>4</v>
      </c>
    </row>
    <row r="50" spans="1:8" x14ac:dyDescent="0.25">
      <c r="A50" s="11">
        <v>4</v>
      </c>
      <c r="B50" s="5">
        <v>4</v>
      </c>
      <c r="C50" s="5">
        <v>1</v>
      </c>
      <c r="D50" s="5"/>
      <c r="E50" s="5"/>
      <c r="F50" s="5">
        <v>1</v>
      </c>
      <c r="G50" s="5">
        <v>3</v>
      </c>
      <c r="H50" s="5">
        <f t="shared" si="2"/>
        <v>5</v>
      </c>
    </row>
    <row r="51" spans="1:8" x14ac:dyDescent="0.25">
      <c r="A51" s="11">
        <v>5</v>
      </c>
      <c r="B51" s="5">
        <v>2</v>
      </c>
      <c r="C51" s="5">
        <v>3</v>
      </c>
      <c r="D51" s="5"/>
      <c r="E51" s="5"/>
      <c r="F51" s="5">
        <v>2</v>
      </c>
      <c r="G51" s="5"/>
      <c r="H51" s="5">
        <f t="shared" si="2"/>
        <v>6</v>
      </c>
    </row>
    <row r="52" spans="1:8" x14ac:dyDescent="0.25">
      <c r="A52" s="11">
        <v>6</v>
      </c>
      <c r="B52" s="5">
        <v>3</v>
      </c>
      <c r="C52" s="5"/>
      <c r="D52" s="5"/>
      <c r="E52" s="5"/>
      <c r="F52" s="5"/>
      <c r="G52" s="5">
        <v>3</v>
      </c>
      <c r="H52" s="5">
        <f t="shared" si="2"/>
        <v>6</v>
      </c>
    </row>
    <row r="53" spans="1:8" x14ac:dyDescent="0.25">
      <c r="A53" s="11">
        <v>7</v>
      </c>
      <c r="B53" s="5"/>
      <c r="C53" s="5">
        <v>1</v>
      </c>
      <c r="D53" s="5"/>
      <c r="E53" s="5"/>
      <c r="F53" s="5"/>
      <c r="G53" s="5">
        <v>1</v>
      </c>
      <c r="H53" s="5">
        <f t="shared" si="2"/>
        <v>4</v>
      </c>
    </row>
    <row r="54" spans="1:8" x14ac:dyDescent="0.25">
      <c r="A54" s="11">
        <v>8</v>
      </c>
      <c r="B54" s="5">
        <v>1</v>
      </c>
      <c r="C54" s="5">
        <v>1</v>
      </c>
      <c r="D54" s="5"/>
      <c r="E54" s="5"/>
      <c r="F54" s="5"/>
      <c r="G54" s="5">
        <v>1</v>
      </c>
      <c r="H54" s="5">
        <f t="shared" si="2"/>
        <v>3</v>
      </c>
    </row>
    <row r="55" spans="1:8" x14ac:dyDescent="0.25">
      <c r="A55" s="11">
        <v>9</v>
      </c>
      <c r="B55" s="5">
        <v>4</v>
      </c>
      <c r="C55" s="5"/>
      <c r="D55" s="5"/>
      <c r="E55" s="5"/>
      <c r="F55" s="5"/>
      <c r="G55" s="5">
        <v>1</v>
      </c>
      <c r="H55" s="5">
        <f t="shared" si="2"/>
        <v>6</v>
      </c>
    </row>
    <row r="56" spans="1:8" x14ac:dyDescent="0.25">
      <c r="A56" s="11">
        <v>10</v>
      </c>
      <c r="B56" s="5">
        <v>6</v>
      </c>
      <c r="C56" s="5">
        <v>5</v>
      </c>
      <c r="D56" s="5"/>
      <c r="E56" s="5"/>
      <c r="F56" s="5"/>
      <c r="G56" s="5"/>
      <c r="H56" s="5">
        <f t="shared" si="2"/>
        <v>7</v>
      </c>
    </row>
    <row r="57" spans="1:8" x14ac:dyDescent="0.25">
      <c r="A57" s="11">
        <v>11</v>
      </c>
      <c r="B57" s="5">
        <v>4</v>
      </c>
      <c r="C57" s="5">
        <v>4</v>
      </c>
      <c r="D57" s="5"/>
      <c r="E57" s="5"/>
      <c r="F57" s="5">
        <v>2</v>
      </c>
      <c r="G57" s="5">
        <v>2</v>
      </c>
      <c r="H57" s="5">
        <f t="shared" si="2"/>
        <v>7</v>
      </c>
    </row>
    <row r="58" spans="1:8" x14ac:dyDescent="0.25">
      <c r="A58" s="11">
        <v>12</v>
      </c>
      <c r="B58" s="5">
        <v>7</v>
      </c>
      <c r="C58" s="5">
        <v>3</v>
      </c>
      <c r="D58" s="5"/>
      <c r="E58" s="5"/>
      <c r="F58" s="5"/>
      <c r="G58" s="5"/>
      <c r="H58" s="5">
        <f t="shared" si="2"/>
        <v>11</v>
      </c>
    </row>
    <row r="59" spans="1:8" x14ac:dyDescent="0.25">
      <c r="A59" s="11">
        <v>13</v>
      </c>
      <c r="B59" s="5">
        <v>1</v>
      </c>
      <c r="C59" s="5">
        <v>4</v>
      </c>
      <c r="D59" s="5"/>
      <c r="E59" s="5"/>
      <c r="F59" s="5"/>
      <c r="G59" s="5">
        <v>1</v>
      </c>
      <c r="H59" s="5">
        <f t="shared" si="2"/>
        <v>7</v>
      </c>
    </row>
    <row r="60" spans="1:8" x14ac:dyDescent="0.25">
      <c r="A60" s="11">
        <v>14</v>
      </c>
      <c r="B60" s="5">
        <v>2</v>
      </c>
      <c r="C60" s="5">
        <v>1</v>
      </c>
      <c r="D60" s="5"/>
      <c r="E60" s="5"/>
      <c r="F60" s="5">
        <v>1</v>
      </c>
      <c r="G60" s="5">
        <v>1</v>
      </c>
      <c r="H60" s="5">
        <f t="shared" si="2"/>
        <v>8</v>
      </c>
    </row>
    <row r="61" spans="1:8" x14ac:dyDescent="0.25">
      <c r="A61" s="11">
        <v>15</v>
      </c>
      <c r="B61" s="5">
        <v>1</v>
      </c>
      <c r="C61" s="5">
        <v>1</v>
      </c>
      <c r="D61" s="5"/>
      <c r="E61" s="5"/>
      <c r="F61" s="5">
        <v>1</v>
      </c>
      <c r="G61" s="5"/>
      <c r="H61" s="5">
        <f t="shared" si="2"/>
        <v>9</v>
      </c>
    </row>
    <row r="62" spans="1:8" x14ac:dyDescent="0.25">
      <c r="A62" s="11">
        <v>16</v>
      </c>
      <c r="B62" s="5">
        <v>3</v>
      </c>
      <c r="C62" s="5">
        <v>5</v>
      </c>
      <c r="D62" s="5"/>
      <c r="E62" s="5"/>
      <c r="F62" s="5">
        <v>1</v>
      </c>
      <c r="G62" s="5"/>
      <c r="H62" s="5">
        <f t="shared" si="2"/>
        <v>8</v>
      </c>
    </row>
    <row r="63" spans="1:8" x14ac:dyDescent="0.25">
      <c r="A63" s="11">
        <v>17</v>
      </c>
      <c r="B63" s="5">
        <v>1</v>
      </c>
      <c r="C63" s="5">
        <v>3</v>
      </c>
      <c r="D63" s="5"/>
      <c r="E63" s="5"/>
      <c r="F63" s="5">
        <v>2</v>
      </c>
      <c r="G63" s="5">
        <v>1</v>
      </c>
      <c r="H63" s="5">
        <f t="shared" si="2"/>
        <v>7</v>
      </c>
    </row>
    <row r="64" spans="1:8" x14ac:dyDescent="0.25">
      <c r="A64" s="11">
        <v>18</v>
      </c>
      <c r="B64" s="5">
        <v>4</v>
      </c>
      <c r="C64" s="5">
        <v>4</v>
      </c>
      <c r="D64" s="5"/>
      <c r="E64" s="5"/>
      <c r="F64" s="5">
        <v>1</v>
      </c>
      <c r="G64" s="5"/>
      <c r="H64" s="5">
        <f t="shared" si="2"/>
        <v>8</v>
      </c>
    </row>
    <row r="65" spans="1:8" x14ac:dyDescent="0.25">
      <c r="A65" s="11">
        <v>19</v>
      </c>
      <c r="B65" s="5">
        <v>2</v>
      </c>
      <c r="C65" s="5">
        <v>1</v>
      </c>
      <c r="D65" s="5"/>
      <c r="E65" s="5"/>
      <c r="F65" s="5">
        <v>1</v>
      </c>
      <c r="G65" s="5">
        <v>2</v>
      </c>
      <c r="H65" s="5">
        <f t="shared" si="2"/>
        <v>8</v>
      </c>
    </row>
    <row r="66" spans="1:8" x14ac:dyDescent="0.25">
      <c r="A66" s="11">
        <v>20</v>
      </c>
      <c r="B66" s="5">
        <v>6</v>
      </c>
      <c r="C66" s="5">
        <v>3</v>
      </c>
      <c r="D66" s="5"/>
      <c r="E66" s="5"/>
      <c r="F66" s="5"/>
      <c r="G66" s="5">
        <v>3</v>
      </c>
      <c r="H66" s="5">
        <f t="shared" si="2"/>
        <v>8</v>
      </c>
    </row>
    <row r="67" spans="1:8" x14ac:dyDescent="0.25">
      <c r="A67" s="11">
        <v>21</v>
      </c>
      <c r="B67" s="5">
        <v>2</v>
      </c>
      <c r="C67" s="5">
        <v>2</v>
      </c>
      <c r="D67" s="5"/>
      <c r="E67" s="5"/>
      <c r="F67" s="5"/>
      <c r="G67" s="5">
        <v>3</v>
      </c>
      <c r="H67" s="5">
        <f t="shared" si="2"/>
        <v>5</v>
      </c>
    </row>
    <row r="68" spans="1:8" x14ac:dyDescent="0.25">
      <c r="A68" s="11">
        <v>22</v>
      </c>
      <c r="B68" s="5">
        <v>3</v>
      </c>
      <c r="C68" s="5">
        <v>2</v>
      </c>
      <c r="D68" s="5"/>
      <c r="E68" s="5"/>
      <c r="F68" s="5"/>
      <c r="G68" s="5">
        <v>1</v>
      </c>
      <c r="H68" s="5">
        <f t="shared" si="2"/>
        <v>5</v>
      </c>
    </row>
    <row r="69" spans="1:8" x14ac:dyDescent="0.25">
      <c r="A69" s="11">
        <v>23</v>
      </c>
      <c r="B69" s="5">
        <v>3</v>
      </c>
      <c r="C69" s="5"/>
      <c r="D69" s="5"/>
      <c r="E69" s="5"/>
      <c r="F69" s="5">
        <v>1</v>
      </c>
      <c r="G69" s="5">
        <v>1</v>
      </c>
      <c r="H69" s="5">
        <f t="shared" si="2"/>
        <v>8</v>
      </c>
    </row>
    <row r="70" spans="1:8" x14ac:dyDescent="0.25">
      <c r="A70" s="11">
        <v>24</v>
      </c>
      <c r="B70" s="5">
        <v>6</v>
      </c>
      <c r="C70" s="5">
        <v>3</v>
      </c>
      <c r="D70" s="5"/>
      <c r="E70" s="5"/>
      <c r="F70" s="5"/>
      <c r="G70" s="5"/>
      <c r="H70" s="5">
        <f t="shared" si="2"/>
        <v>11</v>
      </c>
    </row>
    <row r="71" spans="1:8" x14ac:dyDescent="0.25">
      <c r="A71" s="11">
        <v>25</v>
      </c>
      <c r="B71" s="5">
        <v>6</v>
      </c>
      <c r="C71" s="5">
        <v>4</v>
      </c>
      <c r="D71" s="5"/>
      <c r="E71" s="5"/>
      <c r="F71" s="5">
        <v>2</v>
      </c>
      <c r="G71" s="5">
        <v>1</v>
      </c>
      <c r="H71" s="5">
        <f t="shared" si="2"/>
        <v>14</v>
      </c>
    </row>
    <row r="72" spans="1:8" x14ac:dyDescent="0.25">
      <c r="A72" s="11">
        <v>26</v>
      </c>
      <c r="B72" s="5">
        <v>2</v>
      </c>
      <c r="C72" s="5">
        <v>7</v>
      </c>
      <c r="D72" s="5"/>
      <c r="E72" s="5"/>
      <c r="F72" s="5">
        <v>1</v>
      </c>
      <c r="G72" s="5">
        <v>1</v>
      </c>
      <c r="H72" s="5">
        <f t="shared" si="2"/>
        <v>9</v>
      </c>
    </row>
    <row r="73" spans="1:8" x14ac:dyDescent="0.25">
      <c r="A73" s="11">
        <v>27</v>
      </c>
      <c r="B73" s="5">
        <v>3</v>
      </c>
      <c r="C73" s="5">
        <v>2</v>
      </c>
      <c r="D73" s="5"/>
      <c r="E73" s="5"/>
      <c r="F73" s="5">
        <v>1</v>
      </c>
      <c r="G73" s="5">
        <v>2</v>
      </c>
      <c r="H73" s="5">
        <f t="shared" si="2"/>
        <v>9</v>
      </c>
    </row>
    <row r="74" spans="1:8" x14ac:dyDescent="0.25">
      <c r="A74" s="11">
        <v>28</v>
      </c>
      <c r="B74" s="5">
        <v>2</v>
      </c>
      <c r="C74" s="5">
        <v>3</v>
      </c>
      <c r="D74" s="5"/>
      <c r="E74" s="5"/>
      <c r="F74" s="5">
        <v>3</v>
      </c>
      <c r="G74" s="5">
        <v>1</v>
      </c>
      <c r="H74" s="5">
        <f t="shared" si="2"/>
        <v>10</v>
      </c>
    </row>
    <row r="75" spans="1:8" x14ac:dyDescent="0.25">
      <c r="A75" s="11">
        <v>29</v>
      </c>
      <c r="B75" s="5"/>
      <c r="C75" s="5"/>
      <c r="D75" s="5"/>
      <c r="E75" s="5"/>
      <c r="F75" s="5"/>
      <c r="G75" s="5"/>
      <c r="H75" s="5">
        <f t="shared" si="2"/>
        <v>10</v>
      </c>
    </row>
    <row r="76" spans="1:8" x14ac:dyDescent="0.25">
      <c r="A76" s="12" t="s">
        <v>35</v>
      </c>
      <c r="B76" s="12">
        <f>SUM(B47:B75)-E76</f>
        <v>84</v>
      </c>
      <c r="C76" s="12">
        <f t="shared" ref="C76:H76" si="3">SUM(C47:C75)</f>
        <v>71</v>
      </c>
      <c r="D76" s="12">
        <f t="shared" si="3"/>
        <v>0</v>
      </c>
      <c r="E76" s="12">
        <f t="shared" si="3"/>
        <v>0</v>
      </c>
      <c r="F76" s="12">
        <f t="shared" si="3"/>
        <v>22</v>
      </c>
      <c r="G76" s="12">
        <f t="shared" si="3"/>
        <v>33</v>
      </c>
      <c r="H76" s="12">
        <f t="shared" si="3"/>
        <v>213</v>
      </c>
    </row>
    <row r="79" spans="1:8" ht="36" x14ac:dyDescent="0.55000000000000004">
      <c r="A79" s="605" t="s">
        <v>1</v>
      </c>
      <c r="B79" s="605"/>
      <c r="C79" s="605"/>
      <c r="D79" s="605"/>
      <c r="E79" s="605"/>
      <c r="F79" s="605"/>
      <c r="G79" s="605"/>
      <c r="H79" s="605"/>
    </row>
    <row r="80" spans="1:8" ht="26.25" x14ac:dyDescent="0.4">
      <c r="A80" s="606" t="s">
        <v>0</v>
      </c>
      <c r="B80" s="606"/>
      <c r="C80" s="606"/>
      <c r="D80" s="606"/>
      <c r="E80" s="606"/>
      <c r="F80" s="606"/>
      <c r="G80" s="606"/>
      <c r="H80" s="606"/>
    </row>
    <row r="81" spans="1:8" ht="15.75" x14ac:dyDescent="0.25">
      <c r="A81" s="4" t="s">
        <v>19</v>
      </c>
      <c r="B81" s="4" t="s">
        <v>3</v>
      </c>
      <c r="C81" s="5"/>
      <c r="D81" s="1" t="s">
        <v>18</v>
      </c>
      <c r="E81" s="619" t="s">
        <v>129</v>
      </c>
      <c r="F81" s="619"/>
      <c r="G81" s="4" t="s">
        <v>16</v>
      </c>
      <c r="H81" s="6" t="s">
        <v>42</v>
      </c>
    </row>
    <row r="82" spans="1:8" ht="15.75" x14ac:dyDescent="0.25">
      <c r="A82" s="620" t="s">
        <v>6</v>
      </c>
      <c r="B82" s="620"/>
      <c r="C82" s="620"/>
      <c r="D82" s="620"/>
      <c r="E82" s="620"/>
      <c r="F82" s="620"/>
      <c r="G82" s="1"/>
      <c r="H82" s="5">
        <f>H75</f>
        <v>10</v>
      </c>
    </row>
    <row r="83" spans="1:8" ht="15.75" x14ac:dyDescent="0.25">
      <c r="A83" s="1" t="s">
        <v>7</v>
      </c>
      <c r="B83" s="1"/>
      <c r="C83" s="1"/>
      <c r="D83" s="1"/>
      <c r="E83" s="1"/>
      <c r="F83" s="1"/>
      <c r="G83" s="1"/>
      <c r="H83" s="5">
        <v>14</v>
      </c>
    </row>
    <row r="84" spans="1:8" ht="51" x14ac:dyDescent="0.25">
      <c r="A84" s="9" t="s">
        <v>8</v>
      </c>
      <c r="B84" s="9" t="s">
        <v>9</v>
      </c>
      <c r="C84" s="9" t="s">
        <v>10</v>
      </c>
      <c r="D84" s="9" t="s">
        <v>11</v>
      </c>
      <c r="E84" s="9" t="s">
        <v>12</v>
      </c>
      <c r="F84" s="9" t="s">
        <v>13</v>
      </c>
      <c r="G84" s="9" t="s">
        <v>14</v>
      </c>
      <c r="H84" s="31" t="s">
        <v>15</v>
      </c>
    </row>
    <row r="85" spans="1:8" x14ac:dyDescent="0.25">
      <c r="A85" s="11">
        <v>1</v>
      </c>
      <c r="B85" s="5">
        <v>3</v>
      </c>
      <c r="C85" s="5">
        <v>4</v>
      </c>
      <c r="D85" s="5"/>
      <c r="E85" s="5"/>
      <c r="F85" s="5"/>
      <c r="G85" s="5">
        <v>2</v>
      </c>
      <c r="H85" s="5">
        <f>H82+B85+F85-(C85+D85+G85)-E85</f>
        <v>7</v>
      </c>
    </row>
    <row r="86" spans="1:8" x14ac:dyDescent="0.25">
      <c r="A86" s="11">
        <v>2</v>
      </c>
      <c r="B86" s="5">
        <v>2</v>
      </c>
      <c r="C86" s="5">
        <v>1</v>
      </c>
      <c r="D86" s="5"/>
      <c r="E86" s="5"/>
      <c r="F86" s="5"/>
      <c r="G86" s="5"/>
      <c r="H86" s="5">
        <f>H85+B86+F86-(C86+D86+G86)-E86</f>
        <v>8</v>
      </c>
    </row>
    <row r="87" spans="1:8" x14ac:dyDescent="0.25">
      <c r="A87" s="11">
        <v>3</v>
      </c>
      <c r="B87" s="5">
        <v>4</v>
      </c>
      <c r="C87" s="5">
        <v>2</v>
      </c>
      <c r="D87" s="5"/>
      <c r="E87" s="5"/>
      <c r="F87" s="5">
        <v>1</v>
      </c>
      <c r="G87" s="5"/>
      <c r="H87" s="5">
        <f t="shared" ref="H87:H115" si="4">H86+B87+F87-(C87+D87+G87)-E87</f>
        <v>11</v>
      </c>
    </row>
    <row r="88" spans="1:8" x14ac:dyDescent="0.25">
      <c r="A88" s="11">
        <v>4</v>
      </c>
      <c r="B88" s="5">
        <v>4</v>
      </c>
      <c r="C88" s="5">
        <v>4</v>
      </c>
      <c r="D88" s="5"/>
      <c r="E88" s="5"/>
      <c r="F88" s="5">
        <v>2</v>
      </c>
      <c r="G88" s="5">
        <v>2</v>
      </c>
      <c r="H88" s="5">
        <f t="shared" si="4"/>
        <v>11</v>
      </c>
    </row>
    <row r="89" spans="1:8" x14ac:dyDescent="0.25">
      <c r="A89" s="11">
        <v>5</v>
      </c>
      <c r="B89" s="5">
        <v>3</v>
      </c>
      <c r="C89" s="5">
        <v>2</v>
      </c>
      <c r="D89" s="5"/>
      <c r="E89" s="5"/>
      <c r="F89" s="5">
        <v>1</v>
      </c>
      <c r="G89" s="5">
        <v>2</v>
      </c>
      <c r="H89" s="5">
        <f t="shared" si="4"/>
        <v>11</v>
      </c>
    </row>
    <row r="90" spans="1:8" x14ac:dyDescent="0.25">
      <c r="A90" s="11">
        <v>6</v>
      </c>
      <c r="B90" s="5">
        <v>3</v>
      </c>
      <c r="C90" s="5">
        <v>1</v>
      </c>
      <c r="D90" s="5"/>
      <c r="E90" s="5"/>
      <c r="F90" s="5">
        <v>1</v>
      </c>
      <c r="G90" s="5">
        <v>3</v>
      </c>
      <c r="H90" s="5">
        <f t="shared" si="4"/>
        <v>11</v>
      </c>
    </row>
    <row r="91" spans="1:8" x14ac:dyDescent="0.25">
      <c r="A91" s="11">
        <v>7</v>
      </c>
      <c r="B91" s="5">
        <v>7</v>
      </c>
      <c r="C91" s="5">
        <v>6</v>
      </c>
      <c r="D91" s="5"/>
      <c r="E91" s="5"/>
      <c r="F91" s="5"/>
      <c r="G91" s="5">
        <v>2</v>
      </c>
      <c r="H91" s="5">
        <f t="shared" si="4"/>
        <v>10</v>
      </c>
    </row>
    <row r="92" spans="1:8" x14ac:dyDescent="0.25">
      <c r="A92" s="11">
        <v>8</v>
      </c>
      <c r="B92" s="5">
        <v>6</v>
      </c>
      <c r="C92" s="5">
        <v>6</v>
      </c>
      <c r="D92" s="5"/>
      <c r="E92" s="5"/>
      <c r="F92" s="5"/>
      <c r="G92" s="5"/>
      <c r="H92" s="5">
        <f t="shared" si="4"/>
        <v>10</v>
      </c>
    </row>
    <row r="93" spans="1:8" x14ac:dyDescent="0.25">
      <c r="A93" s="11">
        <v>9</v>
      </c>
      <c r="B93" s="5">
        <v>4</v>
      </c>
      <c r="C93" s="5">
        <v>5</v>
      </c>
      <c r="D93" s="5"/>
      <c r="E93" s="5"/>
      <c r="F93" s="5"/>
      <c r="G93" s="5">
        <v>2</v>
      </c>
      <c r="H93" s="5">
        <f t="shared" si="4"/>
        <v>7</v>
      </c>
    </row>
    <row r="94" spans="1:8" x14ac:dyDescent="0.25">
      <c r="A94" s="11">
        <v>10</v>
      </c>
      <c r="B94" s="5">
        <v>5</v>
      </c>
      <c r="C94" s="5">
        <v>5</v>
      </c>
      <c r="D94" s="5"/>
      <c r="E94" s="5"/>
      <c r="F94" s="5">
        <v>1</v>
      </c>
      <c r="G94" s="5">
        <v>1</v>
      </c>
      <c r="H94" s="5">
        <f t="shared" si="4"/>
        <v>7</v>
      </c>
    </row>
    <row r="95" spans="1:8" x14ac:dyDescent="0.25">
      <c r="A95" s="11">
        <v>11</v>
      </c>
      <c r="B95" s="5">
        <v>4</v>
      </c>
      <c r="C95" s="5">
        <v>3</v>
      </c>
      <c r="D95" s="5"/>
      <c r="E95" s="5"/>
      <c r="F95" s="5">
        <v>1</v>
      </c>
      <c r="G95" s="5"/>
      <c r="H95" s="5">
        <f t="shared" si="4"/>
        <v>9</v>
      </c>
    </row>
    <row r="96" spans="1:8" x14ac:dyDescent="0.25">
      <c r="A96" s="11">
        <v>12</v>
      </c>
      <c r="B96" s="5">
        <v>7</v>
      </c>
      <c r="C96" s="5">
        <v>1</v>
      </c>
      <c r="D96" s="5"/>
      <c r="E96" s="5"/>
      <c r="F96" s="5">
        <v>1</v>
      </c>
      <c r="G96" s="5"/>
      <c r="H96" s="5">
        <f t="shared" si="4"/>
        <v>16</v>
      </c>
    </row>
    <row r="97" spans="1:8" x14ac:dyDescent="0.25">
      <c r="A97" s="11">
        <v>13</v>
      </c>
      <c r="B97" s="5">
        <v>4</v>
      </c>
      <c r="C97" s="5">
        <v>7</v>
      </c>
      <c r="D97" s="5"/>
      <c r="E97" s="5"/>
      <c r="F97" s="5">
        <v>1</v>
      </c>
      <c r="G97" s="5">
        <v>1</v>
      </c>
      <c r="H97" s="5">
        <f t="shared" si="4"/>
        <v>13</v>
      </c>
    </row>
    <row r="98" spans="1:8" x14ac:dyDescent="0.25">
      <c r="A98" s="11">
        <v>14</v>
      </c>
      <c r="B98" s="5">
        <v>2</v>
      </c>
      <c r="C98" s="5">
        <v>2</v>
      </c>
      <c r="D98" s="5"/>
      <c r="E98" s="5"/>
      <c r="F98" s="5">
        <v>3</v>
      </c>
      <c r="G98" s="5">
        <v>1</v>
      </c>
      <c r="H98" s="5">
        <f t="shared" si="4"/>
        <v>15</v>
      </c>
    </row>
    <row r="99" spans="1:8" x14ac:dyDescent="0.25">
      <c r="A99" s="11">
        <v>15</v>
      </c>
      <c r="B99" s="5">
        <v>2</v>
      </c>
      <c r="C99" s="5">
        <v>6</v>
      </c>
      <c r="D99" s="5"/>
      <c r="E99" s="5"/>
      <c r="F99" s="5">
        <v>1</v>
      </c>
      <c r="G99" s="5">
        <v>1</v>
      </c>
      <c r="H99" s="5">
        <f t="shared" si="4"/>
        <v>11</v>
      </c>
    </row>
    <row r="100" spans="1:8" x14ac:dyDescent="0.25">
      <c r="A100" s="11">
        <v>16</v>
      </c>
      <c r="B100" s="5">
        <v>3</v>
      </c>
      <c r="C100" s="5">
        <v>4</v>
      </c>
      <c r="D100" s="5"/>
      <c r="E100" s="5"/>
      <c r="F100" s="5">
        <v>1</v>
      </c>
      <c r="G100" s="5">
        <v>1</v>
      </c>
      <c r="H100" s="5">
        <f t="shared" si="4"/>
        <v>10</v>
      </c>
    </row>
    <row r="101" spans="1:8" x14ac:dyDescent="0.25">
      <c r="A101" s="11">
        <v>17</v>
      </c>
      <c r="B101" s="5">
        <v>5</v>
      </c>
      <c r="C101" s="5">
        <v>3</v>
      </c>
      <c r="D101" s="5"/>
      <c r="E101" s="5"/>
      <c r="F101" s="5"/>
      <c r="G101" s="5">
        <v>1</v>
      </c>
      <c r="H101" s="5">
        <f t="shared" si="4"/>
        <v>11</v>
      </c>
    </row>
    <row r="102" spans="1:8" x14ac:dyDescent="0.25">
      <c r="A102" s="11">
        <v>18</v>
      </c>
      <c r="B102" s="5">
        <v>5</v>
      </c>
      <c r="C102" s="5">
        <v>5</v>
      </c>
      <c r="D102" s="5"/>
      <c r="E102" s="5"/>
      <c r="F102" s="5"/>
      <c r="G102" s="5">
        <v>1</v>
      </c>
      <c r="H102" s="5">
        <f t="shared" si="4"/>
        <v>10</v>
      </c>
    </row>
    <row r="103" spans="1:8" x14ac:dyDescent="0.25">
      <c r="A103" s="11">
        <v>19</v>
      </c>
      <c r="B103" s="5">
        <v>6</v>
      </c>
      <c r="C103" s="5">
        <v>4</v>
      </c>
      <c r="D103" s="5"/>
      <c r="E103" s="5"/>
      <c r="F103" s="5">
        <v>2</v>
      </c>
      <c r="G103" s="5"/>
      <c r="H103" s="5">
        <f t="shared" si="4"/>
        <v>14</v>
      </c>
    </row>
    <row r="104" spans="1:8" x14ac:dyDescent="0.25">
      <c r="A104" s="11">
        <v>20</v>
      </c>
      <c r="B104" s="5">
        <v>3</v>
      </c>
      <c r="C104" s="5">
        <v>2</v>
      </c>
      <c r="D104" s="5"/>
      <c r="E104" s="5"/>
      <c r="F104" s="5">
        <v>3</v>
      </c>
      <c r="G104" s="5"/>
      <c r="H104" s="5">
        <f t="shared" si="4"/>
        <v>18</v>
      </c>
    </row>
    <row r="105" spans="1:8" x14ac:dyDescent="0.25">
      <c r="A105" s="11">
        <v>21</v>
      </c>
      <c r="B105" s="5">
        <v>1</v>
      </c>
      <c r="C105" s="5">
        <v>5</v>
      </c>
      <c r="D105" s="5"/>
      <c r="E105" s="5"/>
      <c r="F105" s="5">
        <v>2</v>
      </c>
      <c r="G105" s="5">
        <v>3</v>
      </c>
      <c r="H105" s="5">
        <f t="shared" si="4"/>
        <v>13</v>
      </c>
    </row>
    <row r="106" spans="1:8" x14ac:dyDescent="0.25">
      <c r="A106" s="11">
        <v>22</v>
      </c>
      <c r="B106" s="5">
        <v>4</v>
      </c>
      <c r="C106" s="5">
        <v>6</v>
      </c>
      <c r="D106" s="5"/>
      <c r="E106" s="5"/>
      <c r="F106" s="5">
        <v>2</v>
      </c>
      <c r="G106" s="5">
        <v>2</v>
      </c>
      <c r="H106" s="5">
        <f t="shared" si="4"/>
        <v>11</v>
      </c>
    </row>
    <row r="107" spans="1:8" x14ac:dyDescent="0.25">
      <c r="A107" s="11">
        <v>23</v>
      </c>
      <c r="B107" s="5">
        <v>4</v>
      </c>
      <c r="C107" s="5">
        <v>3</v>
      </c>
      <c r="D107" s="5"/>
      <c r="E107" s="5"/>
      <c r="F107" s="5">
        <v>1</v>
      </c>
      <c r="G107" s="5">
        <v>1</v>
      </c>
      <c r="H107" s="5">
        <f t="shared" si="4"/>
        <v>12</v>
      </c>
    </row>
    <row r="108" spans="1:8" x14ac:dyDescent="0.25">
      <c r="A108" s="11">
        <v>24</v>
      </c>
      <c r="B108" s="5">
        <v>5</v>
      </c>
      <c r="C108" s="5">
        <v>7</v>
      </c>
      <c r="D108" s="5"/>
      <c r="E108" s="5"/>
      <c r="F108" s="5">
        <v>1</v>
      </c>
      <c r="G108" s="5">
        <v>1</v>
      </c>
      <c r="H108" s="5">
        <f t="shared" si="4"/>
        <v>10</v>
      </c>
    </row>
    <row r="109" spans="1:8" x14ac:dyDescent="0.25">
      <c r="A109" s="11">
        <v>25</v>
      </c>
      <c r="B109" s="5">
        <v>2</v>
      </c>
      <c r="C109" s="5">
        <v>8</v>
      </c>
      <c r="D109" s="5"/>
      <c r="E109" s="5"/>
      <c r="F109" s="5">
        <v>1</v>
      </c>
      <c r="G109" s="5">
        <v>1</v>
      </c>
      <c r="H109" s="5">
        <f t="shared" si="4"/>
        <v>4</v>
      </c>
    </row>
    <row r="110" spans="1:8" x14ac:dyDescent="0.25">
      <c r="A110" s="11">
        <v>26</v>
      </c>
      <c r="B110" s="5">
        <v>7</v>
      </c>
      <c r="C110" s="5">
        <v>2</v>
      </c>
      <c r="D110" s="5"/>
      <c r="E110" s="5"/>
      <c r="F110" s="5"/>
      <c r="G110" s="5">
        <v>2</v>
      </c>
      <c r="H110" s="5">
        <f t="shared" si="4"/>
        <v>7</v>
      </c>
    </row>
    <row r="111" spans="1:8" x14ac:dyDescent="0.25">
      <c r="A111" s="11">
        <v>27</v>
      </c>
      <c r="B111" s="5">
        <v>3</v>
      </c>
      <c r="C111" s="5">
        <v>3</v>
      </c>
      <c r="D111" s="5"/>
      <c r="E111" s="5"/>
      <c r="F111" s="5">
        <v>1</v>
      </c>
      <c r="G111" s="5"/>
      <c r="H111" s="5">
        <f t="shared" si="4"/>
        <v>8</v>
      </c>
    </row>
    <row r="112" spans="1:8" x14ac:dyDescent="0.25">
      <c r="A112" s="11">
        <v>28</v>
      </c>
      <c r="B112" s="5">
        <v>1</v>
      </c>
      <c r="C112" s="5">
        <v>2</v>
      </c>
      <c r="D112" s="5"/>
      <c r="E112" s="5"/>
      <c r="F112" s="5">
        <v>2</v>
      </c>
      <c r="G112" s="5">
        <v>2</v>
      </c>
      <c r="H112" s="5">
        <f t="shared" si="4"/>
        <v>7</v>
      </c>
    </row>
    <row r="113" spans="1:8" x14ac:dyDescent="0.25">
      <c r="A113" s="11">
        <v>29</v>
      </c>
      <c r="B113" s="5">
        <v>6</v>
      </c>
      <c r="C113" s="5">
        <v>1</v>
      </c>
      <c r="D113" s="5"/>
      <c r="E113" s="5"/>
      <c r="F113" s="5"/>
      <c r="G113" s="5">
        <v>3</v>
      </c>
      <c r="H113" s="5">
        <f t="shared" si="4"/>
        <v>9</v>
      </c>
    </row>
    <row r="114" spans="1:8" x14ac:dyDescent="0.25">
      <c r="A114" s="11">
        <v>30</v>
      </c>
      <c r="B114" s="5">
        <v>4</v>
      </c>
      <c r="C114" s="5">
        <v>3</v>
      </c>
      <c r="D114" s="5"/>
      <c r="E114" s="5"/>
      <c r="F114" s="5">
        <v>1</v>
      </c>
      <c r="G114" s="5">
        <v>1</v>
      </c>
      <c r="H114" s="5">
        <f t="shared" si="4"/>
        <v>10</v>
      </c>
    </row>
    <row r="115" spans="1:8" x14ac:dyDescent="0.25">
      <c r="A115" s="11">
        <v>31</v>
      </c>
      <c r="B115" s="5">
        <v>5</v>
      </c>
      <c r="C115" s="5">
        <v>4</v>
      </c>
      <c r="D115" s="5"/>
      <c r="E115" s="5"/>
      <c r="F115" s="5">
        <v>1</v>
      </c>
      <c r="G115" s="5"/>
      <c r="H115" s="5">
        <f t="shared" si="4"/>
        <v>12</v>
      </c>
    </row>
    <row r="116" spans="1:8" x14ac:dyDescent="0.25">
      <c r="A116" s="12" t="s">
        <v>35</v>
      </c>
      <c r="B116" s="12">
        <f>SUM(B85:B115)-E116</f>
        <v>124</v>
      </c>
      <c r="C116" s="12">
        <f t="shared" ref="C116:H116" si="5">SUM(C85:C115)</f>
        <v>117</v>
      </c>
      <c r="D116" s="12">
        <f t="shared" si="5"/>
        <v>0</v>
      </c>
      <c r="E116" s="12">
        <f t="shared" si="5"/>
        <v>0</v>
      </c>
      <c r="F116" s="12">
        <f t="shared" si="5"/>
        <v>31</v>
      </c>
      <c r="G116" s="12">
        <f t="shared" si="5"/>
        <v>36</v>
      </c>
      <c r="H116" s="12">
        <f t="shared" si="5"/>
        <v>323</v>
      </c>
    </row>
    <row r="119" spans="1:8" ht="36" x14ac:dyDescent="0.55000000000000004">
      <c r="A119" s="605" t="s">
        <v>1</v>
      </c>
      <c r="B119" s="605"/>
      <c r="C119" s="605"/>
      <c r="D119" s="605"/>
      <c r="E119" s="605"/>
      <c r="F119" s="605"/>
      <c r="G119" s="605"/>
      <c r="H119" s="605"/>
    </row>
    <row r="120" spans="1:8" ht="27" thickBot="1" x14ac:dyDescent="0.45">
      <c r="A120" s="606" t="s">
        <v>0</v>
      </c>
      <c r="B120" s="606"/>
      <c r="C120" s="606"/>
      <c r="D120" s="606"/>
      <c r="E120" s="606"/>
      <c r="F120" s="606"/>
      <c r="G120" s="606"/>
      <c r="H120" s="606"/>
    </row>
    <row r="121" spans="1:8" ht="15.75" x14ac:dyDescent="0.25">
      <c r="A121" s="39" t="s">
        <v>2</v>
      </c>
      <c r="B121" s="19" t="s">
        <v>3</v>
      </c>
      <c r="C121" s="20"/>
      <c r="D121" s="21" t="s">
        <v>4</v>
      </c>
      <c r="E121" s="21"/>
      <c r="F121" s="61" t="s">
        <v>56</v>
      </c>
      <c r="G121" s="19" t="s">
        <v>16</v>
      </c>
      <c r="H121" s="62" t="s">
        <v>50</v>
      </c>
    </row>
    <row r="122" spans="1:8" ht="15.75" x14ac:dyDescent="0.25">
      <c r="A122" s="609" t="s">
        <v>6</v>
      </c>
      <c r="B122" s="610"/>
      <c r="C122" s="610"/>
      <c r="D122" s="610"/>
      <c r="E122" s="610"/>
      <c r="F122" s="611"/>
      <c r="G122" s="1"/>
      <c r="H122" s="2">
        <f>H115</f>
        <v>12</v>
      </c>
    </row>
    <row r="123" spans="1:8" ht="15.75" x14ac:dyDescent="0.25">
      <c r="A123" s="3" t="s">
        <v>7</v>
      </c>
      <c r="B123" s="1"/>
      <c r="C123" s="1"/>
      <c r="D123" s="1"/>
      <c r="E123" s="1"/>
      <c r="F123" s="1"/>
      <c r="G123" s="1"/>
      <c r="H123" s="2">
        <v>14</v>
      </c>
    </row>
    <row r="124" spans="1:8" ht="51.75" thickBot="1" x14ac:dyDescent="0.3">
      <c r="A124" s="40" t="s">
        <v>8</v>
      </c>
      <c r="B124" s="41" t="s">
        <v>9</v>
      </c>
      <c r="C124" s="41" t="s">
        <v>10</v>
      </c>
      <c r="D124" s="41" t="s">
        <v>11</v>
      </c>
      <c r="E124" s="41" t="s">
        <v>12</v>
      </c>
      <c r="F124" s="41" t="s">
        <v>13</v>
      </c>
      <c r="G124" s="41" t="s">
        <v>14</v>
      </c>
      <c r="H124" s="42" t="s">
        <v>15</v>
      </c>
    </row>
    <row r="125" spans="1:8" x14ac:dyDescent="0.25">
      <c r="A125" s="36">
        <v>1</v>
      </c>
      <c r="B125" s="37">
        <v>4</v>
      </c>
      <c r="C125" s="37">
        <v>2</v>
      </c>
      <c r="D125" s="37"/>
      <c r="E125" s="37"/>
      <c r="F125" s="37">
        <v>1</v>
      </c>
      <c r="G125" s="37">
        <v>3</v>
      </c>
      <c r="H125" s="38">
        <f>H122+B125+F125-(C125+D125+G125)-E125</f>
        <v>12</v>
      </c>
    </row>
    <row r="126" spans="1:8" x14ac:dyDescent="0.25">
      <c r="A126" s="26">
        <v>2</v>
      </c>
      <c r="B126" s="5">
        <v>6</v>
      </c>
      <c r="C126" s="5">
        <v>6</v>
      </c>
      <c r="D126" s="5"/>
      <c r="E126" s="5"/>
      <c r="F126" s="5"/>
      <c r="G126" s="5">
        <v>1</v>
      </c>
      <c r="H126" s="2">
        <f>H125+B126+F126-(C126+D126+G126)-E126</f>
        <v>11</v>
      </c>
    </row>
    <row r="127" spans="1:8" x14ac:dyDescent="0.25">
      <c r="A127" s="26">
        <v>3</v>
      </c>
      <c r="B127" s="5">
        <v>4</v>
      </c>
      <c r="C127" s="5">
        <v>1</v>
      </c>
      <c r="D127" s="5"/>
      <c r="E127" s="5"/>
      <c r="F127" s="5"/>
      <c r="G127" s="5">
        <v>1</v>
      </c>
      <c r="H127" s="2">
        <f>H126+B127+F127-(C127+D127+G127)-E127</f>
        <v>13</v>
      </c>
    </row>
    <row r="128" spans="1:8" x14ac:dyDescent="0.25">
      <c r="A128" s="26">
        <v>4</v>
      </c>
      <c r="B128" s="5">
        <v>3</v>
      </c>
      <c r="C128" s="5">
        <v>4</v>
      </c>
      <c r="D128" s="5"/>
      <c r="E128" s="5"/>
      <c r="F128" s="5"/>
      <c r="G128" s="5">
        <v>1</v>
      </c>
      <c r="H128" s="2">
        <f t="shared" ref="H128:H154" si="6">H127+B128+F128-(C128+D128+G128)-E128</f>
        <v>11</v>
      </c>
    </row>
    <row r="129" spans="1:8" x14ac:dyDescent="0.25">
      <c r="A129" s="26">
        <v>5</v>
      </c>
      <c r="B129" s="5">
        <v>8</v>
      </c>
      <c r="C129" s="5">
        <v>3</v>
      </c>
      <c r="D129" s="5"/>
      <c r="E129" s="5"/>
      <c r="F129" s="5"/>
      <c r="G129" s="5">
        <v>3</v>
      </c>
      <c r="H129" s="2">
        <f t="shared" si="6"/>
        <v>13</v>
      </c>
    </row>
    <row r="130" spans="1:8" x14ac:dyDescent="0.25">
      <c r="A130" s="26">
        <v>6</v>
      </c>
      <c r="B130" s="5">
        <v>3</v>
      </c>
      <c r="C130" s="5">
        <v>7</v>
      </c>
      <c r="D130" s="5"/>
      <c r="E130" s="5"/>
      <c r="F130" s="5">
        <v>1</v>
      </c>
      <c r="G130" s="5">
        <v>3</v>
      </c>
      <c r="H130" s="2">
        <f t="shared" si="6"/>
        <v>7</v>
      </c>
    </row>
    <row r="131" spans="1:8" x14ac:dyDescent="0.25">
      <c r="A131" s="26">
        <v>7</v>
      </c>
      <c r="B131" s="5">
        <v>9</v>
      </c>
      <c r="C131" s="5">
        <v>2</v>
      </c>
      <c r="D131" s="5"/>
      <c r="E131" s="5"/>
      <c r="F131" s="5"/>
      <c r="G131" s="5">
        <v>1</v>
      </c>
      <c r="H131" s="2">
        <f t="shared" si="6"/>
        <v>13</v>
      </c>
    </row>
    <row r="132" spans="1:8" x14ac:dyDescent="0.25">
      <c r="A132" s="26">
        <v>8</v>
      </c>
      <c r="B132" s="5">
        <v>4</v>
      </c>
      <c r="C132" s="5">
        <v>8</v>
      </c>
      <c r="D132" s="5"/>
      <c r="E132" s="5"/>
      <c r="F132" s="5"/>
      <c r="G132" s="5">
        <v>1</v>
      </c>
      <c r="H132" s="2">
        <f t="shared" si="6"/>
        <v>8</v>
      </c>
    </row>
    <row r="133" spans="1:8" x14ac:dyDescent="0.25">
      <c r="A133" s="26">
        <v>9</v>
      </c>
      <c r="B133" s="5">
        <v>4</v>
      </c>
      <c r="C133" s="5">
        <v>1</v>
      </c>
      <c r="D133" s="5"/>
      <c r="E133" s="5"/>
      <c r="F133" s="5"/>
      <c r="G133" s="5">
        <v>3</v>
      </c>
      <c r="H133" s="2">
        <f t="shared" si="6"/>
        <v>8</v>
      </c>
    </row>
    <row r="134" spans="1:8" x14ac:dyDescent="0.25">
      <c r="A134" s="26">
        <v>10</v>
      </c>
      <c r="B134" s="5">
        <v>3</v>
      </c>
      <c r="C134" s="5"/>
      <c r="D134" s="5"/>
      <c r="E134" s="5"/>
      <c r="F134" s="5"/>
      <c r="G134" s="5"/>
      <c r="H134" s="2">
        <f t="shared" si="6"/>
        <v>11</v>
      </c>
    </row>
    <row r="135" spans="1:8" x14ac:dyDescent="0.25">
      <c r="A135" s="26">
        <v>11</v>
      </c>
      <c r="B135" s="5">
        <v>5</v>
      </c>
      <c r="C135" s="5">
        <v>5</v>
      </c>
      <c r="D135" s="5"/>
      <c r="E135" s="5"/>
      <c r="F135" s="5"/>
      <c r="G135" s="5">
        <v>2</v>
      </c>
      <c r="H135" s="2">
        <f t="shared" si="6"/>
        <v>9</v>
      </c>
    </row>
    <row r="136" spans="1:8" x14ac:dyDescent="0.25">
      <c r="A136" s="26">
        <v>12</v>
      </c>
      <c r="B136" s="5">
        <v>4</v>
      </c>
      <c r="C136" s="5">
        <v>4</v>
      </c>
      <c r="D136" s="5"/>
      <c r="E136" s="5"/>
      <c r="F136" s="5"/>
      <c r="G136" s="5">
        <v>2</v>
      </c>
      <c r="H136" s="2">
        <f t="shared" si="6"/>
        <v>7</v>
      </c>
    </row>
    <row r="137" spans="1:8" x14ac:dyDescent="0.25">
      <c r="A137" s="26">
        <v>13</v>
      </c>
      <c r="B137" s="5">
        <v>8</v>
      </c>
      <c r="C137" s="5">
        <v>2</v>
      </c>
      <c r="D137" s="5"/>
      <c r="E137" s="5"/>
      <c r="F137" s="5">
        <v>2</v>
      </c>
      <c r="G137" s="5">
        <v>2</v>
      </c>
      <c r="H137" s="2">
        <f t="shared" si="6"/>
        <v>13</v>
      </c>
    </row>
    <row r="138" spans="1:8" x14ac:dyDescent="0.25">
      <c r="A138" s="26">
        <v>14</v>
      </c>
      <c r="B138" s="5">
        <v>8</v>
      </c>
      <c r="C138" s="5">
        <v>7</v>
      </c>
      <c r="D138" s="5"/>
      <c r="E138" s="5"/>
      <c r="F138" s="5">
        <v>1</v>
      </c>
      <c r="G138" s="5">
        <v>1</v>
      </c>
      <c r="H138" s="2">
        <f t="shared" si="6"/>
        <v>14</v>
      </c>
    </row>
    <row r="139" spans="1:8" x14ac:dyDescent="0.25">
      <c r="A139" s="26">
        <v>15</v>
      </c>
      <c r="B139" s="5">
        <v>5</v>
      </c>
      <c r="C139" s="5">
        <v>8</v>
      </c>
      <c r="D139" s="5"/>
      <c r="E139" s="5"/>
      <c r="F139" s="5"/>
      <c r="G139" s="5">
        <v>1</v>
      </c>
      <c r="H139" s="2">
        <f t="shared" si="6"/>
        <v>10</v>
      </c>
    </row>
    <row r="140" spans="1:8" x14ac:dyDescent="0.25">
      <c r="A140" s="26">
        <v>16</v>
      </c>
      <c r="B140" s="5">
        <v>6</v>
      </c>
      <c r="C140" s="5">
        <v>5</v>
      </c>
      <c r="D140" s="5"/>
      <c r="E140" s="5"/>
      <c r="F140" s="5"/>
      <c r="G140" s="5">
        <v>1</v>
      </c>
      <c r="H140" s="2">
        <f t="shared" si="6"/>
        <v>10</v>
      </c>
    </row>
    <row r="141" spans="1:8" x14ac:dyDescent="0.25">
      <c r="A141" s="26">
        <v>17</v>
      </c>
      <c r="B141" s="5">
        <v>3</v>
      </c>
      <c r="C141" s="5">
        <v>2</v>
      </c>
      <c r="D141" s="5"/>
      <c r="E141" s="5"/>
      <c r="F141" s="5">
        <v>2</v>
      </c>
      <c r="G141" s="5">
        <v>1</v>
      </c>
      <c r="H141" s="2">
        <f t="shared" si="6"/>
        <v>12</v>
      </c>
    </row>
    <row r="142" spans="1:8" x14ac:dyDescent="0.25">
      <c r="A142" s="26">
        <v>18</v>
      </c>
      <c r="B142" s="5">
        <v>3</v>
      </c>
      <c r="C142" s="5">
        <v>5</v>
      </c>
      <c r="D142" s="5"/>
      <c r="E142" s="5"/>
      <c r="F142" s="5">
        <v>2</v>
      </c>
      <c r="G142" s="5">
        <v>3</v>
      </c>
      <c r="H142" s="2">
        <f t="shared" si="6"/>
        <v>9</v>
      </c>
    </row>
    <row r="143" spans="1:8" x14ac:dyDescent="0.25">
      <c r="A143" s="26">
        <v>19</v>
      </c>
      <c r="B143" s="5">
        <v>5</v>
      </c>
      <c r="C143" s="5">
        <v>4</v>
      </c>
      <c r="D143" s="5"/>
      <c r="E143" s="5"/>
      <c r="F143" s="5"/>
      <c r="G143" s="5">
        <v>2</v>
      </c>
      <c r="H143" s="2">
        <f t="shared" si="6"/>
        <v>8</v>
      </c>
    </row>
    <row r="144" spans="1:8" x14ac:dyDescent="0.25">
      <c r="A144" s="26">
        <v>20</v>
      </c>
      <c r="B144" s="5">
        <v>5</v>
      </c>
      <c r="C144" s="5">
        <v>4</v>
      </c>
      <c r="D144" s="5"/>
      <c r="E144" s="5"/>
      <c r="F144" s="5"/>
      <c r="G144" s="5">
        <v>1</v>
      </c>
      <c r="H144" s="2">
        <f t="shared" si="6"/>
        <v>8</v>
      </c>
    </row>
    <row r="145" spans="1:8" x14ac:dyDescent="0.25">
      <c r="A145" s="26">
        <v>21</v>
      </c>
      <c r="B145" s="5">
        <v>6</v>
      </c>
      <c r="C145" s="5">
        <v>5</v>
      </c>
      <c r="D145" s="5"/>
      <c r="E145" s="5"/>
      <c r="F145" s="5"/>
      <c r="G145" s="5">
        <v>3</v>
      </c>
      <c r="H145" s="2">
        <f t="shared" si="6"/>
        <v>6</v>
      </c>
    </row>
    <row r="146" spans="1:8" x14ac:dyDescent="0.25">
      <c r="A146" s="26">
        <v>22</v>
      </c>
      <c r="B146" s="5">
        <v>7</v>
      </c>
      <c r="C146" s="5">
        <v>2</v>
      </c>
      <c r="D146" s="5"/>
      <c r="E146" s="5"/>
      <c r="F146" s="5">
        <v>1</v>
      </c>
      <c r="G146" s="5">
        <v>3</v>
      </c>
      <c r="H146" s="2">
        <f t="shared" si="6"/>
        <v>9</v>
      </c>
    </row>
    <row r="147" spans="1:8" x14ac:dyDescent="0.25">
      <c r="A147" s="26">
        <v>23</v>
      </c>
      <c r="B147" s="5">
        <v>5</v>
      </c>
      <c r="C147" s="5">
        <v>5</v>
      </c>
      <c r="D147" s="5"/>
      <c r="E147" s="5"/>
      <c r="F147" s="5">
        <v>2</v>
      </c>
      <c r="G147" s="5">
        <v>4</v>
      </c>
      <c r="H147" s="2">
        <f t="shared" si="6"/>
        <v>7</v>
      </c>
    </row>
    <row r="148" spans="1:8" x14ac:dyDescent="0.25">
      <c r="A148" s="26">
        <v>24</v>
      </c>
      <c r="B148" s="5">
        <v>10</v>
      </c>
      <c r="C148" s="5">
        <v>1</v>
      </c>
      <c r="D148" s="5"/>
      <c r="E148" s="5"/>
      <c r="F148" s="5">
        <v>1</v>
      </c>
      <c r="G148" s="5">
        <v>1</v>
      </c>
      <c r="H148" s="2">
        <f t="shared" si="6"/>
        <v>16</v>
      </c>
    </row>
    <row r="149" spans="1:8" x14ac:dyDescent="0.25">
      <c r="A149" s="26">
        <v>25</v>
      </c>
      <c r="B149" s="5">
        <v>9</v>
      </c>
      <c r="C149" s="5">
        <v>7</v>
      </c>
      <c r="D149" s="5"/>
      <c r="E149" s="5"/>
      <c r="F149" s="5">
        <v>4</v>
      </c>
      <c r="G149" s="5">
        <v>3</v>
      </c>
      <c r="H149" s="2">
        <f t="shared" si="6"/>
        <v>19</v>
      </c>
    </row>
    <row r="150" spans="1:8" x14ac:dyDescent="0.25">
      <c r="A150" s="26">
        <v>26</v>
      </c>
      <c r="B150" s="5">
        <v>1</v>
      </c>
      <c r="C150" s="5">
        <v>7</v>
      </c>
      <c r="D150" s="5"/>
      <c r="E150" s="5"/>
      <c r="F150" s="5">
        <v>3</v>
      </c>
      <c r="G150" s="5">
        <v>1</v>
      </c>
      <c r="H150" s="2">
        <f t="shared" si="6"/>
        <v>15</v>
      </c>
    </row>
    <row r="151" spans="1:8" x14ac:dyDescent="0.25">
      <c r="A151" s="26">
        <v>27</v>
      </c>
      <c r="B151" s="5">
        <v>4</v>
      </c>
      <c r="C151" s="5">
        <v>2</v>
      </c>
      <c r="D151" s="5"/>
      <c r="E151" s="5"/>
      <c r="F151" s="5">
        <v>1</v>
      </c>
      <c r="G151" s="5">
        <v>3</v>
      </c>
      <c r="H151" s="2">
        <f t="shared" si="6"/>
        <v>15</v>
      </c>
    </row>
    <row r="152" spans="1:8" x14ac:dyDescent="0.25">
      <c r="A152" s="26">
        <v>28</v>
      </c>
      <c r="B152" s="5">
        <v>6</v>
      </c>
      <c r="C152" s="5">
        <v>4</v>
      </c>
      <c r="D152" s="5"/>
      <c r="E152" s="5"/>
      <c r="F152" s="5"/>
      <c r="G152" s="5">
        <v>3</v>
      </c>
      <c r="H152" s="2">
        <f t="shared" si="6"/>
        <v>14</v>
      </c>
    </row>
    <row r="153" spans="1:8" x14ac:dyDescent="0.25">
      <c r="A153" s="26">
        <v>29</v>
      </c>
      <c r="B153" s="5">
        <v>5</v>
      </c>
      <c r="C153" s="5">
        <v>4</v>
      </c>
      <c r="D153" s="5"/>
      <c r="E153" s="5"/>
      <c r="F153" s="5"/>
      <c r="G153" s="5">
        <v>2</v>
      </c>
      <c r="H153" s="2">
        <f t="shared" si="6"/>
        <v>13</v>
      </c>
    </row>
    <row r="154" spans="1:8" ht="15.75" thickBot="1" x14ac:dyDescent="0.3">
      <c r="A154" s="28">
        <v>30</v>
      </c>
      <c r="B154" s="29">
        <v>2</v>
      </c>
      <c r="C154" s="29">
        <v>5</v>
      </c>
      <c r="D154" s="29"/>
      <c r="E154" s="29"/>
      <c r="F154" s="29">
        <v>2</v>
      </c>
      <c r="G154" s="29">
        <v>1</v>
      </c>
      <c r="H154" s="57">
        <f t="shared" si="6"/>
        <v>11</v>
      </c>
    </row>
    <row r="155" spans="1:8" ht="15.75" thickBot="1" x14ac:dyDescent="0.3">
      <c r="A155" s="60" t="s">
        <v>35</v>
      </c>
      <c r="B155" s="58">
        <f>SUM(B125:B154)-E155</f>
        <v>155</v>
      </c>
      <c r="C155" s="58">
        <f t="shared" ref="C155:H155" si="7">SUM(C125:C154)</f>
        <v>122</v>
      </c>
      <c r="D155" s="58">
        <f t="shared" si="7"/>
        <v>0</v>
      </c>
      <c r="E155" s="58">
        <f t="shared" si="7"/>
        <v>0</v>
      </c>
      <c r="F155" s="58">
        <f t="shared" si="7"/>
        <v>23</v>
      </c>
      <c r="G155" s="58">
        <f t="shared" si="7"/>
        <v>57</v>
      </c>
      <c r="H155" s="59">
        <f t="shared" si="7"/>
        <v>332</v>
      </c>
    </row>
    <row r="158" spans="1:8" ht="36" x14ac:dyDescent="0.55000000000000004">
      <c r="A158" s="605" t="s">
        <v>1</v>
      </c>
      <c r="B158" s="605"/>
      <c r="C158" s="605"/>
      <c r="D158" s="605"/>
      <c r="E158" s="605"/>
      <c r="F158" s="605"/>
      <c r="G158" s="605"/>
      <c r="H158" s="605"/>
    </row>
    <row r="159" spans="1:8" ht="27" thickBot="1" x14ac:dyDescent="0.45">
      <c r="A159" s="606" t="s">
        <v>0</v>
      </c>
      <c r="B159" s="606"/>
      <c r="C159" s="606"/>
      <c r="D159" s="606"/>
      <c r="E159" s="606"/>
      <c r="F159" s="606"/>
      <c r="G159" s="606"/>
      <c r="H159" s="606"/>
    </row>
    <row r="160" spans="1:8" ht="15.75" x14ac:dyDescent="0.25">
      <c r="A160" s="39" t="s">
        <v>2</v>
      </c>
      <c r="B160" s="19" t="s">
        <v>3</v>
      </c>
      <c r="C160" s="20"/>
      <c r="D160" s="21" t="s">
        <v>52</v>
      </c>
      <c r="E160" s="607" t="s">
        <v>56</v>
      </c>
      <c r="F160" s="608"/>
      <c r="G160" s="19" t="s">
        <v>16</v>
      </c>
      <c r="H160" s="32" t="s">
        <v>58</v>
      </c>
    </row>
    <row r="161" spans="1:8" ht="15.75" x14ac:dyDescent="0.25">
      <c r="A161" s="609" t="s">
        <v>6</v>
      </c>
      <c r="B161" s="610"/>
      <c r="C161" s="610"/>
      <c r="D161" s="610"/>
      <c r="E161" s="610"/>
      <c r="F161" s="611"/>
      <c r="G161" s="1"/>
      <c r="H161" s="2">
        <f>H154</f>
        <v>11</v>
      </c>
    </row>
    <row r="162" spans="1:8" ht="15.75" x14ac:dyDescent="0.25">
      <c r="A162" s="3" t="s">
        <v>7</v>
      </c>
      <c r="B162" s="1"/>
      <c r="C162" s="1"/>
      <c r="D162" s="1"/>
      <c r="E162" s="1"/>
      <c r="F162" s="1"/>
      <c r="G162" s="1"/>
      <c r="H162" s="2">
        <v>14</v>
      </c>
    </row>
    <row r="163" spans="1:8" ht="51.75" thickBot="1" x14ac:dyDescent="0.3">
      <c r="A163" s="40" t="s">
        <v>8</v>
      </c>
      <c r="B163" s="41" t="s">
        <v>9</v>
      </c>
      <c r="C163" s="41" t="s">
        <v>10</v>
      </c>
      <c r="D163" s="41" t="s">
        <v>11</v>
      </c>
      <c r="E163" s="41" t="s">
        <v>12</v>
      </c>
      <c r="F163" s="41" t="s">
        <v>13</v>
      </c>
      <c r="G163" s="41" t="s">
        <v>14</v>
      </c>
      <c r="H163" s="42" t="s">
        <v>15</v>
      </c>
    </row>
    <row r="164" spans="1:8" x14ac:dyDescent="0.25">
      <c r="A164" s="36">
        <v>1</v>
      </c>
      <c r="B164" s="37">
        <v>5</v>
      </c>
      <c r="C164" s="37">
        <v>3</v>
      </c>
      <c r="D164" s="37"/>
      <c r="E164" s="37"/>
      <c r="F164" s="37"/>
      <c r="G164" s="37">
        <v>1</v>
      </c>
      <c r="H164" s="38">
        <f>H161+B164+F164-(C164+D164+G164)-E164</f>
        <v>12</v>
      </c>
    </row>
    <row r="165" spans="1:8" x14ac:dyDescent="0.25">
      <c r="A165" s="26">
        <v>2</v>
      </c>
      <c r="B165" s="5">
        <v>6</v>
      </c>
      <c r="C165" s="5">
        <v>6</v>
      </c>
      <c r="D165" s="5"/>
      <c r="E165" s="5"/>
      <c r="F165" s="5"/>
      <c r="G165" s="5"/>
      <c r="H165" s="2">
        <f>H164+B165+F165-(C165+D165+G165)-E165</f>
        <v>12</v>
      </c>
    </row>
    <row r="166" spans="1:8" x14ac:dyDescent="0.25">
      <c r="A166" s="26">
        <v>3</v>
      </c>
      <c r="B166" s="5">
        <v>7</v>
      </c>
      <c r="C166" s="5">
        <v>4</v>
      </c>
      <c r="D166" s="5"/>
      <c r="E166" s="5"/>
      <c r="F166" s="5"/>
      <c r="G166" s="5"/>
      <c r="H166" s="2">
        <f>H165+B166+F166-(C166+D166+G166)-E166</f>
        <v>15</v>
      </c>
    </row>
    <row r="167" spans="1:8" x14ac:dyDescent="0.25">
      <c r="A167" s="26">
        <v>4</v>
      </c>
      <c r="B167" s="5">
        <v>7</v>
      </c>
      <c r="C167" s="5">
        <v>2</v>
      </c>
      <c r="D167" s="5"/>
      <c r="E167" s="5"/>
      <c r="F167" s="5">
        <v>1</v>
      </c>
      <c r="G167" s="5">
        <v>4</v>
      </c>
      <c r="H167" s="2">
        <f t="shared" ref="H167:H194" si="8">H166+B167+F167-(C167+D167+G167)-E167</f>
        <v>17</v>
      </c>
    </row>
    <row r="168" spans="1:8" x14ac:dyDescent="0.25">
      <c r="A168" s="26">
        <v>5</v>
      </c>
      <c r="B168" s="5">
        <v>8</v>
      </c>
      <c r="C168" s="5">
        <v>9</v>
      </c>
      <c r="D168" s="5"/>
      <c r="E168" s="5"/>
      <c r="F168" s="5">
        <v>1</v>
      </c>
      <c r="G168" s="5">
        <v>2</v>
      </c>
      <c r="H168" s="2">
        <f t="shared" si="8"/>
        <v>15</v>
      </c>
    </row>
    <row r="169" spans="1:8" x14ac:dyDescent="0.25">
      <c r="A169" s="26">
        <v>6</v>
      </c>
      <c r="B169" s="5">
        <v>8</v>
      </c>
      <c r="C169" s="5">
        <v>2</v>
      </c>
      <c r="D169" s="5"/>
      <c r="E169" s="5"/>
      <c r="F169" s="5">
        <v>2</v>
      </c>
      <c r="G169" s="5">
        <v>3</v>
      </c>
      <c r="H169" s="2">
        <f t="shared" si="8"/>
        <v>20</v>
      </c>
    </row>
    <row r="170" spans="1:8" x14ac:dyDescent="0.25">
      <c r="A170" s="26">
        <v>7</v>
      </c>
      <c r="B170" s="5">
        <v>5</v>
      </c>
      <c r="C170" s="5">
        <v>2</v>
      </c>
      <c r="D170" s="5"/>
      <c r="E170" s="5"/>
      <c r="F170" s="5">
        <v>1</v>
      </c>
      <c r="G170" s="5">
        <v>2</v>
      </c>
      <c r="H170" s="2">
        <f t="shared" si="8"/>
        <v>22</v>
      </c>
    </row>
    <row r="171" spans="1:8" x14ac:dyDescent="0.25">
      <c r="A171" s="26">
        <v>8</v>
      </c>
      <c r="B171" s="5">
        <v>4</v>
      </c>
      <c r="C171" s="5">
        <v>6</v>
      </c>
      <c r="D171" s="5"/>
      <c r="E171" s="5"/>
      <c r="F171" s="5">
        <v>1</v>
      </c>
      <c r="G171" s="5">
        <v>4</v>
      </c>
      <c r="H171" s="2">
        <f t="shared" si="8"/>
        <v>17</v>
      </c>
    </row>
    <row r="172" spans="1:8" x14ac:dyDescent="0.25">
      <c r="A172" s="26">
        <v>9</v>
      </c>
      <c r="B172" s="5">
        <v>3</v>
      </c>
      <c r="C172" s="5">
        <v>5</v>
      </c>
      <c r="D172" s="5"/>
      <c r="E172" s="5"/>
      <c r="F172" s="5">
        <v>2</v>
      </c>
      <c r="G172" s="5">
        <v>2</v>
      </c>
      <c r="H172" s="2">
        <f t="shared" si="8"/>
        <v>15</v>
      </c>
    </row>
    <row r="173" spans="1:8" x14ac:dyDescent="0.25">
      <c r="A173" s="26">
        <v>10</v>
      </c>
      <c r="B173" s="5">
        <v>4</v>
      </c>
      <c r="C173" s="5">
        <v>10</v>
      </c>
      <c r="D173" s="5"/>
      <c r="E173" s="5"/>
      <c r="F173" s="5"/>
      <c r="G173" s="5"/>
      <c r="H173" s="2">
        <f t="shared" si="8"/>
        <v>9</v>
      </c>
    </row>
    <row r="174" spans="1:8" x14ac:dyDescent="0.25">
      <c r="A174" s="26">
        <v>11</v>
      </c>
      <c r="B174" s="5">
        <v>2</v>
      </c>
      <c r="C174" s="5">
        <v>5</v>
      </c>
      <c r="D174" s="5"/>
      <c r="E174" s="5"/>
      <c r="F174" s="5">
        <v>2</v>
      </c>
      <c r="G174" s="5">
        <v>1</v>
      </c>
      <c r="H174" s="2">
        <f t="shared" si="8"/>
        <v>7</v>
      </c>
    </row>
    <row r="175" spans="1:8" x14ac:dyDescent="0.25">
      <c r="A175" s="26">
        <v>12</v>
      </c>
      <c r="B175" s="5">
        <v>7</v>
      </c>
      <c r="C175" s="5">
        <v>5</v>
      </c>
      <c r="D175" s="5"/>
      <c r="E175" s="5"/>
      <c r="F175" s="5">
        <v>1</v>
      </c>
      <c r="G175" s="5">
        <v>1</v>
      </c>
      <c r="H175" s="2">
        <f t="shared" si="8"/>
        <v>9</v>
      </c>
    </row>
    <row r="176" spans="1:8" x14ac:dyDescent="0.25">
      <c r="A176" s="26">
        <v>13</v>
      </c>
      <c r="B176" s="5">
        <v>9</v>
      </c>
      <c r="C176" s="5"/>
      <c r="D176" s="5"/>
      <c r="E176" s="5"/>
      <c r="F176" s="5"/>
      <c r="G176" s="5">
        <v>2</v>
      </c>
      <c r="H176" s="2">
        <f t="shared" si="8"/>
        <v>16</v>
      </c>
    </row>
    <row r="177" spans="1:8" x14ac:dyDescent="0.25">
      <c r="A177" s="26">
        <v>14</v>
      </c>
      <c r="B177" s="5">
        <v>4</v>
      </c>
      <c r="C177" s="5">
        <v>6</v>
      </c>
      <c r="D177" s="5"/>
      <c r="E177" s="5"/>
      <c r="F177" s="5"/>
      <c r="G177" s="5">
        <v>3</v>
      </c>
      <c r="H177" s="2">
        <f t="shared" si="8"/>
        <v>11</v>
      </c>
    </row>
    <row r="178" spans="1:8" x14ac:dyDescent="0.25">
      <c r="A178" s="26">
        <v>15</v>
      </c>
      <c r="B178" s="5">
        <v>5</v>
      </c>
      <c r="C178" s="5">
        <v>3</v>
      </c>
      <c r="D178" s="5"/>
      <c r="E178" s="5"/>
      <c r="F178" s="5">
        <v>2</v>
      </c>
      <c r="G178" s="5">
        <v>2</v>
      </c>
      <c r="H178" s="2">
        <f t="shared" si="8"/>
        <v>13</v>
      </c>
    </row>
    <row r="179" spans="1:8" x14ac:dyDescent="0.25">
      <c r="A179" s="26">
        <v>16</v>
      </c>
      <c r="B179" s="5">
        <v>9</v>
      </c>
      <c r="C179" s="5">
        <v>5</v>
      </c>
      <c r="D179" s="5"/>
      <c r="E179" s="5"/>
      <c r="F179" s="5"/>
      <c r="G179" s="5">
        <v>2</v>
      </c>
      <c r="H179" s="2">
        <f t="shared" si="8"/>
        <v>15</v>
      </c>
    </row>
    <row r="180" spans="1:8" x14ac:dyDescent="0.25">
      <c r="A180" s="26">
        <v>17</v>
      </c>
      <c r="B180" s="5">
        <v>3</v>
      </c>
      <c r="C180" s="5">
        <v>5</v>
      </c>
      <c r="D180" s="5"/>
      <c r="E180" s="5"/>
      <c r="F180" s="5"/>
      <c r="G180" s="5">
        <v>1</v>
      </c>
      <c r="H180" s="2">
        <f t="shared" si="8"/>
        <v>12</v>
      </c>
    </row>
    <row r="181" spans="1:8" x14ac:dyDescent="0.25">
      <c r="A181" s="26">
        <v>18</v>
      </c>
      <c r="B181" s="5">
        <v>4</v>
      </c>
      <c r="C181" s="5">
        <v>5</v>
      </c>
      <c r="D181" s="5"/>
      <c r="E181" s="5"/>
      <c r="F181" s="5"/>
      <c r="G181" s="5">
        <v>2</v>
      </c>
      <c r="H181" s="2">
        <f t="shared" si="8"/>
        <v>9</v>
      </c>
    </row>
    <row r="182" spans="1:8" x14ac:dyDescent="0.25">
      <c r="A182" s="26">
        <v>19</v>
      </c>
      <c r="B182" s="5">
        <v>7</v>
      </c>
      <c r="C182" s="5">
        <v>2</v>
      </c>
      <c r="D182" s="5"/>
      <c r="E182" s="5"/>
      <c r="F182" s="5">
        <v>2</v>
      </c>
      <c r="G182" s="5">
        <v>2</v>
      </c>
      <c r="H182" s="2">
        <f t="shared" si="8"/>
        <v>14</v>
      </c>
    </row>
    <row r="183" spans="1:8" x14ac:dyDescent="0.25">
      <c r="A183" s="26">
        <v>20</v>
      </c>
      <c r="B183" s="5">
        <v>10</v>
      </c>
      <c r="C183" s="5">
        <v>8</v>
      </c>
      <c r="D183" s="5"/>
      <c r="E183" s="5"/>
      <c r="F183" s="5"/>
      <c r="G183" s="5">
        <v>1</v>
      </c>
      <c r="H183" s="2">
        <f t="shared" si="8"/>
        <v>15</v>
      </c>
    </row>
    <row r="184" spans="1:8" x14ac:dyDescent="0.25">
      <c r="A184" s="26">
        <v>21</v>
      </c>
      <c r="B184" s="5">
        <v>6</v>
      </c>
      <c r="C184" s="5">
        <v>5</v>
      </c>
      <c r="D184" s="5"/>
      <c r="E184" s="5"/>
      <c r="F184" s="5"/>
      <c r="G184" s="5">
        <v>1</v>
      </c>
      <c r="H184" s="2">
        <f t="shared" si="8"/>
        <v>15</v>
      </c>
    </row>
    <row r="185" spans="1:8" x14ac:dyDescent="0.25">
      <c r="A185" s="26">
        <v>22</v>
      </c>
      <c r="B185" s="5">
        <v>7</v>
      </c>
      <c r="C185" s="5">
        <v>3</v>
      </c>
      <c r="D185" s="5"/>
      <c r="E185" s="5"/>
      <c r="F185" s="5">
        <v>1</v>
      </c>
      <c r="G185" s="5">
        <v>4</v>
      </c>
      <c r="H185" s="2">
        <f t="shared" si="8"/>
        <v>16</v>
      </c>
    </row>
    <row r="186" spans="1:8" x14ac:dyDescent="0.25">
      <c r="A186" s="26">
        <v>23</v>
      </c>
      <c r="B186" s="5">
        <v>4</v>
      </c>
      <c r="C186" s="5">
        <v>7</v>
      </c>
      <c r="D186" s="5"/>
      <c r="E186" s="5"/>
      <c r="F186" s="5">
        <v>1</v>
      </c>
      <c r="G186" s="5">
        <v>2</v>
      </c>
      <c r="H186" s="2">
        <f t="shared" si="8"/>
        <v>12</v>
      </c>
    </row>
    <row r="187" spans="1:8" x14ac:dyDescent="0.25">
      <c r="A187" s="26">
        <v>24</v>
      </c>
      <c r="B187" s="5">
        <v>1</v>
      </c>
      <c r="C187" s="5">
        <v>3</v>
      </c>
      <c r="D187" s="5"/>
      <c r="E187" s="5"/>
      <c r="F187" s="5">
        <v>1</v>
      </c>
      <c r="G187" s="5">
        <v>2</v>
      </c>
      <c r="H187" s="2">
        <f t="shared" si="8"/>
        <v>9</v>
      </c>
    </row>
    <row r="188" spans="1:8" x14ac:dyDescent="0.25">
      <c r="A188" s="26">
        <v>25</v>
      </c>
      <c r="B188" s="5">
        <v>2</v>
      </c>
      <c r="C188" s="5">
        <v>2</v>
      </c>
      <c r="D188" s="5"/>
      <c r="E188" s="5"/>
      <c r="F188" s="5"/>
      <c r="G188" s="5">
        <v>1</v>
      </c>
      <c r="H188" s="2">
        <f t="shared" si="8"/>
        <v>8</v>
      </c>
    </row>
    <row r="189" spans="1:8" x14ac:dyDescent="0.25">
      <c r="A189" s="26">
        <v>26</v>
      </c>
      <c r="B189" s="5">
        <v>5</v>
      </c>
      <c r="C189" s="5">
        <v>4</v>
      </c>
      <c r="D189" s="5"/>
      <c r="E189" s="5"/>
      <c r="F189" s="5">
        <v>1</v>
      </c>
      <c r="G189" s="5">
        <v>2</v>
      </c>
      <c r="H189" s="2">
        <f t="shared" si="8"/>
        <v>8</v>
      </c>
    </row>
    <row r="190" spans="1:8" x14ac:dyDescent="0.25">
      <c r="A190" s="26">
        <v>27</v>
      </c>
      <c r="B190" s="5">
        <v>2</v>
      </c>
      <c r="C190" s="5">
        <v>2</v>
      </c>
      <c r="D190" s="5"/>
      <c r="E190" s="5"/>
      <c r="F190" s="5">
        <v>1</v>
      </c>
      <c r="G190" s="5">
        <v>2</v>
      </c>
      <c r="H190" s="2">
        <f t="shared" si="8"/>
        <v>7</v>
      </c>
    </row>
    <row r="191" spans="1:8" x14ac:dyDescent="0.25">
      <c r="A191" s="26">
        <v>28</v>
      </c>
      <c r="B191" s="5">
        <v>1</v>
      </c>
      <c r="C191" s="5">
        <v>4</v>
      </c>
      <c r="D191" s="5"/>
      <c r="E191" s="5"/>
      <c r="F191" s="5">
        <v>1</v>
      </c>
      <c r="G191" s="5">
        <v>1</v>
      </c>
      <c r="H191" s="2">
        <f t="shared" si="8"/>
        <v>4</v>
      </c>
    </row>
    <row r="192" spans="1:8" x14ac:dyDescent="0.25">
      <c r="A192" s="26">
        <v>29</v>
      </c>
      <c r="B192" s="5">
        <v>2</v>
      </c>
      <c r="C192" s="5">
        <v>2</v>
      </c>
      <c r="D192" s="5"/>
      <c r="E192" s="5"/>
      <c r="F192" s="5"/>
      <c r="G192" s="5">
        <v>1</v>
      </c>
      <c r="H192" s="2">
        <f t="shared" si="8"/>
        <v>3</v>
      </c>
    </row>
    <row r="193" spans="1:8" x14ac:dyDescent="0.25">
      <c r="A193" s="28">
        <v>30</v>
      </c>
      <c r="B193" s="29">
        <v>3</v>
      </c>
      <c r="C193" s="29">
        <v>3</v>
      </c>
      <c r="D193" s="29"/>
      <c r="E193" s="29"/>
      <c r="F193" s="29">
        <v>1</v>
      </c>
      <c r="G193" s="29">
        <v>1</v>
      </c>
      <c r="H193" s="57">
        <f t="shared" si="8"/>
        <v>3</v>
      </c>
    </row>
    <row r="194" spans="1:8" ht="15.75" thickBot="1" x14ac:dyDescent="0.3">
      <c r="A194" s="63">
        <v>31</v>
      </c>
      <c r="B194" s="29"/>
      <c r="C194" s="29">
        <v>3</v>
      </c>
      <c r="D194" s="29"/>
      <c r="E194" s="29"/>
      <c r="F194" s="29">
        <v>1</v>
      </c>
      <c r="G194" s="29"/>
      <c r="H194" s="29">
        <f t="shared" si="8"/>
        <v>1</v>
      </c>
    </row>
    <row r="195" spans="1:8" ht="15.75" thickBot="1" x14ac:dyDescent="0.3">
      <c r="A195" s="60" t="s">
        <v>35</v>
      </c>
      <c r="B195" s="58">
        <f>SUM(B164:B194)-E195</f>
        <v>150</v>
      </c>
      <c r="C195" s="58">
        <f t="shared" ref="C195:H195" si="9">SUM(C164:C194)</f>
        <v>131</v>
      </c>
      <c r="D195" s="58">
        <f t="shared" si="9"/>
        <v>0</v>
      </c>
      <c r="E195" s="58">
        <f t="shared" si="9"/>
        <v>0</v>
      </c>
      <c r="F195" s="58">
        <f t="shared" si="9"/>
        <v>23</v>
      </c>
      <c r="G195" s="58">
        <f t="shared" si="9"/>
        <v>52</v>
      </c>
      <c r="H195" s="59">
        <f t="shared" si="9"/>
        <v>361</v>
      </c>
    </row>
    <row r="198" spans="1:8" ht="36" x14ac:dyDescent="0.55000000000000004">
      <c r="A198" s="605" t="s">
        <v>1</v>
      </c>
      <c r="B198" s="605"/>
      <c r="C198" s="605"/>
      <c r="D198" s="605"/>
      <c r="E198" s="605"/>
      <c r="F198" s="605"/>
      <c r="G198" s="605"/>
      <c r="H198" s="605"/>
    </row>
    <row r="199" spans="1:8" ht="27" thickBot="1" x14ac:dyDescent="0.45">
      <c r="A199" s="606" t="s">
        <v>0</v>
      </c>
      <c r="B199" s="606"/>
      <c r="C199" s="606"/>
      <c r="D199" s="606"/>
      <c r="E199" s="606"/>
      <c r="F199" s="606"/>
      <c r="G199" s="606"/>
      <c r="H199" s="606"/>
    </row>
    <row r="200" spans="1:8" ht="15.75" x14ac:dyDescent="0.25">
      <c r="A200" s="39" t="s">
        <v>2</v>
      </c>
      <c r="B200" s="19" t="s">
        <v>3</v>
      </c>
      <c r="C200" s="20"/>
      <c r="D200" s="21" t="s">
        <v>52</v>
      </c>
      <c r="E200" s="607" t="s">
        <v>56</v>
      </c>
      <c r="F200" s="608"/>
      <c r="G200" s="19" t="s">
        <v>16</v>
      </c>
      <c r="H200" s="32" t="s">
        <v>60</v>
      </c>
    </row>
    <row r="201" spans="1:8" ht="15.75" x14ac:dyDescent="0.25">
      <c r="A201" s="609" t="s">
        <v>6</v>
      </c>
      <c r="B201" s="610"/>
      <c r="C201" s="610"/>
      <c r="D201" s="610"/>
      <c r="E201" s="610"/>
      <c r="F201" s="611"/>
      <c r="G201" s="1"/>
      <c r="H201" s="2">
        <f>H194</f>
        <v>1</v>
      </c>
    </row>
    <row r="202" spans="1:8" ht="15.75" x14ac:dyDescent="0.25">
      <c r="A202" s="3" t="s">
        <v>7</v>
      </c>
      <c r="B202" s="1"/>
      <c r="C202" s="1"/>
      <c r="D202" s="1"/>
      <c r="E202" s="1"/>
      <c r="F202" s="1"/>
      <c r="G202" s="1"/>
      <c r="H202" s="2">
        <v>14</v>
      </c>
    </row>
    <row r="203" spans="1:8" ht="51.75" thickBot="1" x14ac:dyDescent="0.3">
      <c r="A203" s="40" t="s">
        <v>8</v>
      </c>
      <c r="B203" s="41" t="s">
        <v>9</v>
      </c>
      <c r="C203" s="41" t="s">
        <v>10</v>
      </c>
      <c r="D203" s="41" t="s">
        <v>11</v>
      </c>
      <c r="E203" s="41" t="s">
        <v>12</v>
      </c>
      <c r="F203" s="41" t="s">
        <v>13</v>
      </c>
      <c r="G203" s="41" t="s">
        <v>14</v>
      </c>
      <c r="H203" s="42" t="s">
        <v>15</v>
      </c>
    </row>
    <row r="204" spans="1:8" x14ac:dyDescent="0.25">
      <c r="A204" s="36">
        <v>1</v>
      </c>
      <c r="B204" s="37">
        <v>2</v>
      </c>
      <c r="C204" s="37">
        <v>1</v>
      </c>
      <c r="D204" s="37"/>
      <c r="E204" s="37"/>
      <c r="F204" s="37">
        <v>1</v>
      </c>
      <c r="G204" s="37"/>
      <c r="H204" s="38">
        <f>H201+B204+F204-(C204+D204+G204)-E204</f>
        <v>3</v>
      </c>
    </row>
    <row r="205" spans="1:8" x14ac:dyDescent="0.25">
      <c r="A205" s="26">
        <v>2</v>
      </c>
      <c r="B205" s="5">
        <v>8</v>
      </c>
      <c r="C205" s="5">
        <v>1</v>
      </c>
      <c r="D205" s="5"/>
      <c r="E205" s="5"/>
      <c r="F205" s="5">
        <v>1</v>
      </c>
      <c r="G205" s="5">
        <v>2</v>
      </c>
      <c r="H205" s="2">
        <f>H204+B205+F205-(C205+D205+G205)-E205</f>
        <v>9</v>
      </c>
    </row>
    <row r="206" spans="1:8" x14ac:dyDescent="0.25">
      <c r="A206" s="26">
        <v>3</v>
      </c>
      <c r="B206" s="5">
        <v>4</v>
      </c>
      <c r="C206" s="5">
        <v>5</v>
      </c>
      <c r="D206" s="5"/>
      <c r="E206" s="5"/>
      <c r="F206" s="5">
        <v>1</v>
      </c>
      <c r="G206" s="5">
        <v>2</v>
      </c>
      <c r="H206" s="2">
        <f>H205+B206+F206-(C206+D206+G206)-E206</f>
        <v>7</v>
      </c>
    </row>
    <row r="207" spans="1:8" x14ac:dyDescent="0.25">
      <c r="A207" s="26">
        <v>4</v>
      </c>
      <c r="B207" s="5">
        <v>3</v>
      </c>
      <c r="C207" s="5">
        <v>3</v>
      </c>
      <c r="D207" s="5"/>
      <c r="E207" s="5"/>
      <c r="F207" s="5"/>
      <c r="G207" s="5"/>
      <c r="H207" s="2">
        <f t="shared" ref="H207:H233" si="10">H206+B207+F207-(C207+D207+G207)-E207</f>
        <v>7</v>
      </c>
    </row>
    <row r="208" spans="1:8" x14ac:dyDescent="0.25">
      <c r="A208" s="26">
        <v>5</v>
      </c>
      <c r="B208" s="5">
        <v>1</v>
      </c>
      <c r="C208" s="5">
        <v>4</v>
      </c>
      <c r="D208" s="5"/>
      <c r="E208" s="5"/>
      <c r="F208" s="5"/>
      <c r="G208" s="5"/>
      <c r="H208" s="2">
        <f t="shared" si="10"/>
        <v>4</v>
      </c>
    </row>
    <row r="209" spans="1:8" x14ac:dyDescent="0.25">
      <c r="A209" s="26">
        <v>6</v>
      </c>
      <c r="B209" s="5">
        <v>2</v>
      </c>
      <c r="C209" s="5">
        <v>2</v>
      </c>
      <c r="D209" s="5"/>
      <c r="E209" s="5"/>
      <c r="F209" s="5">
        <v>1</v>
      </c>
      <c r="G209" s="5">
        <v>1</v>
      </c>
      <c r="H209" s="2">
        <f t="shared" si="10"/>
        <v>4</v>
      </c>
    </row>
    <row r="210" spans="1:8" x14ac:dyDescent="0.25">
      <c r="A210" s="26">
        <v>7</v>
      </c>
      <c r="B210" s="5">
        <v>3</v>
      </c>
      <c r="C210" s="5">
        <v>2</v>
      </c>
      <c r="D210" s="5"/>
      <c r="E210" s="5"/>
      <c r="F210" s="5"/>
      <c r="G210" s="5"/>
      <c r="H210" s="2">
        <f t="shared" si="10"/>
        <v>5</v>
      </c>
    </row>
    <row r="211" spans="1:8" x14ac:dyDescent="0.25">
      <c r="A211" s="26">
        <v>8</v>
      </c>
      <c r="B211" s="5">
        <v>2</v>
      </c>
      <c r="C211" s="5">
        <v>3</v>
      </c>
      <c r="D211" s="5"/>
      <c r="E211" s="5"/>
      <c r="F211" s="5">
        <v>1</v>
      </c>
      <c r="G211" s="5">
        <v>1</v>
      </c>
      <c r="H211" s="2">
        <f t="shared" si="10"/>
        <v>4</v>
      </c>
    </row>
    <row r="212" spans="1:8" x14ac:dyDescent="0.25">
      <c r="A212" s="26">
        <v>9</v>
      </c>
      <c r="B212" s="5"/>
      <c r="C212" s="5">
        <v>1</v>
      </c>
      <c r="D212" s="5"/>
      <c r="E212" s="5"/>
      <c r="F212" s="5">
        <v>1</v>
      </c>
      <c r="G212" s="5">
        <v>1</v>
      </c>
      <c r="H212" s="2">
        <f t="shared" si="10"/>
        <v>3</v>
      </c>
    </row>
    <row r="213" spans="1:8" x14ac:dyDescent="0.25">
      <c r="A213" s="26">
        <v>10</v>
      </c>
      <c r="B213" s="5"/>
      <c r="C213" s="5">
        <v>3</v>
      </c>
      <c r="D213" s="5"/>
      <c r="E213" s="5"/>
      <c r="F213" s="5"/>
      <c r="G213" s="5"/>
      <c r="H213" s="2">
        <f t="shared" si="10"/>
        <v>0</v>
      </c>
    </row>
    <row r="214" spans="1:8" x14ac:dyDescent="0.25">
      <c r="A214" s="26">
        <v>11</v>
      </c>
      <c r="B214" s="5"/>
      <c r="C214" s="5"/>
      <c r="D214" s="5"/>
      <c r="E214" s="5"/>
      <c r="F214" s="5"/>
      <c r="G214" s="5"/>
      <c r="H214" s="2">
        <f t="shared" si="10"/>
        <v>0</v>
      </c>
    </row>
    <row r="215" spans="1:8" x14ac:dyDescent="0.25">
      <c r="A215" s="26">
        <v>12</v>
      </c>
      <c r="B215" s="5"/>
      <c r="C215" s="5"/>
      <c r="D215" s="5"/>
      <c r="E215" s="5"/>
      <c r="F215" s="5"/>
      <c r="G215" s="5"/>
      <c r="H215" s="2">
        <f t="shared" si="10"/>
        <v>0</v>
      </c>
    </row>
    <row r="216" spans="1:8" x14ac:dyDescent="0.25">
      <c r="A216" s="26">
        <v>13</v>
      </c>
      <c r="B216" s="5"/>
      <c r="C216" s="5"/>
      <c r="D216" s="5"/>
      <c r="E216" s="5"/>
      <c r="F216" s="5"/>
      <c r="G216" s="5"/>
      <c r="H216" s="2">
        <f t="shared" si="10"/>
        <v>0</v>
      </c>
    </row>
    <row r="217" spans="1:8" x14ac:dyDescent="0.25">
      <c r="A217" s="26">
        <v>14</v>
      </c>
      <c r="B217" s="5">
        <v>2</v>
      </c>
      <c r="C217" s="5"/>
      <c r="D217" s="5"/>
      <c r="E217" s="5"/>
      <c r="F217" s="5"/>
      <c r="G217" s="5"/>
      <c r="H217" s="2">
        <f t="shared" si="10"/>
        <v>2</v>
      </c>
    </row>
    <row r="218" spans="1:8" x14ac:dyDescent="0.25">
      <c r="A218" s="26">
        <v>15</v>
      </c>
      <c r="B218" s="5">
        <v>1</v>
      </c>
      <c r="C218" s="5"/>
      <c r="D218" s="5"/>
      <c r="E218" s="5"/>
      <c r="F218" s="5"/>
      <c r="G218" s="5">
        <v>1</v>
      </c>
      <c r="H218" s="2">
        <f t="shared" si="10"/>
        <v>2</v>
      </c>
    </row>
    <row r="219" spans="1:8" x14ac:dyDescent="0.25">
      <c r="A219" s="26">
        <v>16</v>
      </c>
      <c r="B219" s="5">
        <v>5</v>
      </c>
      <c r="C219" s="5">
        <v>1</v>
      </c>
      <c r="D219" s="5"/>
      <c r="E219" s="5"/>
      <c r="F219" s="5">
        <v>2</v>
      </c>
      <c r="G219" s="5">
        <v>1</v>
      </c>
      <c r="H219" s="2">
        <f t="shared" si="10"/>
        <v>7</v>
      </c>
    </row>
    <row r="220" spans="1:8" x14ac:dyDescent="0.25">
      <c r="A220" s="26">
        <v>17</v>
      </c>
      <c r="B220" s="5">
        <v>3</v>
      </c>
      <c r="C220" s="5">
        <v>1</v>
      </c>
      <c r="D220" s="5"/>
      <c r="E220" s="5"/>
      <c r="F220" s="5"/>
      <c r="G220" s="5">
        <v>2</v>
      </c>
      <c r="H220" s="2">
        <f t="shared" si="10"/>
        <v>7</v>
      </c>
    </row>
    <row r="221" spans="1:8" x14ac:dyDescent="0.25">
      <c r="A221" s="26">
        <v>18</v>
      </c>
      <c r="B221" s="5">
        <v>2</v>
      </c>
      <c r="C221" s="5">
        <v>1</v>
      </c>
      <c r="D221" s="5"/>
      <c r="E221" s="5"/>
      <c r="F221" s="5"/>
      <c r="G221" s="5">
        <v>2</v>
      </c>
      <c r="H221" s="2">
        <f t="shared" si="10"/>
        <v>6</v>
      </c>
    </row>
    <row r="222" spans="1:8" x14ac:dyDescent="0.25">
      <c r="A222" s="26">
        <v>19</v>
      </c>
      <c r="B222" s="5">
        <v>4</v>
      </c>
      <c r="C222" s="5">
        <v>2</v>
      </c>
      <c r="D222" s="5"/>
      <c r="E222" s="5"/>
      <c r="F222" s="5"/>
      <c r="G222" s="5">
        <v>2</v>
      </c>
      <c r="H222" s="2">
        <f t="shared" si="10"/>
        <v>6</v>
      </c>
    </row>
    <row r="223" spans="1:8" x14ac:dyDescent="0.25">
      <c r="A223" s="26">
        <v>20</v>
      </c>
      <c r="B223" s="5">
        <v>4</v>
      </c>
      <c r="C223" s="5"/>
      <c r="D223" s="5"/>
      <c r="E223" s="5"/>
      <c r="F223" s="5">
        <v>2</v>
      </c>
      <c r="G223" s="5">
        <v>1</v>
      </c>
      <c r="H223" s="2">
        <f t="shared" si="10"/>
        <v>11</v>
      </c>
    </row>
    <row r="224" spans="1:8" x14ac:dyDescent="0.25">
      <c r="A224" s="26">
        <v>21</v>
      </c>
      <c r="B224" s="5">
        <v>5</v>
      </c>
      <c r="C224" s="5">
        <v>3</v>
      </c>
      <c r="D224" s="5"/>
      <c r="E224" s="5"/>
      <c r="F224" s="5"/>
      <c r="G224" s="5"/>
      <c r="H224" s="2">
        <f t="shared" si="10"/>
        <v>13</v>
      </c>
    </row>
    <row r="225" spans="1:8" x14ac:dyDescent="0.25">
      <c r="A225" s="26">
        <v>22</v>
      </c>
      <c r="B225" s="5">
        <v>5</v>
      </c>
      <c r="C225" s="5">
        <v>5</v>
      </c>
      <c r="D225" s="5"/>
      <c r="E225" s="5"/>
      <c r="F225" s="5">
        <v>1</v>
      </c>
      <c r="G225" s="5">
        <v>2</v>
      </c>
      <c r="H225" s="2">
        <f t="shared" si="10"/>
        <v>12</v>
      </c>
    </row>
    <row r="226" spans="1:8" x14ac:dyDescent="0.25">
      <c r="A226" s="26">
        <v>23</v>
      </c>
      <c r="B226" s="5">
        <v>2</v>
      </c>
      <c r="C226" s="5">
        <v>4</v>
      </c>
      <c r="D226" s="5"/>
      <c r="E226" s="5"/>
      <c r="F226" s="5"/>
      <c r="G226" s="5"/>
      <c r="H226" s="2">
        <f t="shared" si="10"/>
        <v>10</v>
      </c>
    </row>
    <row r="227" spans="1:8" x14ac:dyDescent="0.25">
      <c r="A227" s="26">
        <v>24</v>
      </c>
      <c r="B227" s="5">
        <v>5</v>
      </c>
      <c r="C227" s="5">
        <v>2</v>
      </c>
      <c r="D227" s="5"/>
      <c r="E227" s="5"/>
      <c r="F227" s="5">
        <v>1</v>
      </c>
      <c r="G227" s="5"/>
      <c r="H227" s="2">
        <f t="shared" si="10"/>
        <v>14</v>
      </c>
    </row>
    <row r="228" spans="1:8" x14ac:dyDescent="0.25">
      <c r="A228" s="26">
        <v>25</v>
      </c>
      <c r="B228" s="5">
        <v>2</v>
      </c>
      <c r="C228" s="5">
        <v>3</v>
      </c>
      <c r="D228" s="5"/>
      <c r="E228" s="5"/>
      <c r="F228" s="5">
        <v>2</v>
      </c>
      <c r="G228" s="5">
        <v>2</v>
      </c>
      <c r="H228" s="2">
        <f t="shared" si="10"/>
        <v>13</v>
      </c>
    </row>
    <row r="229" spans="1:8" x14ac:dyDescent="0.25">
      <c r="A229" s="26">
        <v>26</v>
      </c>
      <c r="B229" s="5">
        <v>3</v>
      </c>
      <c r="C229" s="5">
        <v>5</v>
      </c>
      <c r="D229" s="5"/>
      <c r="E229" s="5"/>
      <c r="F229" s="5">
        <v>1</v>
      </c>
      <c r="G229" s="5">
        <v>1</v>
      </c>
      <c r="H229" s="2">
        <f t="shared" si="10"/>
        <v>11</v>
      </c>
    </row>
    <row r="230" spans="1:8" x14ac:dyDescent="0.25">
      <c r="A230" s="26">
        <v>27</v>
      </c>
      <c r="B230" s="5">
        <v>7</v>
      </c>
      <c r="C230" s="5">
        <v>2</v>
      </c>
      <c r="D230" s="5"/>
      <c r="E230" s="5"/>
      <c r="F230" s="5">
        <v>1</v>
      </c>
      <c r="G230" s="5">
        <v>2</v>
      </c>
      <c r="H230" s="2">
        <f t="shared" si="10"/>
        <v>15</v>
      </c>
    </row>
    <row r="231" spans="1:8" x14ac:dyDescent="0.25">
      <c r="A231" s="26">
        <v>28</v>
      </c>
      <c r="B231" s="5">
        <v>2</v>
      </c>
      <c r="C231" s="5">
        <v>6</v>
      </c>
      <c r="D231" s="5"/>
      <c r="E231" s="5"/>
      <c r="F231" s="5">
        <v>3</v>
      </c>
      <c r="G231" s="5">
        <v>4</v>
      </c>
      <c r="H231" s="2">
        <f t="shared" si="10"/>
        <v>10</v>
      </c>
    </row>
    <row r="232" spans="1:8" x14ac:dyDescent="0.25">
      <c r="A232" s="26">
        <v>29</v>
      </c>
      <c r="B232" s="5">
        <v>3</v>
      </c>
      <c r="C232" s="5">
        <v>3</v>
      </c>
      <c r="D232" s="5"/>
      <c r="E232" s="5"/>
      <c r="F232" s="5"/>
      <c r="G232" s="5">
        <v>2</v>
      </c>
      <c r="H232" s="2">
        <f t="shared" si="10"/>
        <v>8</v>
      </c>
    </row>
    <row r="233" spans="1:8" ht="15.75" thickBot="1" x14ac:dyDescent="0.3">
      <c r="A233" s="28">
        <v>30</v>
      </c>
      <c r="B233" s="29">
        <v>2</v>
      </c>
      <c r="C233" s="29">
        <v>6</v>
      </c>
      <c r="D233" s="29"/>
      <c r="E233" s="29"/>
      <c r="F233" s="29"/>
      <c r="G233" s="29">
        <v>1</v>
      </c>
      <c r="H233" s="57">
        <f t="shared" si="10"/>
        <v>3</v>
      </c>
    </row>
    <row r="234" spans="1:8" ht="15.75" thickBot="1" x14ac:dyDescent="0.3">
      <c r="A234" s="60" t="s">
        <v>35</v>
      </c>
      <c r="B234" s="58">
        <f>SUM(B204:B233)-E234</f>
        <v>82</v>
      </c>
      <c r="C234" s="58">
        <f t="shared" ref="C234:H234" si="11">SUM(C204:C233)</f>
        <v>69</v>
      </c>
      <c r="D234" s="58">
        <f t="shared" si="11"/>
        <v>0</v>
      </c>
      <c r="E234" s="58">
        <f t="shared" si="11"/>
        <v>0</v>
      </c>
      <c r="F234" s="58">
        <f t="shared" si="11"/>
        <v>19</v>
      </c>
      <c r="G234" s="58">
        <f t="shared" si="11"/>
        <v>30</v>
      </c>
      <c r="H234" s="59">
        <f t="shared" si="11"/>
        <v>196</v>
      </c>
    </row>
    <row r="237" spans="1:8" ht="36" x14ac:dyDescent="0.55000000000000004">
      <c r="A237" s="605" t="s">
        <v>1</v>
      </c>
      <c r="B237" s="605"/>
      <c r="C237" s="605"/>
      <c r="D237" s="605"/>
      <c r="E237" s="605"/>
      <c r="F237" s="605"/>
      <c r="G237" s="605"/>
      <c r="H237" s="605"/>
    </row>
    <row r="238" spans="1:8" ht="27" thickBot="1" x14ac:dyDescent="0.45">
      <c r="A238" s="606" t="s">
        <v>0</v>
      </c>
      <c r="B238" s="606"/>
      <c r="C238" s="606"/>
      <c r="D238" s="606"/>
      <c r="E238" s="606"/>
      <c r="F238" s="606"/>
      <c r="G238" s="606"/>
      <c r="H238" s="606"/>
    </row>
    <row r="239" spans="1:8" ht="15.75" x14ac:dyDescent="0.25">
      <c r="A239" s="39" t="s">
        <v>2</v>
      </c>
      <c r="B239" s="19" t="s">
        <v>3</v>
      </c>
      <c r="C239" s="20"/>
      <c r="D239" s="21" t="s">
        <v>52</v>
      </c>
      <c r="E239" s="607" t="s">
        <v>56</v>
      </c>
      <c r="F239" s="608"/>
      <c r="G239" s="19" t="s">
        <v>16</v>
      </c>
      <c r="H239" s="32" t="s">
        <v>61</v>
      </c>
    </row>
    <row r="240" spans="1:8" ht="15.75" x14ac:dyDescent="0.25">
      <c r="A240" s="609" t="s">
        <v>6</v>
      </c>
      <c r="B240" s="610"/>
      <c r="C240" s="610"/>
      <c r="D240" s="610"/>
      <c r="E240" s="610"/>
      <c r="F240" s="611"/>
      <c r="G240" s="1"/>
      <c r="H240" s="2">
        <f>H233</f>
        <v>3</v>
      </c>
    </row>
    <row r="241" spans="1:8" ht="15.75" x14ac:dyDescent="0.25">
      <c r="A241" s="3" t="s">
        <v>7</v>
      </c>
      <c r="B241" s="1"/>
      <c r="C241" s="1"/>
      <c r="D241" s="1"/>
      <c r="E241" s="1"/>
      <c r="F241" s="1"/>
      <c r="G241" s="1"/>
      <c r="H241" s="2">
        <v>14</v>
      </c>
    </row>
    <row r="242" spans="1:8" ht="51.75" thickBot="1" x14ac:dyDescent="0.3">
      <c r="A242" s="40" t="s">
        <v>8</v>
      </c>
      <c r="B242" s="41" t="s">
        <v>9</v>
      </c>
      <c r="C242" s="41" t="s">
        <v>10</v>
      </c>
      <c r="D242" s="41" t="s">
        <v>11</v>
      </c>
      <c r="E242" s="41" t="s">
        <v>12</v>
      </c>
      <c r="F242" s="41" t="s">
        <v>13</v>
      </c>
      <c r="G242" s="41" t="s">
        <v>14</v>
      </c>
      <c r="H242" s="42" t="s">
        <v>15</v>
      </c>
    </row>
    <row r="243" spans="1:8" x14ac:dyDescent="0.25">
      <c r="A243" s="36">
        <v>1</v>
      </c>
      <c r="B243" s="37">
        <v>1</v>
      </c>
      <c r="C243" s="37">
        <v>1</v>
      </c>
      <c r="D243" s="37"/>
      <c r="E243" s="37"/>
      <c r="F243" s="37"/>
      <c r="G243" s="37">
        <v>1</v>
      </c>
      <c r="H243" s="38">
        <f>H240+B243+F243-(C243+D243+G243)-E243</f>
        <v>2</v>
      </c>
    </row>
    <row r="244" spans="1:8" x14ac:dyDescent="0.25">
      <c r="A244" s="26">
        <v>2</v>
      </c>
      <c r="B244" s="5">
        <v>4</v>
      </c>
      <c r="C244" s="5">
        <v>2</v>
      </c>
      <c r="D244" s="5"/>
      <c r="E244" s="5"/>
      <c r="F244" s="5"/>
      <c r="G244" s="5">
        <v>1</v>
      </c>
      <c r="H244" s="2">
        <f>H243+B244+F244-(C244+D244+G244)-E244</f>
        <v>3</v>
      </c>
    </row>
    <row r="245" spans="1:8" x14ac:dyDescent="0.25">
      <c r="A245" s="26">
        <v>3</v>
      </c>
      <c r="B245" s="5">
        <v>5</v>
      </c>
      <c r="C245" s="5"/>
      <c r="D245" s="5"/>
      <c r="E245" s="5"/>
      <c r="F245" s="5">
        <v>1</v>
      </c>
      <c r="G245" s="5">
        <v>3</v>
      </c>
      <c r="H245" s="2">
        <f>H244+B245+F245-(C245+D245+G245)-E245</f>
        <v>6</v>
      </c>
    </row>
    <row r="246" spans="1:8" x14ac:dyDescent="0.25">
      <c r="A246" s="26">
        <v>4</v>
      </c>
      <c r="B246" s="5">
        <v>4</v>
      </c>
      <c r="C246" s="5">
        <v>4</v>
      </c>
      <c r="D246" s="5"/>
      <c r="E246" s="5"/>
      <c r="F246" s="5">
        <v>1</v>
      </c>
      <c r="G246" s="5">
        <v>4</v>
      </c>
      <c r="H246" s="2">
        <f t="shared" ref="H246:H273" si="12">H245+B246+F246-(C246+D246+G246)-E246</f>
        <v>3</v>
      </c>
    </row>
    <row r="247" spans="1:8" x14ac:dyDescent="0.25">
      <c r="A247" s="26">
        <v>5</v>
      </c>
      <c r="B247" s="5"/>
      <c r="C247" s="5">
        <v>1</v>
      </c>
      <c r="D247" s="5"/>
      <c r="E247" s="5"/>
      <c r="F247" s="5">
        <v>1</v>
      </c>
      <c r="G247" s="5">
        <v>1</v>
      </c>
      <c r="H247" s="2">
        <f t="shared" si="12"/>
        <v>2</v>
      </c>
    </row>
    <row r="248" spans="1:8" x14ac:dyDescent="0.25">
      <c r="A248" s="26">
        <v>6</v>
      </c>
      <c r="B248" s="5">
        <v>2</v>
      </c>
      <c r="C248" s="5"/>
      <c r="D248" s="5"/>
      <c r="E248" s="5"/>
      <c r="F248" s="5">
        <v>2</v>
      </c>
      <c r="G248" s="5">
        <v>1</v>
      </c>
      <c r="H248" s="2">
        <f t="shared" si="12"/>
        <v>5</v>
      </c>
    </row>
    <row r="249" spans="1:8" x14ac:dyDescent="0.25">
      <c r="A249" s="26">
        <v>7</v>
      </c>
      <c r="B249" s="5">
        <v>9</v>
      </c>
      <c r="C249" s="5">
        <v>1</v>
      </c>
      <c r="D249" s="5"/>
      <c r="E249" s="5"/>
      <c r="F249" s="5">
        <v>1</v>
      </c>
      <c r="G249" s="5">
        <v>1</v>
      </c>
      <c r="H249" s="2">
        <f t="shared" si="12"/>
        <v>13</v>
      </c>
    </row>
    <row r="250" spans="1:8" x14ac:dyDescent="0.25">
      <c r="A250" s="26">
        <v>8</v>
      </c>
      <c r="B250" s="5">
        <v>5</v>
      </c>
      <c r="C250" s="5">
        <v>7</v>
      </c>
      <c r="D250" s="5"/>
      <c r="E250" s="5"/>
      <c r="F250" s="5"/>
      <c r="G250" s="5"/>
      <c r="H250" s="2">
        <f t="shared" si="12"/>
        <v>11</v>
      </c>
    </row>
    <row r="251" spans="1:8" x14ac:dyDescent="0.25">
      <c r="A251" s="26">
        <v>9</v>
      </c>
      <c r="B251" s="5">
        <v>6</v>
      </c>
      <c r="C251" s="5">
        <v>4</v>
      </c>
      <c r="D251" s="5"/>
      <c r="E251" s="5"/>
      <c r="F251" s="5">
        <v>1</v>
      </c>
      <c r="G251" s="5">
        <v>3</v>
      </c>
      <c r="H251" s="2">
        <f t="shared" si="12"/>
        <v>11</v>
      </c>
    </row>
    <row r="252" spans="1:8" x14ac:dyDescent="0.25">
      <c r="A252" s="26">
        <v>10</v>
      </c>
      <c r="B252" s="5">
        <v>6</v>
      </c>
      <c r="C252" s="5">
        <v>5</v>
      </c>
      <c r="D252" s="5"/>
      <c r="E252" s="5"/>
      <c r="F252" s="5">
        <v>2</v>
      </c>
      <c r="G252" s="5"/>
      <c r="H252" s="2">
        <f t="shared" si="12"/>
        <v>14</v>
      </c>
    </row>
    <row r="253" spans="1:8" x14ac:dyDescent="0.25">
      <c r="A253" s="26">
        <v>11</v>
      </c>
      <c r="B253" s="5">
        <v>5</v>
      </c>
      <c r="C253" s="5">
        <v>7</v>
      </c>
      <c r="D253" s="5"/>
      <c r="E253" s="5"/>
      <c r="F253" s="5">
        <v>1</v>
      </c>
      <c r="G253" s="5">
        <v>1</v>
      </c>
      <c r="H253" s="2">
        <f t="shared" si="12"/>
        <v>12</v>
      </c>
    </row>
    <row r="254" spans="1:8" x14ac:dyDescent="0.25">
      <c r="A254" s="26">
        <v>12</v>
      </c>
      <c r="B254" s="5">
        <v>3</v>
      </c>
      <c r="C254" s="5">
        <v>2</v>
      </c>
      <c r="D254" s="5"/>
      <c r="E254" s="5"/>
      <c r="F254" s="5">
        <v>1</v>
      </c>
      <c r="G254" s="5">
        <v>3</v>
      </c>
      <c r="H254" s="2">
        <f t="shared" si="12"/>
        <v>11</v>
      </c>
    </row>
    <row r="255" spans="1:8" x14ac:dyDescent="0.25">
      <c r="A255" s="26">
        <v>13</v>
      </c>
      <c r="B255" s="5">
        <v>8</v>
      </c>
      <c r="C255" s="5">
        <v>8</v>
      </c>
      <c r="D255" s="5"/>
      <c r="E255" s="5"/>
      <c r="F255" s="5">
        <v>1</v>
      </c>
      <c r="G255" s="5">
        <v>2</v>
      </c>
      <c r="H255" s="2">
        <f t="shared" si="12"/>
        <v>10</v>
      </c>
    </row>
    <row r="256" spans="1:8" x14ac:dyDescent="0.25">
      <c r="A256" s="26">
        <v>14</v>
      </c>
      <c r="B256" s="5">
        <v>4</v>
      </c>
      <c r="C256" s="5">
        <v>1</v>
      </c>
      <c r="D256" s="5"/>
      <c r="E256" s="5"/>
      <c r="F256" s="5">
        <v>2</v>
      </c>
      <c r="G256" s="5">
        <v>1</v>
      </c>
      <c r="H256" s="2">
        <f t="shared" si="12"/>
        <v>14</v>
      </c>
    </row>
    <row r="257" spans="1:8" x14ac:dyDescent="0.25">
      <c r="A257" s="26">
        <v>15</v>
      </c>
      <c r="B257" s="5">
        <v>4</v>
      </c>
      <c r="C257" s="5">
        <v>6</v>
      </c>
      <c r="D257" s="5"/>
      <c r="E257" s="5"/>
      <c r="F257" s="5"/>
      <c r="G257" s="5">
        <v>2</v>
      </c>
      <c r="H257" s="2">
        <f t="shared" si="12"/>
        <v>10</v>
      </c>
    </row>
    <row r="258" spans="1:8" x14ac:dyDescent="0.25">
      <c r="A258" s="26">
        <v>16</v>
      </c>
      <c r="B258" s="5">
        <v>8</v>
      </c>
      <c r="C258" s="5">
        <v>4</v>
      </c>
      <c r="D258" s="5"/>
      <c r="E258" s="5"/>
      <c r="F258" s="5"/>
      <c r="G258" s="5">
        <v>3</v>
      </c>
      <c r="H258" s="2">
        <f t="shared" si="12"/>
        <v>11</v>
      </c>
    </row>
    <row r="259" spans="1:8" x14ac:dyDescent="0.25">
      <c r="A259" s="26">
        <v>17</v>
      </c>
      <c r="B259" s="5">
        <v>9</v>
      </c>
      <c r="C259" s="5">
        <v>2</v>
      </c>
      <c r="D259" s="5"/>
      <c r="E259" s="5"/>
      <c r="F259" s="5"/>
      <c r="G259" s="5"/>
      <c r="H259" s="2">
        <f t="shared" si="12"/>
        <v>18</v>
      </c>
    </row>
    <row r="260" spans="1:8" x14ac:dyDescent="0.25">
      <c r="A260" s="26">
        <v>18</v>
      </c>
      <c r="B260" s="5">
        <v>4</v>
      </c>
      <c r="C260" s="5">
        <v>8</v>
      </c>
      <c r="D260" s="5"/>
      <c r="E260" s="5"/>
      <c r="F260" s="5">
        <v>1</v>
      </c>
      <c r="G260" s="5">
        <v>3</v>
      </c>
      <c r="H260" s="2">
        <f t="shared" si="12"/>
        <v>12</v>
      </c>
    </row>
    <row r="261" spans="1:8" x14ac:dyDescent="0.25">
      <c r="A261" s="26">
        <v>19</v>
      </c>
      <c r="B261" s="5">
        <v>2</v>
      </c>
      <c r="C261" s="5">
        <v>6</v>
      </c>
      <c r="D261" s="5"/>
      <c r="E261" s="5"/>
      <c r="F261" s="5">
        <v>1</v>
      </c>
      <c r="G261" s="5">
        <v>1</v>
      </c>
      <c r="H261" s="2">
        <f t="shared" si="12"/>
        <v>8</v>
      </c>
    </row>
    <row r="262" spans="1:8" x14ac:dyDescent="0.25">
      <c r="A262" s="26">
        <v>20</v>
      </c>
      <c r="B262" s="5">
        <v>6</v>
      </c>
      <c r="C262" s="5">
        <v>5</v>
      </c>
      <c r="D262" s="5"/>
      <c r="E262" s="5"/>
      <c r="F262" s="5">
        <v>1</v>
      </c>
      <c r="G262" s="5">
        <v>3</v>
      </c>
      <c r="H262" s="2">
        <f t="shared" si="12"/>
        <v>7</v>
      </c>
    </row>
    <row r="263" spans="1:8" x14ac:dyDescent="0.25">
      <c r="A263" s="26">
        <v>21</v>
      </c>
      <c r="B263" s="5">
        <v>4</v>
      </c>
      <c r="C263" s="5">
        <v>3</v>
      </c>
      <c r="D263" s="5"/>
      <c r="E263" s="5"/>
      <c r="F263" s="5"/>
      <c r="G263" s="5">
        <v>1</v>
      </c>
      <c r="H263" s="2">
        <f t="shared" si="12"/>
        <v>7</v>
      </c>
    </row>
    <row r="264" spans="1:8" s="72" customFormat="1" x14ac:dyDescent="0.25">
      <c r="A264" s="84">
        <v>22</v>
      </c>
      <c r="B264" s="257">
        <v>1</v>
      </c>
      <c r="C264" s="257">
        <v>3</v>
      </c>
      <c r="D264" s="257"/>
      <c r="E264" s="257"/>
      <c r="F264" s="257">
        <v>1</v>
      </c>
      <c r="G264" s="257">
        <v>2</v>
      </c>
      <c r="H264" s="459">
        <f t="shared" si="12"/>
        <v>4</v>
      </c>
    </row>
    <row r="265" spans="1:8" s="314" customFormat="1" x14ac:dyDescent="0.25">
      <c r="A265" s="456">
        <v>23</v>
      </c>
      <c r="B265" s="457">
        <v>4</v>
      </c>
      <c r="C265" s="457">
        <v>2</v>
      </c>
      <c r="D265" s="457"/>
      <c r="E265" s="457"/>
      <c r="F265" s="457"/>
      <c r="G265" s="457">
        <v>3</v>
      </c>
      <c r="H265" s="458">
        <f t="shared" si="12"/>
        <v>3</v>
      </c>
    </row>
    <row r="266" spans="1:8" x14ac:dyDescent="0.25">
      <c r="A266" s="26">
        <v>24</v>
      </c>
      <c r="B266" s="5">
        <v>2</v>
      </c>
      <c r="C266" s="5">
        <v>1</v>
      </c>
      <c r="D266" s="5"/>
      <c r="E266" s="5"/>
      <c r="F266" s="5">
        <v>1</v>
      </c>
      <c r="G266" s="5"/>
      <c r="H266" s="2">
        <f t="shared" si="12"/>
        <v>5</v>
      </c>
    </row>
    <row r="267" spans="1:8" x14ac:dyDescent="0.25">
      <c r="A267" s="26">
        <v>25</v>
      </c>
      <c r="B267" s="5">
        <v>6</v>
      </c>
      <c r="C267" s="5">
        <v>4</v>
      </c>
      <c r="D267" s="5"/>
      <c r="E267" s="5"/>
      <c r="F267" s="5"/>
      <c r="G267" s="5">
        <v>1</v>
      </c>
      <c r="H267" s="2">
        <f t="shared" si="12"/>
        <v>6</v>
      </c>
    </row>
    <row r="268" spans="1:8" x14ac:dyDescent="0.25">
      <c r="A268" s="26">
        <v>26</v>
      </c>
      <c r="B268" s="5">
        <v>3</v>
      </c>
      <c r="C268" s="5">
        <v>2</v>
      </c>
      <c r="D268" s="5"/>
      <c r="E268" s="5"/>
      <c r="F268" s="5">
        <v>1</v>
      </c>
      <c r="G268" s="5">
        <v>2</v>
      </c>
      <c r="H268" s="2">
        <f t="shared" si="12"/>
        <v>6</v>
      </c>
    </row>
    <row r="269" spans="1:8" x14ac:dyDescent="0.25">
      <c r="A269" s="26">
        <v>27</v>
      </c>
      <c r="B269" s="5">
        <v>4</v>
      </c>
      <c r="C269" s="5">
        <v>3</v>
      </c>
      <c r="D269" s="5"/>
      <c r="E269" s="5"/>
      <c r="F269" s="5"/>
      <c r="G269" s="5"/>
      <c r="H269" s="2">
        <f t="shared" si="12"/>
        <v>7</v>
      </c>
    </row>
    <row r="270" spans="1:8" x14ac:dyDescent="0.25">
      <c r="A270" s="26">
        <v>28</v>
      </c>
      <c r="B270" s="5"/>
      <c r="C270" s="5">
        <v>4</v>
      </c>
      <c r="D270" s="5"/>
      <c r="E270" s="5"/>
      <c r="F270" s="5"/>
      <c r="G270" s="5"/>
      <c r="H270" s="2">
        <f t="shared" si="12"/>
        <v>3</v>
      </c>
    </row>
    <row r="271" spans="1:8" x14ac:dyDescent="0.25">
      <c r="A271" s="26">
        <v>29</v>
      </c>
      <c r="B271" s="5">
        <v>5</v>
      </c>
      <c r="C271" s="5">
        <v>2</v>
      </c>
      <c r="D271" s="5"/>
      <c r="E271" s="5"/>
      <c r="F271" s="5">
        <v>2</v>
      </c>
      <c r="G271" s="5"/>
      <c r="H271" s="2">
        <f t="shared" si="12"/>
        <v>8</v>
      </c>
    </row>
    <row r="272" spans="1:8" x14ac:dyDescent="0.25">
      <c r="A272" s="11">
        <v>30</v>
      </c>
      <c r="B272" s="5">
        <v>4</v>
      </c>
      <c r="C272" s="5">
        <v>2</v>
      </c>
      <c r="D272" s="5"/>
      <c r="E272" s="5"/>
      <c r="F272" s="5"/>
      <c r="G272" s="5">
        <v>2</v>
      </c>
      <c r="H272" s="5">
        <f t="shared" si="12"/>
        <v>8</v>
      </c>
    </row>
    <row r="273" spans="1:8" ht="15.75" thickBot="1" x14ac:dyDescent="0.3">
      <c r="A273" s="63">
        <v>31</v>
      </c>
      <c r="B273" s="29">
        <v>5</v>
      </c>
      <c r="C273" s="29">
        <v>3</v>
      </c>
      <c r="D273" s="29"/>
      <c r="E273" s="29"/>
      <c r="F273" s="29"/>
      <c r="G273" s="29">
        <v>1</v>
      </c>
      <c r="H273" s="5">
        <f t="shared" si="12"/>
        <v>9</v>
      </c>
    </row>
    <row r="274" spans="1:8" ht="15.75" thickBot="1" x14ac:dyDescent="0.3">
      <c r="A274" s="60" t="s">
        <v>35</v>
      </c>
      <c r="B274" s="58">
        <f>SUM(B243:B273)-E274</f>
        <v>133</v>
      </c>
      <c r="C274" s="58">
        <f t="shared" ref="C274:H274" si="13">SUM(C243:C273)</f>
        <v>103</v>
      </c>
      <c r="D274" s="58">
        <f t="shared" si="13"/>
        <v>0</v>
      </c>
      <c r="E274" s="58">
        <f t="shared" si="13"/>
        <v>0</v>
      </c>
      <c r="F274" s="58">
        <f t="shared" si="13"/>
        <v>22</v>
      </c>
      <c r="G274" s="58">
        <f t="shared" si="13"/>
        <v>46</v>
      </c>
      <c r="H274" s="58">
        <f t="shared" si="13"/>
        <v>249</v>
      </c>
    </row>
    <row r="277" spans="1:8" ht="36" x14ac:dyDescent="0.55000000000000004">
      <c r="A277" s="605" t="s">
        <v>1</v>
      </c>
      <c r="B277" s="605"/>
      <c r="C277" s="605"/>
      <c r="D277" s="605"/>
      <c r="E277" s="605"/>
      <c r="F277" s="605"/>
      <c r="G277" s="605"/>
      <c r="H277" s="605"/>
    </row>
    <row r="278" spans="1:8" ht="27" thickBot="1" x14ac:dyDescent="0.45">
      <c r="A278" s="606" t="s">
        <v>0</v>
      </c>
      <c r="B278" s="606"/>
      <c r="C278" s="606"/>
      <c r="D278" s="606"/>
      <c r="E278" s="606"/>
      <c r="F278" s="606"/>
      <c r="G278" s="606"/>
      <c r="H278" s="606"/>
    </row>
    <row r="279" spans="1:8" ht="15.75" x14ac:dyDescent="0.25">
      <c r="A279" s="39" t="s">
        <v>2</v>
      </c>
      <c r="B279" s="19" t="s">
        <v>3</v>
      </c>
      <c r="C279" s="20"/>
      <c r="D279" s="21" t="s">
        <v>52</v>
      </c>
      <c r="E279" s="607" t="s">
        <v>56</v>
      </c>
      <c r="F279" s="608"/>
      <c r="G279" s="19" t="s">
        <v>16</v>
      </c>
      <c r="H279" s="32" t="s">
        <v>62</v>
      </c>
    </row>
    <row r="280" spans="1:8" ht="15.75" x14ac:dyDescent="0.25">
      <c r="A280" s="609" t="s">
        <v>6</v>
      </c>
      <c r="B280" s="610"/>
      <c r="C280" s="610"/>
      <c r="D280" s="610"/>
      <c r="E280" s="610"/>
      <c r="F280" s="611"/>
      <c r="G280" s="1"/>
      <c r="H280" s="2">
        <f>H273</f>
        <v>9</v>
      </c>
    </row>
    <row r="281" spans="1:8" ht="15.75" x14ac:dyDescent="0.25">
      <c r="A281" s="3" t="s">
        <v>7</v>
      </c>
      <c r="B281" s="1"/>
      <c r="C281" s="1"/>
      <c r="D281" s="1"/>
      <c r="E281" s="1"/>
      <c r="F281" s="1"/>
      <c r="G281" s="1"/>
      <c r="H281" s="2">
        <v>14</v>
      </c>
    </row>
    <row r="282" spans="1:8" ht="51.75" thickBot="1" x14ac:dyDescent="0.3">
      <c r="A282" s="40" t="s">
        <v>8</v>
      </c>
      <c r="B282" s="41" t="s">
        <v>9</v>
      </c>
      <c r="C282" s="41" t="s">
        <v>10</v>
      </c>
      <c r="D282" s="41" t="s">
        <v>11</v>
      </c>
      <c r="E282" s="41" t="s">
        <v>12</v>
      </c>
      <c r="F282" s="41" t="s">
        <v>13</v>
      </c>
      <c r="G282" s="41" t="s">
        <v>14</v>
      </c>
      <c r="H282" s="42" t="s">
        <v>15</v>
      </c>
    </row>
    <row r="283" spans="1:8" x14ac:dyDescent="0.25">
      <c r="A283" s="36">
        <v>1</v>
      </c>
      <c r="B283" s="37">
        <v>1</v>
      </c>
      <c r="C283" s="37">
        <v>4</v>
      </c>
      <c r="D283" s="37"/>
      <c r="E283" s="37"/>
      <c r="F283" s="37">
        <v>2</v>
      </c>
      <c r="G283" s="37">
        <v>2</v>
      </c>
      <c r="H283" s="38">
        <f>H280+B283+F283-(C283+D283+G283)-E283</f>
        <v>6</v>
      </c>
    </row>
    <row r="284" spans="1:8" x14ac:dyDescent="0.25">
      <c r="A284" s="26">
        <v>2</v>
      </c>
      <c r="B284" s="5">
        <v>2</v>
      </c>
      <c r="C284" s="5">
        <v>1</v>
      </c>
      <c r="D284" s="5"/>
      <c r="E284" s="5"/>
      <c r="F284" s="5">
        <v>2</v>
      </c>
      <c r="G284" s="5">
        <v>1</v>
      </c>
      <c r="H284" s="2">
        <f>H283+B284+F284-(C284+D284+G284)-E284</f>
        <v>8</v>
      </c>
    </row>
    <row r="285" spans="1:8" x14ac:dyDescent="0.25">
      <c r="A285" s="26">
        <v>3</v>
      </c>
      <c r="B285" s="5"/>
      <c r="C285" s="5">
        <v>4</v>
      </c>
      <c r="D285" s="5"/>
      <c r="E285" s="5"/>
      <c r="F285" s="5"/>
      <c r="G285" s="5">
        <v>1</v>
      </c>
      <c r="H285" s="2">
        <f>H284+B285+F285-(C285+D285+G285)-E285</f>
        <v>3</v>
      </c>
    </row>
    <row r="286" spans="1:8" x14ac:dyDescent="0.25">
      <c r="A286" s="26">
        <v>4</v>
      </c>
      <c r="B286" s="5">
        <v>6</v>
      </c>
      <c r="C286" s="5"/>
      <c r="D286" s="5"/>
      <c r="E286" s="5"/>
      <c r="F286" s="5">
        <v>1</v>
      </c>
      <c r="G286" s="5">
        <v>2</v>
      </c>
      <c r="H286" s="2">
        <f t="shared" ref="H286:H313" si="14">H285+B286+F286-(C286+D286+G286)-E286</f>
        <v>8</v>
      </c>
    </row>
    <row r="287" spans="1:8" x14ac:dyDescent="0.25">
      <c r="A287" s="26">
        <v>5</v>
      </c>
      <c r="B287" s="5">
        <v>10</v>
      </c>
      <c r="C287" s="5">
        <v>2</v>
      </c>
      <c r="D287" s="5"/>
      <c r="E287" s="5"/>
      <c r="F287" s="5">
        <v>4</v>
      </c>
      <c r="G287" s="5">
        <v>1</v>
      </c>
      <c r="H287" s="2">
        <f t="shared" si="14"/>
        <v>19</v>
      </c>
    </row>
    <row r="288" spans="1:8" x14ac:dyDescent="0.25">
      <c r="A288" s="26">
        <v>6</v>
      </c>
      <c r="B288" s="5">
        <v>6</v>
      </c>
      <c r="C288" s="5">
        <v>5</v>
      </c>
      <c r="D288" s="5"/>
      <c r="E288" s="5"/>
      <c r="F288" s="5">
        <v>1</v>
      </c>
      <c r="G288" s="5">
        <v>4</v>
      </c>
      <c r="H288" s="2">
        <f t="shared" si="14"/>
        <v>17</v>
      </c>
    </row>
    <row r="289" spans="1:8" x14ac:dyDescent="0.25">
      <c r="A289" s="26">
        <v>7</v>
      </c>
      <c r="B289" s="5">
        <v>6</v>
      </c>
      <c r="C289" s="5">
        <v>4</v>
      </c>
      <c r="D289" s="5"/>
      <c r="E289" s="5"/>
      <c r="F289" s="5">
        <v>2</v>
      </c>
      <c r="G289" s="5">
        <v>4</v>
      </c>
      <c r="H289" s="2">
        <f t="shared" si="14"/>
        <v>17</v>
      </c>
    </row>
    <row r="290" spans="1:8" x14ac:dyDescent="0.25">
      <c r="A290" s="26">
        <v>8</v>
      </c>
      <c r="B290" s="5">
        <v>4</v>
      </c>
      <c r="C290" s="5">
        <v>9</v>
      </c>
      <c r="D290" s="5"/>
      <c r="E290" s="5"/>
      <c r="F290" s="5"/>
      <c r="G290" s="5">
        <v>3</v>
      </c>
      <c r="H290" s="2">
        <f t="shared" si="14"/>
        <v>9</v>
      </c>
    </row>
    <row r="291" spans="1:8" x14ac:dyDescent="0.25">
      <c r="A291" s="26">
        <v>9</v>
      </c>
      <c r="B291" s="5">
        <v>8</v>
      </c>
      <c r="C291" s="5">
        <v>3</v>
      </c>
      <c r="D291" s="5"/>
      <c r="E291" s="5"/>
      <c r="F291" s="5">
        <v>1</v>
      </c>
      <c r="G291" s="5">
        <v>4</v>
      </c>
      <c r="H291" s="2">
        <f t="shared" si="14"/>
        <v>11</v>
      </c>
    </row>
    <row r="292" spans="1:8" x14ac:dyDescent="0.25">
      <c r="A292" s="26">
        <v>10</v>
      </c>
      <c r="B292" s="5">
        <v>1</v>
      </c>
      <c r="C292" s="5">
        <v>7</v>
      </c>
      <c r="D292" s="5"/>
      <c r="E292" s="5"/>
      <c r="F292" s="5">
        <v>1</v>
      </c>
      <c r="G292" s="5">
        <v>1</v>
      </c>
      <c r="H292" s="2">
        <f t="shared" si="14"/>
        <v>5</v>
      </c>
    </row>
    <row r="293" spans="1:8" x14ac:dyDescent="0.25">
      <c r="A293" s="26">
        <v>11</v>
      </c>
      <c r="B293" s="5">
        <v>8</v>
      </c>
      <c r="C293" s="5">
        <v>3</v>
      </c>
      <c r="D293" s="5"/>
      <c r="E293" s="5"/>
      <c r="F293" s="5">
        <v>2</v>
      </c>
      <c r="G293" s="5">
        <v>1</v>
      </c>
      <c r="H293" s="2">
        <f t="shared" si="14"/>
        <v>11</v>
      </c>
    </row>
    <row r="294" spans="1:8" x14ac:dyDescent="0.25">
      <c r="A294" s="26">
        <v>12</v>
      </c>
      <c r="B294" s="5">
        <v>4</v>
      </c>
      <c r="C294" s="5">
        <v>3</v>
      </c>
      <c r="D294" s="5"/>
      <c r="E294" s="5"/>
      <c r="F294" s="5">
        <v>2</v>
      </c>
      <c r="G294" s="5">
        <v>1</v>
      </c>
      <c r="H294" s="2">
        <f t="shared" si="14"/>
        <v>13</v>
      </c>
    </row>
    <row r="295" spans="1:8" x14ac:dyDescent="0.25">
      <c r="A295" s="26">
        <v>13</v>
      </c>
      <c r="B295" s="5">
        <v>5</v>
      </c>
      <c r="C295" s="5">
        <v>6</v>
      </c>
      <c r="D295" s="5"/>
      <c r="E295" s="5"/>
      <c r="F295" s="5">
        <v>1</v>
      </c>
      <c r="G295" s="5">
        <v>1</v>
      </c>
      <c r="H295" s="2">
        <f t="shared" si="14"/>
        <v>12</v>
      </c>
    </row>
    <row r="296" spans="1:8" x14ac:dyDescent="0.25">
      <c r="A296" s="26">
        <v>14</v>
      </c>
      <c r="B296" s="5">
        <v>3</v>
      </c>
      <c r="C296" s="5">
        <v>6</v>
      </c>
      <c r="D296" s="5"/>
      <c r="E296" s="5"/>
      <c r="F296" s="5"/>
      <c r="G296" s="5">
        <v>3</v>
      </c>
      <c r="H296" s="2">
        <f t="shared" si="14"/>
        <v>6</v>
      </c>
    </row>
    <row r="297" spans="1:8" x14ac:dyDescent="0.25">
      <c r="A297" s="26">
        <v>15</v>
      </c>
      <c r="B297" s="5">
        <v>5</v>
      </c>
      <c r="C297" s="5">
        <v>2</v>
      </c>
      <c r="D297" s="5"/>
      <c r="E297" s="5"/>
      <c r="F297" s="5">
        <v>3</v>
      </c>
      <c r="G297" s="5">
        <v>1</v>
      </c>
      <c r="H297" s="2">
        <f t="shared" si="14"/>
        <v>11</v>
      </c>
    </row>
    <row r="298" spans="1:8" x14ac:dyDescent="0.25">
      <c r="A298" s="26">
        <v>16</v>
      </c>
      <c r="B298" s="5">
        <v>2</v>
      </c>
      <c r="C298" s="5">
        <v>1</v>
      </c>
      <c r="D298" s="5"/>
      <c r="E298" s="5"/>
      <c r="F298" s="5">
        <v>1</v>
      </c>
      <c r="G298" s="5">
        <v>4</v>
      </c>
      <c r="H298" s="2">
        <f t="shared" si="14"/>
        <v>9</v>
      </c>
    </row>
    <row r="299" spans="1:8" x14ac:dyDescent="0.25">
      <c r="A299" s="26">
        <v>17</v>
      </c>
      <c r="B299" s="5">
        <v>2</v>
      </c>
      <c r="C299" s="5">
        <v>4</v>
      </c>
      <c r="D299" s="5"/>
      <c r="E299" s="5"/>
      <c r="F299" s="5">
        <v>1</v>
      </c>
      <c r="G299" s="5">
        <v>2</v>
      </c>
      <c r="H299" s="2">
        <f t="shared" si="14"/>
        <v>6</v>
      </c>
    </row>
    <row r="300" spans="1:8" x14ac:dyDescent="0.25">
      <c r="A300" s="26">
        <v>18</v>
      </c>
      <c r="B300" s="5">
        <v>7</v>
      </c>
      <c r="C300" s="5">
        <v>1</v>
      </c>
      <c r="D300" s="5"/>
      <c r="E300" s="5"/>
      <c r="F300" s="5">
        <v>1</v>
      </c>
      <c r="G300" s="5">
        <v>1</v>
      </c>
      <c r="H300" s="2">
        <f t="shared" si="14"/>
        <v>12</v>
      </c>
    </row>
    <row r="301" spans="1:8" x14ac:dyDescent="0.25">
      <c r="A301" s="26">
        <v>19</v>
      </c>
      <c r="B301" s="5">
        <v>3</v>
      </c>
      <c r="C301" s="5">
        <v>4</v>
      </c>
      <c r="D301" s="5"/>
      <c r="E301" s="5"/>
      <c r="F301" s="5"/>
      <c r="G301" s="5">
        <v>2</v>
      </c>
      <c r="H301" s="2">
        <f t="shared" si="14"/>
        <v>9</v>
      </c>
    </row>
    <row r="302" spans="1:8" x14ac:dyDescent="0.25">
      <c r="A302" s="26">
        <v>20</v>
      </c>
      <c r="B302" s="5">
        <v>2</v>
      </c>
      <c r="C302" s="5">
        <v>3</v>
      </c>
      <c r="D302" s="5"/>
      <c r="E302" s="5"/>
      <c r="F302" s="5">
        <v>1</v>
      </c>
      <c r="G302" s="5">
        <v>2</v>
      </c>
      <c r="H302" s="2">
        <f t="shared" si="14"/>
        <v>7</v>
      </c>
    </row>
    <row r="303" spans="1:8" x14ac:dyDescent="0.25">
      <c r="A303" s="26">
        <v>21</v>
      </c>
      <c r="B303" s="5">
        <v>1</v>
      </c>
      <c r="C303" s="5">
        <v>4</v>
      </c>
      <c r="D303" s="5"/>
      <c r="E303" s="5"/>
      <c r="F303" s="5">
        <v>1</v>
      </c>
      <c r="G303" s="5"/>
      <c r="H303" s="2">
        <f t="shared" si="14"/>
        <v>5</v>
      </c>
    </row>
    <row r="304" spans="1:8" x14ac:dyDescent="0.25">
      <c r="A304" s="26">
        <v>22</v>
      </c>
      <c r="B304" s="5">
        <v>4</v>
      </c>
      <c r="C304" s="5">
        <v>1</v>
      </c>
      <c r="D304" s="5"/>
      <c r="E304" s="5"/>
      <c r="F304" s="5">
        <v>3</v>
      </c>
      <c r="G304" s="5">
        <v>1</v>
      </c>
      <c r="H304" s="2">
        <f t="shared" si="14"/>
        <v>10</v>
      </c>
    </row>
    <row r="305" spans="1:8" x14ac:dyDescent="0.25">
      <c r="A305" s="26">
        <v>23</v>
      </c>
      <c r="B305" s="5">
        <v>2</v>
      </c>
      <c r="C305" s="5">
        <v>2</v>
      </c>
      <c r="D305" s="5"/>
      <c r="E305" s="5"/>
      <c r="F305" s="5"/>
      <c r="G305" s="5">
        <v>1</v>
      </c>
      <c r="H305" s="2">
        <f t="shared" si="14"/>
        <v>9</v>
      </c>
    </row>
    <row r="306" spans="1:8" x14ac:dyDescent="0.25">
      <c r="A306" s="26">
        <v>24</v>
      </c>
      <c r="B306" s="5">
        <v>5</v>
      </c>
      <c r="C306" s="5">
        <v>4</v>
      </c>
      <c r="D306" s="5"/>
      <c r="E306" s="5"/>
      <c r="F306" s="5">
        <v>1</v>
      </c>
      <c r="G306" s="5">
        <v>3</v>
      </c>
      <c r="H306" s="2">
        <f t="shared" si="14"/>
        <v>8</v>
      </c>
    </row>
    <row r="307" spans="1:8" x14ac:dyDescent="0.25">
      <c r="A307" s="26">
        <v>25</v>
      </c>
      <c r="B307" s="5">
        <v>6</v>
      </c>
      <c r="C307" s="5">
        <v>4</v>
      </c>
      <c r="D307" s="5"/>
      <c r="E307" s="5"/>
      <c r="F307" s="5"/>
      <c r="G307" s="5">
        <v>2</v>
      </c>
      <c r="H307" s="2">
        <f t="shared" si="14"/>
        <v>8</v>
      </c>
    </row>
    <row r="308" spans="1:8" x14ac:dyDescent="0.25">
      <c r="A308" s="26">
        <v>26</v>
      </c>
      <c r="B308" s="5">
        <v>5</v>
      </c>
      <c r="C308" s="5">
        <v>4</v>
      </c>
      <c r="D308" s="5"/>
      <c r="E308" s="5"/>
      <c r="F308" s="5"/>
      <c r="G308" s="5">
        <v>3</v>
      </c>
      <c r="H308" s="2">
        <f t="shared" si="14"/>
        <v>6</v>
      </c>
    </row>
    <row r="309" spans="1:8" x14ac:dyDescent="0.25">
      <c r="A309" s="26">
        <v>27</v>
      </c>
      <c r="B309" s="5">
        <v>4</v>
      </c>
      <c r="C309" s="5"/>
      <c r="D309" s="5"/>
      <c r="E309" s="5"/>
      <c r="F309" s="5">
        <v>1</v>
      </c>
      <c r="G309" s="5">
        <v>1</v>
      </c>
      <c r="H309" s="2">
        <f t="shared" si="14"/>
        <v>10</v>
      </c>
    </row>
    <row r="310" spans="1:8" x14ac:dyDescent="0.25">
      <c r="A310" s="26">
        <v>28</v>
      </c>
      <c r="B310" s="5">
        <v>3</v>
      </c>
      <c r="C310" s="5">
        <v>4</v>
      </c>
      <c r="D310" s="5"/>
      <c r="E310" s="5"/>
      <c r="F310" s="5">
        <v>1</v>
      </c>
      <c r="G310" s="5">
        <v>3</v>
      </c>
      <c r="H310" s="2">
        <f t="shared" si="14"/>
        <v>7</v>
      </c>
    </row>
    <row r="311" spans="1:8" x14ac:dyDescent="0.25">
      <c r="A311" s="26">
        <v>29</v>
      </c>
      <c r="B311" s="5">
        <v>5</v>
      </c>
      <c r="C311" s="5">
        <v>2</v>
      </c>
      <c r="D311" s="5"/>
      <c r="E311" s="5"/>
      <c r="F311" s="5">
        <v>3</v>
      </c>
      <c r="G311" s="5">
        <v>3</v>
      </c>
      <c r="H311" s="2">
        <f t="shared" si="14"/>
        <v>10</v>
      </c>
    </row>
    <row r="312" spans="1:8" x14ac:dyDescent="0.25">
      <c r="A312" s="11">
        <v>30</v>
      </c>
      <c r="B312" s="5">
        <v>5</v>
      </c>
      <c r="C312" s="5">
        <v>8</v>
      </c>
      <c r="D312" s="5"/>
      <c r="E312" s="5"/>
      <c r="F312" s="5"/>
      <c r="G312" s="5"/>
      <c r="H312" s="5">
        <f t="shared" si="14"/>
        <v>7</v>
      </c>
    </row>
    <row r="313" spans="1:8" ht="15.75" thickBot="1" x14ac:dyDescent="0.3">
      <c r="A313" s="63">
        <v>31</v>
      </c>
      <c r="B313" s="29">
        <v>3</v>
      </c>
      <c r="C313" s="29">
        <v>3</v>
      </c>
      <c r="D313" s="29"/>
      <c r="E313" s="29"/>
      <c r="F313" s="29"/>
      <c r="G313" s="29">
        <v>1</v>
      </c>
      <c r="H313" s="5">
        <f t="shared" si="14"/>
        <v>6</v>
      </c>
    </row>
    <row r="314" spans="1:8" ht="15.75" thickBot="1" x14ac:dyDescent="0.3">
      <c r="A314" s="60" t="s">
        <v>35</v>
      </c>
      <c r="B314" s="58">
        <f>SUM(B283:B313)-E314</f>
        <v>128</v>
      </c>
      <c r="C314" s="58">
        <f t="shared" ref="C314:H314" si="15">SUM(C283:C313)</f>
        <v>108</v>
      </c>
      <c r="D314" s="58">
        <f t="shared" si="15"/>
        <v>0</v>
      </c>
      <c r="E314" s="58">
        <f t="shared" si="15"/>
        <v>0</v>
      </c>
      <c r="F314" s="58">
        <f t="shared" si="15"/>
        <v>36</v>
      </c>
      <c r="G314" s="58">
        <f t="shared" si="15"/>
        <v>59</v>
      </c>
      <c r="H314" s="58">
        <f t="shared" si="15"/>
        <v>285</v>
      </c>
    </row>
    <row r="317" spans="1:8" ht="36" x14ac:dyDescent="0.55000000000000004">
      <c r="A317" s="605" t="s">
        <v>1</v>
      </c>
      <c r="B317" s="605"/>
      <c r="C317" s="605"/>
      <c r="D317" s="605"/>
      <c r="E317" s="605"/>
      <c r="F317" s="605"/>
      <c r="G317" s="605"/>
      <c r="H317" s="605"/>
    </row>
    <row r="318" spans="1:8" ht="27" thickBot="1" x14ac:dyDescent="0.45">
      <c r="A318" s="606" t="s">
        <v>0</v>
      </c>
      <c r="B318" s="606"/>
      <c r="C318" s="606"/>
      <c r="D318" s="606"/>
      <c r="E318" s="606"/>
      <c r="F318" s="606"/>
      <c r="G318" s="606"/>
      <c r="H318" s="606"/>
    </row>
    <row r="319" spans="1:8" ht="15.75" x14ac:dyDescent="0.25">
      <c r="A319" s="39" t="s">
        <v>2</v>
      </c>
      <c r="B319" s="19" t="s">
        <v>3</v>
      </c>
      <c r="C319" s="20"/>
      <c r="D319" s="21" t="s">
        <v>52</v>
      </c>
      <c r="E319" s="607" t="s">
        <v>56</v>
      </c>
      <c r="F319" s="608"/>
      <c r="G319" s="19" t="s">
        <v>16</v>
      </c>
      <c r="H319" s="32" t="s">
        <v>63</v>
      </c>
    </row>
    <row r="320" spans="1:8" ht="15.75" x14ac:dyDescent="0.25">
      <c r="A320" s="609" t="s">
        <v>6</v>
      </c>
      <c r="B320" s="610"/>
      <c r="C320" s="610"/>
      <c r="D320" s="610"/>
      <c r="E320" s="610"/>
      <c r="F320" s="611"/>
      <c r="G320" s="1"/>
      <c r="H320" s="2">
        <f>H313</f>
        <v>6</v>
      </c>
    </row>
    <row r="321" spans="1:8" ht="15.75" x14ac:dyDescent="0.25">
      <c r="A321" s="3" t="s">
        <v>7</v>
      </c>
      <c r="B321" s="1"/>
      <c r="C321" s="1"/>
      <c r="D321" s="1"/>
      <c r="E321" s="1"/>
      <c r="F321" s="1"/>
      <c r="G321" s="1"/>
      <c r="H321" s="2">
        <v>14</v>
      </c>
    </row>
    <row r="322" spans="1:8" ht="51.75" thickBot="1" x14ac:dyDescent="0.3">
      <c r="A322" s="40" t="s">
        <v>8</v>
      </c>
      <c r="B322" s="41" t="s">
        <v>9</v>
      </c>
      <c r="C322" s="41" t="s">
        <v>10</v>
      </c>
      <c r="D322" s="41" t="s">
        <v>11</v>
      </c>
      <c r="E322" s="41" t="s">
        <v>12</v>
      </c>
      <c r="F322" s="41" t="s">
        <v>13</v>
      </c>
      <c r="G322" s="41" t="s">
        <v>14</v>
      </c>
      <c r="H322" s="42" t="s">
        <v>15</v>
      </c>
    </row>
    <row r="323" spans="1:8" x14ac:dyDescent="0.25">
      <c r="A323" s="36">
        <v>1</v>
      </c>
      <c r="B323" s="37">
        <v>8</v>
      </c>
      <c r="C323" s="37">
        <v>4</v>
      </c>
      <c r="D323" s="37"/>
      <c r="E323" s="37"/>
      <c r="F323" s="37"/>
      <c r="G323" s="37"/>
      <c r="H323" s="38">
        <f>H320+B323+F323-(C323+D323+G323)-E323</f>
        <v>10</v>
      </c>
    </row>
    <row r="324" spans="1:8" x14ac:dyDescent="0.25">
      <c r="A324" s="26">
        <v>2</v>
      </c>
      <c r="B324" s="5">
        <v>4</v>
      </c>
      <c r="C324" s="5">
        <v>3</v>
      </c>
      <c r="D324" s="5"/>
      <c r="E324" s="5"/>
      <c r="F324" s="5">
        <v>1</v>
      </c>
      <c r="G324" s="5">
        <v>3</v>
      </c>
      <c r="H324" s="2">
        <f>H323+B324+F324-(C324+D324+G324)-E324</f>
        <v>9</v>
      </c>
    </row>
    <row r="325" spans="1:8" x14ac:dyDescent="0.25">
      <c r="A325" s="26">
        <v>3</v>
      </c>
      <c r="B325" s="5">
        <v>6</v>
      </c>
      <c r="C325" s="5">
        <v>2</v>
      </c>
      <c r="D325" s="5"/>
      <c r="E325" s="5"/>
      <c r="F325" s="5">
        <v>3</v>
      </c>
      <c r="G325" s="5">
        <v>1</v>
      </c>
      <c r="H325" s="2">
        <f>H324+B325+F325-(C325+D325+G325)-E325</f>
        <v>15</v>
      </c>
    </row>
    <row r="326" spans="1:8" x14ac:dyDescent="0.25">
      <c r="A326" s="26">
        <v>4</v>
      </c>
      <c r="B326" s="5">
        <v>5</v>
      </c>
      <c r="C326" s="5">
        <v>9</v>
      </c>
      <c r="D326" s="5"/>
      <c r="E326" s="5"/>
      <c r="F326" s="5">
        <v>2</v>
      </c>
      <c r="G326" s="5"/>
      <c r="H326" s="2">
        <f t="shared" ref="H326:H352" si="16">H325+B326+F326-(C326+D326+G326)-E326</f>
        <v>13</v>
      </c>
    </row>
    <row r="327" spans="1:8" x14ac:dyDescent="0.25">
      <c r="A327" s="26">
        <v>5</v>
      </c>
      <c r="B327" s="5">
        <v>4</v>
      </c>
      <c r="C327" s="5">
        <v>6</v>
      </c>
      <c r="D327" s="5"/>
      <c r="E327" s="5"/>
      <c r="F327" s="5"/>
      <c r="G327" s="5">
        <v>1</v>
      </c>
      <c r="H327" s="2">
        <f t="shared" si="16"/>
        <v>10</v>
      </c>
    </row>
    <row r="328" spans="1:8" x14ac:dyDescent="0.25">
      <c r="A328" s="26">
        <v>6</v>
      </c>
      <c r="B328" s="5">
        <v>1</v>
      </c>
      <c r="C328" s="5">
        <v>6</v>
      </c>
      <c r="D328" s="5"/>
      <c r="E328" s="5"/>
      <c r="F328" s="5"/>
      <c r="G328" s="5"/>
      <c r="H328" s="2">
        <f t="shared" si="16"/>
        <v>5</v>
      </c>
    </row>
    <row r="329" spans="1:8" x14ac:dyDescent="0.25">
      <c r="A329" s="26">
        <v>7</v>
      </c>
      <c r="B329" s="5">
        <v>5</v>
      </c>
      <c r="C329" s="5">
        <v>1</v>
      </c>
      <c r="D329" s="5"/>
      <c r="E329" s="5"/>
      <c r="F329" s="5">
        <v>1</v>
      </c>
      <c r="G329" s="5">
        <v>2</v>
      </c>
      <c r="H329" s="2">
        <f t="shared" si="16"/>
        <v>8</v>
      </c>
    </row>
    <row r="330" spans="1:8" x14ac:dyDescent="0.25">
      <c r="A330" s="26">
        <v>8</v>
      </c>
      <c r="B330" s="5">
        <v>6</v>
      </c>
      <c r="C330" s="5">
        <v>2</v>
      </c>
      <c r="D330" s="5"/>
      <c r="E330" s="5"/>
      <c r="F330" s="5">
        <v>1</v>
      </c>
      <c r="G330" s="5"/>
      <c r="H330" s="2">
        <f t="shared" si="16"/>
        <v>13</v>
      </c>
    </row>
    <row r="331" spans="1:8" x14ac:dyDescent="0.25">
      <c r="A331" s="26">
        <v>9</v>
      </c>
      <c r="B331" s="5">
        <v>4</v>
      </c>
      <c r="C331" s="5">
        <v>2</v>
      </c>
      <c r="D331" s="5"/>
      <c r="E331" s="5"/>
      <c r="F331" s="5">
        <v>2</v>
      </c>
      <c r="G331" s="5">
        <v>3</v>
      </c>
      <c r="H331" s="2">
        <f t="shared" si="16"/>
        <v>14</v>
      </c>
    </row>
    <row r="332" spans="1:8" x14ac:dyDescent="0.25">
      <c r="A332" s="26">
        <v>10</v>
      </c>
      <c r="B332" s="5">
        <v>2</v>
      </c>
      <c r="C332" s="5">
        <v>3</v>
      </c>
      <c r="D332" s="5"/>
      <c r="E332" s="5"/>
      <c r="F332" s="5">
        <v>4</v>
      </c>
      <c r="G332" s="5">
        <v>2</v>
      </c>
      <c r="H332" s="2">
        <f t="shared" si="16"/>
        <v>15</v>
      </c>
    </row>
    <row r="333" spans="1:8" x14ac:dyDescent="0.25">
      <c r="A333" s="26">
        <v>11</v>
      </c>
      <c r="B333" s="5">
        <v>2</v>
      </c>
      <c r="C333" s="5">
        <v>5</v>
      </c>
      <c r="D333" s="5"/>
      <c r="E333" s="5"/>
      <c r="F333" s="5"/>
      <c r="G333" s="5">
        <v>4</v>
      </c>
      <c r="H333" s="2">
        <f t="shared" si="16"/>
        <v>8</v>
      </c>
    </row>
    <row r="334" spans="1:8" x14ac:dyDescent="0.25">
      <c r="A334" s="26">
        <v>12</v>
      </c>
      <c r="B334" s="5">
        <v>7</v>
      </c>
      <c r="C334" s="5"/>
      <c r="D334" s="5"/>
      <c r="E334" s="5"/>
      <c r="F334" s="5"/>
      <c r="G334" s="5">
        <v>1</v>
      </c>
      <c r="H334" s="2">
        <f t="shared" si="16"/>
        <v>14</v>
      </c>
    </row>
    <row r="335" spans="1:8" x14ac:dyDescent="0.25">
      <c r="A335" s="26">
        <v>13</v>
      </c>
      <c r="B335" s="5">
        <v>2</v>
      </c>
      <c r="C335" s="5">
        <v>6</v>
      </c>
      <c r="D335" s="5"/>
      <c r="E335" s="5"/>
      <c r="F335" s="5"/>
      <c r="G335" s="5">
        <v>1</v>
      </c>
      <c r="H335" s="2">
        <f t="shared" si="16"/>
        <v>9</v>
      </c>
    </row>
    <row r="336" spans="1:8" x14ac:dyDescent="0.25">
      <c r="A336" s="26">
        <v>14</v>
      </c>
      <c r="B336" s="5">
        <v>4</v>
      </c>
      <c r="C336" s="5">
        <v>4</v>
      </c>
      <c r="D336" s="5"/>
      <c r="E336" s="5"/>
      <c r="F336" s="5">
        <v>2</v>
      </c>
      <c r="G336" s="5">
        <v>2</v>
      </c>
      <c r="H336" s="2">
        <f t="shared" si="16"/>
        <v>9</v>
      </c>
    </row>
    <row r="337" spans="1:8" x14ac:dyDescent="0.25">
      <c r="A337" s="26">
        <v>15</v>
      </c>
      <c r="B337" s="5">
        <v>11</v>
      </c>
      <c r="C337" s="5">
        <v>4</v>
      </c>
      <c r="D337" s="5"/>
      <c r="E337" s="5"/>
      <c r="F337" s="5"/>
      <c r="G337" s="5">
        <v>1</v>
      </c>
      <c r="H337" s="2">
        <f t="shared" si="16"/>
        <v>15</v>
      </c>
    </row>
    <row r="338" spans="1:8" x14ac:dyDescent="0.25">
      <c r="A338" s="26">
        <v>16</v>
      </c>
      <c r="B338" s="5">
        <v>2</v>
      </c>
      <c r="C338" s="5">
        <v>6</v>
      </c>
      <c r="D338" s="5"/>
      <c r="E338" s="5"/>
      <c r="F338" s="5">
        <v>3</v>
      </c>
      <c r="G338" s="5">
        <v>3</v>
      </c>
      <c r="H338" s="2">
        <f t="shared" si="16"/>
        <v>11</v>
      </c>
    </row>
    <row r="339" spans="1:8" x14ac:dyDescent="0.25">
      <c r="A339" s="26">
        <v>17</v>
      </c>
      <c r="B339" s="5">
        <v>4</v>
      </c>
      <c r="C339" s="5">
        <v>3</v>
      </c>
      <c r="D339" s="5"/>
      <c r="E339" s="5"/>
      <c r="F339" s="5">
        <v>1</v>
      </c>
      <c r="G339" s="5">
        <v>1</v>
      </c>
      <c r="H339" s="2">
        <f t="shared" si="16"/>
        <v>12</v>
      </c>
    </row>
    <row r="340" spans="1:8" x14ac:dyDescent="0.25">
      <c r="A340" s="26">
        <v>18</v>
      </c>
      <c r="B340" s="5">
        <v>4</v>
      </c>
      <c r="C340" s="5">
        <v>3</v>
      </c>
      <c r="D340" s="5"/>
      <c r="E340" s="5"/>
      <c r="F340" s="5">
        <v>1</v>
      </c>
      <c r="G340" s="5">
        <v>2</v>
      </c>
      <c r="H340" s="2">
        <f t="shared" si="16"/>
        <v>12</v>
      </c>
    </row>
    <row r="341" spans="1:8" x14ac:dyDescent="0.25">
      <c r="A341" s="26">
        <v>19</v>
      </c>
      <c r="B341" s="5">
        <v>4</v>
      </c>
      <c r="C341" s="5">
        <v>3</v>
      </c>
      <c r="D341" s="5"/>
      <c r="E341" s="5"/>
      <c r="F341" s="5">
        <v>4</v>
      </c>
      <c r="G341" s="5">
        <v>3</v>
      </c>
      <c r="H341" s="2">
        <f t="shared" si="16"/>
        <v>14</v>
      </c>
    </row>
    <row r="342" spans="1:8" x14ac:dyDescent="0.25">
      <c r="A342" s="26">
        <v>20</v>
      </c>
      <c r="B342" s="5">
        <v>4</v>
      </c>
      <c r="C342" s="5">
        <v>7</v>
      </c>
      <c r="D342" s="5"/>
      <c r="E342" s="5"/>
      <c r="F342" s="5"/>
      <c r="G342" s="5">
        <v>1</v>
      </c>
      <c r="H342" s="2">
        <f t="shared" si="16"/>
        <v>10</v>
      </c>
    </row>
    <row r="343" spans="1:8" x14ac:dyDescent="0.25">
      <c r="A343" s="26">
        <v>21</v>
      </c>
      <c r="B343" s="5">
        <v>2</v>
      </c>
      <c r="C343" s="5">
        <v>5</v>
      </c>
      <c r="D343" s="5"/>
      <c r="E343" s="5"/>
      <c r="F343" s="5"/>
      <c r="G343" s="5"/>
      <c r="H343" s="2">
        <f t="shared" si="16"/>
        <v>7</v>
      </c>
    </row>
    <row r="344" spans="1:8" x14ac:dyDescent="0.25">
      <c r="A344" s="26">
        <v>22</v>
      </c>
      <c r="B344" s="5">
        <v>5</v>
      </c>
      <c r="C344" s="5"/>
      <c r="D344" s="5"/>
      <c r="E344" s="5"/>
      <c r="F344" s="5"/>
      <c r="G344" s="5"/>
      <c r="H344" s="2">
        <f t="shared" si="16"/>
        <v>12</v>
      </c>
    </row>
    <row r="345" spans="1:8" x14ac:dyDescent="0.25">
      <c r="A345" s="26">
        <v>23</v>
      </c>
      <c r="B345" s="5">
        <v>1</v>
      </c>
      <c r="C345" s="5">
        <v>5</v>
      </c>
      <c r="D345" s="5"/>
      <c r="E345" s="5"/>
      <c r="F345" s="5">
        <v>1</v>
      </c>
      <c r="G345" s="5"/>
      <c r="H345" s="2">
        <f t="shared" si="16"/>
        <v>9</v>
      </c>
    </row>
    <row r="346" spans="1:8" x14ac:dyDescent="0.25">
      <c r="A346" s="26">
        <v>24</v>
      </c>
      <c r="B346" s="5">
        <v>10</v>
      </c>
      <c r="C346" s="5">
        <v>1</v>
      </c>
      <c r="D346" s="5"/>
      <c r="E346" s="5"/>
      <c r="F346" s="5"/>
      <c r="G346" s="5">
        <v>2</v>
      </c>
      <c r="H346" s="2">
        <f t="shared" si="16"/>
        <v>16</v>
      </c>
    </row>
    <row r="347" spans="1:8" x14ac:dyDescent="0.25">
      <c r="A347" s="26">
        <v>25</v>
      </c>
      <c r="B347" s="5">
        <v>7</v>
      </c>
      <c r="C347" s="5">
        <v>4</v>
      </c>
      <c r="D347" s="5"/>
      <c r="E347" s="5"/>
      <c r="F347" s="5"/>
      <c r="G347" s="5">
        <v>2</v>
      </c>
      <c r="H347" s="2">
        <f t="shared" si="16"/>
        <v>17</v>
      </c>
    </row>
    <row r="348" spans="1:8" x14ac:dyDescent="0.25">
      <c r="A348" s="26">
        <v>26</v>
      </c>
      <c r="B348" s="5">
        <v>2</v>
      </c>
      <c r="C348" s="5">
        <v>7</v>
      </c>
      <c r="D348" s="5"/>
      <c r="E348" s="5"/>
      <c r="F348" s="5">
        <v>2</v>
      </c>
      <c r="G348" s="5"/>
      <c r="H348" s="2">
        <f t="shared" si="16"/>
        <v>14</v>
      </c>
    </row>
    <row r="349" spans="1:8" x14ac:dyDescent="0.25">
      <c r="A349" s="26">
        <v>27</v>
      </c>
      <c r="B349" s="5">
        <v>3</v>
      </c>
      <c r="C349" s="5">
        <v>3</v>
      </c>
      <c r="D349" s="5"/>
      <c r="E349" s="5"/>
      <c r="F349" s="5">
        <v>1</v>
      </c>
      <c r="G349" s="5">
        <v>2</v>
      </c>
      <c r="H349" s="2">
        <f t="shared" si="16"/>
        <v>13</v>
      </c>
    </row>
    <row r="350" spans="1:8" x14ac:dyDescent="0.25">
      <c r="A350" s="26">
        <v>28</v>
      </c>
      <c r="B350" s="5">
        <v>3</v>
      </c>
      <c r="C350" s="5">
        <v>5</v>
      </c>
      <c r="D350" s="5"/>
      <c r="E350" s="5"/>
      <c r="F350" s="5"/>
      <c r="G350" s="5"/>
      <c r="H350" s="2">
        <f t="shared" si="16"/>
        <v>11</v>
      </c>
    </row>
    <row r="351" spans="1:8" x14ac:dyDescent="0.25">
      <c r="A351" s="26">
        <v>29</v>
      </c>
      <c r="B351" s="5">
        <v>6</v>
      </c>
      <c r="C351" s="5">
        <v>2</v>
      </c>
      <c r="D351" s="5"/>
      <c r="E351" s="5"/>
      <c r="F351" s="5">
        <v>2</v>
      </c>
      <c r="G351" s="5"/>
      <c r="H351" s="2">
        <f t="shared" si="16"/>
        <v>17</v>
      </c>
    </row>
    <row r="352" spans="1:8" ht="15.75" thickBot="1" x14ac:dyDescent="0.3">
      <c r="A352" s="11">
        <v>30</v>
      </c>
      <c r="B352" s="5">
        <v>6</v>
      </c>
      <c r="C352" s="5">
        <v>6</v>
      </c>
      <c r="D352" s="5"/>
      <c r="E352" s="5"/>
      <c r="F352" s="5"/>
      <c r="G352" s="5">
        <v>2</v>
      </c>
      <c r="H352" s="5">
        <f t="shared" si="16"/>
        <v>15</v>
      </c>
    </row>
    <row r="353" spans="1:8" ht="15.75" thickBot="1" x14ac:dyDescent="0.3">
      <c r="A353" s="60" t="s">
        <v>35</v>
      </c>
      <c r="B353" s="58">
        <f>SUM(B323:B352)-E353</f>
        <v>134</v>
      </c>
      <c r="C353" s="58">
        <f t="shared" ref="C353:H353" si="17">SUM(C323:C352)</f>
        <v>117</v>
      </c>
      <c r="D353" s="58">
        <f t="shared" si="17"/>
        <v>0</v>
      </c>
      <c r="E353" s="58">
        <f t="shared" si="17"/>
        <v>0</v>
      </c>
      <c r="F353" s="58">
        <f t="shared" si="17"/>
        <v>31</v>
      </c>
      <c r="G353" s="58">
        <f t="shared" si="17"/>
        <v>39</v>
      </c>
      <c r="H353" s="58">
        <f t="shared" si="17"/>
        <v>357</v>
      </c>
    </row>
    <row r="356" spans="1:8" ht="36" x14ac:dyDescent="0.55000000000000004">
      <c r="A356" s="605" t="s">
        <v>1</v>
      </c>
      <c r="B356" s="605"/>
      <c r="C356" s="605"/>
      <c r="D356" s="605"/>
      <c r="E356" s="605"/>
      <c r="F356" s="605"/>
      <c r="G356" s="605"/>
      <c r="H356" s="605"/>
    </row>
    <row r="357" spans="1:8" ht="27" thickBot="1" x14ac:dyDescent="0.45">
      <c r="A357" s="606" t="s">
        <v>0</v>
      </c>
      <c r="B357" s="606"/>
      <c r="C357" s="606"/>
      <c r="D357" s="606"/>
      <c r="E357" s="606"/>
      <c r="F357" s="606"/>
      <c r="G357" s="606"/>
      <c r="H357" s="606"/>
    </row>
    <row r="358" spans="1:8" ht="15.75" x14ac:dyDescent="0.25">
      <c r="A358" s="39" t="s">
        <v>2</v>
      </c>
      <c r="B358" s="19" t="s">
        <v>3</v>
      </c>
      <c r="C358" s="20"/>
      <c r="D358" s="21" t="s">
        <v>52</v>
      </c>
      <c r="E358" s="607" t="s">
        <v>56</v>
      </c>
      <c r="F358" s="608"/>
      <c r="G358" s="19" t="s">
        <v>16</v>
      </c>
      <c r="H358" s="32" t="s">
        <v>64</v>
      </c>
    </row>
    <row r="359" spans="1:8" ht="15.75" x14ac:dyDescent="0.25">
      <c r="A359" s="609" t="s">
        <v>6</v>
      </c>
      <c r="B359" s="610"/>
      <c r="C359" s="610"/>
      <c r="D359" s="610"/>
      <c r="E359" s="610"/>
      <c r="F359" s="611"/>
      <c r="G359" s="1"/>
      <c r="H359" s="2">
        <f>H352</f>
        <v>15</v>
      </c>
    </row>
    <row r="360" spans="1:8" ht="15.75" x14ac:dyDescent="0.25">
      <c r="A360" s="3" t="s">
        <v>7</v>
      </c>
      <c r="B360" s="1"/>
      <c r="C360" s="1"/>
      <c r="D360" s="1"/>
      <c r="E360" s="1"/>
      <c r="F360" s="1"/>
      <c r="G360" s="1"/>
      <c r="H360" s="2">
        <v>14</v>
      </c>
    </row>
    <row r="361" spans="1:8" ht="51.75" thickBot="1" x14ac:dyDescent="0.3">
      <c r="A361" s="40" t="s">
        <v>8</v>
      </c>
      <c r="B361" s="41" t="s">
        <v>9</v>
      </c>
      <c r="C361" s="41" t="s">
        <v>10</v>
      </c>
      <c r="D361" s="41" t="s">
        <v>11</v>
      </c>
      <c r="E361" s="41" t="s">
        <v>12</v>
      </c>
      <c r="F361" s="41" t="s">
        <v>13</v>
      </c>
      <c r="G361" s="41" t="s">
        <v>14</v>
      </c>
      <c r="H361" s="42" t="s">
        <v>15</v>
      </c>
    </row>
    <row r="362" spans="1:8" x14ac:dyDescent="0.25">
      <c r="A362" s="36">
        <v>1</v>
      </c>
      <c r="B362" s="527">
        <v>6</v>
      </c>
      <c r="C362" s="527">
        <v>1</v>
      </c>
      <c r="D362" s="527"/>
      <c r="E362" s="527"/>
      <c r="F362" s="527"/>
      <c r="G362" s="527">
        <v>2</v>
      </c>
      <c r="H362" s="38">
        <f>H359+B362+F362-(C362+D362+G362)-E362</f>
        <v>18</v>
      </c>
    </row>
    <row r="363" spans="1:8" x14ac:dyDescent="0.25">
      <c r="A363" s="26">
        <v>2</v>
      </c>
      <c r="B363" s="268">
        <v>5</v>
      </c>
      <c r="C363" s="268">
        <v>8</v>
      </c>
      <c r="D363" s="268"/>
      <c r="E363" s="268"/>
      <c r="F363" s="268"/>
      <c r="G363" s="268">
        <v>1</v>
      </c>
      <c r="H363" s="2">
        <f>H362+B363+F363-(C363+D363+G363)-E363</f>
        <v>14</v>
      </c>
    </row>
    <row r="364" spans="1:8" x14ac:dyDescent="0.25">
      <c r="A364" s="26">
        <v>3</v>
      </c>
      <c r="B364" s="268">
        <v>2</v>
      </c>
      <c r="C364" s="268">
        <v>7</v>
      </c>
      <c r="D364" s="268"/>
      <c r="E364" s="268"/>
      <c r="F364" s="268">
        <v>2</v>
      </c>
      <c r="G364" s="268"/>
      <c r="H364" s="2">
        <f>H363+B364+F364-(C364+D364+G364)-E364</f>
        <v>11</v>
      </c>
    </row>
    <row r="365" spans="1:8" x14ac:dyDescent="0.25">
      <c r="A365" s="26">
        <v>4</v>
      </c>
      <c r="B365" s="268">
        <v>3</v>
      </c>
      <c r="C365" s="268">
        <v>4</v>
      </c>
      <c r="D365" s="268"/>
      <c r="E365" s="268"/>
      <c r="F365" s="268">
        <v>3</v>
      </c>
      <c r="G365" s="268"/>
      <c r="H365" s="2">
        <f t="shared" ref="H365:H392" si="18">H364+B365+F365-(C365+D365+G365)-E365</f>
        <v>13</v>
      </c>
    </row>
    <row r="366" spans="1:8" x14ac:dyDescent="0.25">
      <c r="A366" s="26">
        <v>5</v>
      </c>
      <c r="B366" s="268">
        <v>6</v>
      </c>
      <c r="C366" s="268"/>
      <c r="D366" s="268"/>
      <c r="E366" s="268"/>
      <c r="F366" s="268">
        <v>2</v>
      </c>
      <c r="G366" s="268">
        <v>5</v>
      </c>
      <c r="H366" s="2">
        <f t="shared" si="18"/>
        <v>16</v>
      </c>
    </row>
    <row r="367" spans="1:8" x14ac:dyDescent="0.25">
      <c r="A367" s="26">
        <v>6</v>
      </c>
      <c r="B367" s="268">
        <v>4</v>
      </c>
      <c r="C367" s="268">
        <v>11</v>
      </c>
      <c r="D367" s="268"/>
      <c r="E367" s="268"/>
      <c r="F367" s="268"/>
      <c r="G367" s="268"/>
      <c r="H367" s="2">
        <f t="shared" si="18"/>
        <v>9</v>
      </c>
    </row>
    <row r="368" spans="1:8" x14ac:dyDescent="0.25">
      <c r="A368" s="26">
        <v>7</v>
      </c>
      <c r="B368" s="268">
        <v>7</v>
      </c>
      <c r="C368" s="268">
        <v>3</v>
      </c>
      <c r="D368" s="268"/>
      <c r="E368" s="268"/>
      <c r="F368" s="268">
        <v>5</v>
      </c>
      <c r="G368" s="268"/>
      <c r="H368" s="2">
        <f t="shared" si="18"/>
        <v>18</v>
      </c>
    </row>
    <row r="369" spans="1:8" x14ac:dyDescent="0.25">
      <c r="A369" s="26">
        <v>8</v>
      </c>
      <c r="B369" s="268">
        <v>7</v>
      </c>
      <c r="C369" s="268">
        <v>5</v>
      </c>
      <c r="D369" s="268"/>
      <c r="E369" s="268"/>
      <c r="F369" s="268">
        <v>2</v>
      </c>
      <c r="G369" s="268">
        <v>1</v>
      </c>
      <c r="H369" s="2">
        <f t="shared" si="18"/>
        <v>21</v>
      </c>
    </row>
    <row r="370" spans="1:8" x14ac:dyDescent="0.25">
      <c r="A370" s="26">
        <v>9</v>
      </c>
      <c r="B370" s="268">
        <v>4</v>
      </c>
      <c r="C370" s="268">
        <v>6</v>
      </c>
      <c r="D370" s="268"/>
      <c r="E370" s="268"/>
      <c r="F370" s="268">
        <v>2</v>
      </c>
      <c r="G370" s="268">
        <v>2</v>
      </c>
      <c r="H370" s="2">
        <f t="shared" si="18"/>
        <v>19</v>
      </c>
    </row>
    <row r="371" spans="1:8" x14ac:dyDescent="0.25">
      <c r="A371" s="26">
        <v>10</v>
      </c>
      <c r="B371" s="268">
        <v>1</v>
      </c>
      <c r="C371" s="268">
        <v>9</v>
      </c>
      <c r="D371" s="268"/>
      <c r="E371" s="268"/>
      <c r="F371" s="268"/>
      <c r="G371" s="268">
        <v>1</v>
      </c>
      <c r="H371" s="2">
        <f t="shared" si="18"/>
        <v>10</v>
      </c>
    </row>
    <row r="372" spans="1:8" x14ac:dyDescent="0.25">
      <c r="A372" s="26">
        <v>11</v>
      </c>
      <c r="B372" s="268">
        <v>1</v>
      </c>
      <c r="C372" s="268">
        <v>2</v>
      </c>
      <c r="D372" s="268"/>
      <c r="E372" s="268"/>
      <c r="F372" s="268">
        <v>2</v>
      </c>
      <c r="G372" s="268"/>
      <c r="H372" s="2">
        <f t="shared" si="18"/>
        <v>11</v>
      </c>
    </row>
    <row r="373" spans="1:8" x14ac:dyDescent="0.25">
      <c r="A373" s="26">
        <v>12</v>
      </c>
      <c r="B373" s="268">
        <v>1</v>
      </c>
      <c r="C373" s="268">
        <v>2</v>
      </c>
      <c r="D373" s="268"/>
      <c r="E373" s="268"/>
      <c r="F373" s="268">
        <v>1</v>
      </c>
      <c r="G373" s="268">
        <v>2</v>
      </c>
      <c r="H373" s="2">
        <f t="shared" si="18"/>
        <v>9</v>
      </c>
    </row>
    <row r="374" spans="1:8" x14ac:dyDescent="0.25">
      <c r="A374" s="26">
        <v>13</v>
      </c>
      <c r="B374" s="268">
        <v>8</v>
      </c>
      <c r="C374" s="268">
        <v>4</v>
      </c>
      <c r="D374" s="268"/>
      <c r="E374" s="268"/>
      <c r="F374" s="268">
        <v>1</v>
      </c>
      <c r="G374" s="268"/>
      <c r="H374" s="2">
        <f t="shared" si="18"/>
        <v>14</v>
      </c>
    </row>
    <row r="375" spans="1:8" x14ac:dyDescent="0.25">
      <c r="A375" s="26">
        <v>14</v>
      </c>
      <c r="B375" s="268">
        <v>3</v>
      </c>
      <c r="C375" s="268">
        <v>6</v>
      </c>
      <c r="D375" s="268"/>
      <c r="E375" s="268"/>
      <c r="F375" s="268">
        <v>2</v>
      </c>
      <c r="G375" s="268">
        <v>1</v>
      </c>
      <c r="H375" s="2">
        <f t="shared" si="18"/>
        <v>12</v>
      </c>
    </row>
    <row r="376" spans="1:8" x14ac:dyDescent="0.25">
      <c r="A376" s="26">
        <v>15</v>
      </c>
      <c r="B376" s="268">
        <v>8</v>
      </c>
      <c r="C376" s="268">
        <v>4</v>
      </c>
      <c r="D376" s="268"/>
      <c r="E376" s="268"/>
      <c r="F376" s="268">
        <v>1</v>
      </c>
      <c r="G376" s="268"/>
      <c r="H376" s="2">
        <f t="shared" si="18"/>
        <v>17</v>
      </c>
    </row>
    <row r="377" spans="1:8" x14ac:dyDescent="0.25">
      <c r="A377" s="26">
        <v>16</v>
      </c>
      <c r="B377" s="268">
        <v>5</v>
      </c>
      <c r="C377" s="268">
        <v>8</v>
      </c>
      <c r="D377" s="268"/>
      <c r="E377" s="268"/>
      <c r="F377" s="268">
        <v>1</v>
      </c>
      <c r="G377" s="268"/>
      <c r="H377" s="2">
        <f t="shared" si="18"/>
        <v>15</v>
      </c>
    </row>
    <row r="378" spans="1:8" x14ac:dyDescent="0.25">
      <c r="A378" s="26">
        <v>17</v>
      </c>
      <c r="B378" s="268">
        <v>5</v>
      </c>
      <c r="C378" s="268">
        <v>3</v>
      </c>
      <c r="D378" s="268"/>
      <c r="E378" s="268"/>
      <c r="F378" s="268">
        <v>1</v>
      </c>
      <c r="G378" s="268">
        <v>2</v>
      </c>
      <c r="H378" s="2">
        <f t="shared" si="18"/>
        <v>16</v>
      </c>
    </row>
    <row r="379" spans="1:8" x14ac:dyDescent="0.25">
      <c r="A379" s="26">
        <v>18</v>
      </c>
      <c r="B379" s="268">
        <v>3</v>
      </c>
      <c r="C379" s="268">
        <v>7</v>
      </c>
      <c r="D379" s="268"/>
      <c r="E379" s="268"/>
      <c r="F379" s="268">
        <v>2</v>
      </c>
      <c r="G379" s="268"/>
      <c r="H379" s="2">
        <f t="shared" si="18"/>
        <v>14</v>
      </c>
    </row>
    <row r="380" spans="1:8" x14ac:dyDescent="0.25">
      <c r="A380" s="26">
        <v>19</v>
      </c>
      <c r="B380" s="268">
        <v>1</v>
      </c>
      <c r="C380" s="268">
        <v>2</v>
      </c>
      <c r="D380" s="268"/>
      <c r="E380" s="268"/>
      <c r="F380" s="268">
        <v>1</v>
      </c>
      <c r="G380" s="268">
        <v>1</v>
      </c>
      <c r="H380" s="2">
        <f t="shared" si="18"/>
        <v>13</v>
      </c>
    </row>
    <row r="381" spans="1:8" x14ac:dyDescent="0.25">
      <c r="A381" s="26">
        <v>20</v>
      </c>
      <c r="B381" s="268">
        <v>7</v>
      </c>
      <c r="C381" s="268">
        <v>3</v>
      </c>
      <c r="D381" s="268"/>
      <c r="E381" s="268"/>
      <c r="F381" s="268"/>
      <c r="G381" s="268">
        <v>1</v>
      </c>
      <c r="H381" s="2">
        <f t="shared" si="18"/>
        <v>16</v>
      </c>
    </row>
    <row r="382" spans="1:8" x14ac:dyDescent="0.25">
      <c r="A382" s="26">
        <v>21</v>
      </c>
      <c r="B382" s="268">
        <v>6</v>
      </c>
      <c r="C382" s="268">
        <v>1</v>
      </c>
      <c r="D382" s="268"/>
      <c r="E382" s="268"/>
      <c r="F382" s="268"/>
      <c r="G382" s="268">
        <v>2</v>
      </c>
      <c r="H382" s="2">
        <f t="shared" si="18"/>
        <v>19</v>
      </c>
    </row>
    <row r="383" spans="1:8" x14ac:dyDescent="0.25">
      <c r="A383" s="26">
        <v>22</v>
      </c>
      <c r="B383" s="268">
        <v>5</v>
      </c>
      <c r="C383" s="268">
        <v>3</v>
      </c>
      <c r="D383" s="268"/>
      <c r="E383" s="268"/>
      <c r="F383" s="268">
        <v>1</v>
      </c>
      <c r="G383" s="268">
        <v>1</v>
      </c>
      <c r="H383" s="2">
        <f t="shared" si="18"/>
        <v>21</v>
      </c>
    </row>
    <row r="384" spans="1:8" x14ac:dyDescent="0.25">
      <c r="A384" s="26">
        <v>23</v>
      </c>
      <c r="B384" s="268">
        <v>6</v>
      </c>
      <c r="C384" s="268">
        <v>3</v>
      </c>
      <c r="D384" s="268"/>
      <c r="E384" s="268"/>
      <c r="F384" s="268">
        <v>2</v>
      </c>
      <c r="G384" s="268">
        <v>2</v>
      </c>
      <c r="H384" s="2">
        <f t="shared" si="18"/>
        <v>24</v>
      </c>
    </row>
    <row r="385" spans="1:8" x14ac:dyDescent="0.25">
      <c r="A385" s="26">
        <v>24</v>
      </c>
      <c r="B385" s="268">
        <v>10</v>
      </c>
      <c r="C385" s="268">
        <v>10</v>
      </c>
      <c r="D385" s="268"/>
      <c r="E385" s="268"/>
      <c r="F385" s="268"/>
      <c r="G385" s="268">
        <v>2</v>
      </c>
      <c r="H385" s="2">
        <f t="shared" si="18"/>
        <v>22</v>
      </c>
    </row>
    <row r="386" spans="1:8" x14ac:dyDescent="0.25">
      <c r="A386" s="26">
        <v>25</v>
      </c>
      <c r="B386" s="268">
        <v>2</v>
      </c>
      <c r="C386" s="268">
        <v>7</v>
      </c>
      <c r="D386" s="268"/>
      <c r="E386" s="268"/>
      <c r="F386" s="268">
        <v>2</v>
      </c>
      <c r="G386" s="268">
        <v>2</v>
      </c>
      <c r="H386" s="2">
        <f t="shared" si="18"/>
        <v>17</v>
      </c>
    </row>
    <row r="387" spans="1:8" x14ac:dyDescent="0.25">
      <c r="A387" s="26">
        <v>26</v>
      </c>
      <c r="B387" s="268">
        <v>3</v>
      </c>
      <c r="C387" s="268">
        <v>4</v>
      </c>
      <c r="D387" s="268"/>
      <c r="E387" s="268"/>
      <c r="F387" s="268"/>
      <c r="G387" s="268">
        <v>2</v>
      </c>
      <c r="H387" s="2">
        <f t="shared" si="18"/>
        <v>14</v>
      </c>
    </row>
    <row r="388" spans="1:8" x14ac:dyDescent="0.25">
      <c r="A388" s="26">
        <v>27</v>
      </c>
      <c r="B388" s="268">
        <v>11</v>
      </c>
      <c r="C388" s="268">
        <v>3</v>
      </c>
      <c r="D388" s="268"/>
      <c r="E388" s="268"/>
      <c r="F388" s="268">
        <v>1</v>
      </c>
      <c r="G388" s="268">
        <v>1</v>
      </c>
      <c r="H388" s="2">
        <f t="shared" si="18"/>
        <v>22</v>
      </c>
    </row>
    <row r="389" spans="1:8" x14ac:dyDescent="0.25">
      <c r="A389" s="26">
        <v>28</v>
      </c>
      <c r="B389" s="268">
        <v>1</v>
      </c>
      <c r="C389" s="268">
        <v>5</v>
      </c>
      <c r="D389" s="268"/>
      <c r="E389" s="268"/>
      <c r="F389" s="268">
        <v>3</v>
      </c>
      <c r="G389" s="268">
        <v>4</v>
      </c>
      <c r="H389" s="2">
        <f t="shared" si="18"/>
        <v>17</v>
      </c>
    </row>
    <row r="390" spans="1:8" x14ac:dyDescent="0.25">
      <c r="A390" s="26">
        <v>29</v>
      </c>
      <c r="B390" s="268">
        <v>5</v>
      </c>
      <c r="C390" s="268">
        <v>5</v>
      </c>
      <c r="D390" s="268"/>
      <c r="E390" s="268"/>
      <c r="F390" s="268">
        <v>1</v>
      </c>
      <c r="G390" s="268"/>
      <c r="H390" s="2">
        <f t="shared" si="18"/>
        <v>18</v>
      </c>
    </row>
    <row r="391" spans="1:8" ht="15.75" thickBot="1" x14ac:dyDescent="0.3">
      <c r="A391" s="26">
        <v>30</v>
      </c>
      <c r="B391" s="268">
        <v>3</v>
      </c>
      <c r="C391" s="268">
        <v>2</v>
      </c>
      <c r="D391" s="268"/>
      <c r="E391" s="268"/>
      <c r="F391" s="268"/>
      <c r="G391" s="268">
        <v>1</v>
      </c>
      <c r="H391" s="2">
        <f t="shared" si="18"/>
        <v>18</v>
      </c>
    </row>
    <row r="392" spans="1:8" ht="15.75" thickBot="1" x14ac:dyDescent="0.3">
      <c r="A392" s="64">
        <v>31</v>
      </c>
      <c r="B392" s="528">
        <v>3</v>
      </c>
      <c r="C392" s="528">
        <v>7</v>
      </c>
      <c r="D392" s="528"/>
      <c r="E392" s="528"/>
      <c r="F392" s="528">
        <v>1</v>
      </c>
      <c r="G392" s="528">
        <v>3</v>
      </c>
      <c r="H392" s="2">
        <f t="shared" si="18"/>
        <v>12</v>
      </c>
    </row>
    <row r="393" spans="1:8" ht="15.75" thickBot="1" x14ac:dyDescent="0.3">
      <c r="A393" s="60" t="s">
        <v>35</v>
      </c>
      <c r="B393" s="58">
        <f>SUM(B362:B392)-E393</f>
        <v>142</v>
      </c>
      <c r="C393" s="58">
        <f t="shared" ref="C393:H393" si="19">SUM(C362:C392)</f>
        <v>145</v>
      </c>
      <c r="D393" s="58">
        <f t="shared" si="19"/>
        <v>0</v>
      </c>
      <c r="E393" s="58">
        <f t="shared" si="19"/>
        <v>0</v>
      </c>
      <c r="F393" s="58">
        <f t="shared" si="19"/>
        <v>39</v>
      </c>
      <c r="G393" s="58">
        <f t="shared" si="19"/>
        <v>39</v>
      </c>
      <c r="H393" s="59">
        <f t="shared" si="19"/>
        <v>490</v>
      </c>
    </row>
    <row r="396" spans="1:8" ht="36" x14ac:dyDescent="0.55000000000000004">
      <c r="A396" s="605" t="s">
        <v>1</v>
      </c>
      <c r="B396" s="605"/>
      <c r="C396" s="605"/>
      <c r="D396" s="605"/>
      <c r="E396" s="605"/>
      <c r="F396" s="605"/>
      <c r="G396" s="605"/>
      <c r="H396" s="605"/>
    </row>
    <row r="397" spans="1:8" ht="27" thickBot="1" x14ac:dyDescent="0.45">
      <c r="A397" s="606" t="s">
        <v>0</v>
      </c>
      <c r="B397" s="606"/>
      <c r="C397" s="606"/>
      <c r="D397" s="606"/>
      <c r="E397" s="606"/>
      <c r="F397" s="606"/>
      <c r="G397" s="606"/>
      <c r="H397" s="606"/>
    </row>
    <row r="398" spans="1:8" ht="15.75" x14ac:dyDescent="0.25">
      <c r="A398" s="39" t="s">
        <v>2</v>
      </c>
      <c r="B398" s="19" t="s">
        <v>3</v>
      </c>
      <c r="C398" s="20"/>
      <c r="D398" s="21" t="s">
        <v>52</v>
      </c>
      <c r="E398" s="607" t="s">
        <v>56</v>
      </c>
      <c r="F398" s="608"/>
      <c r="G398" s="19" t="s">
        <v>16</v>
      </c>
      <c r="H398" s="32" t="s">
        <v>66</v>
      </c>
    </row>
    <row r="399" spans="1:8" ht="15.75" x14ac:dyDescent="0.25">
      <c r="A399" s="609" t="s">
        <v>6</v>
      </c>
      <c r="B399" s="610"/>
      <c r="C399" s="610"/>
      <c r="D399" s="610"/>
      <c r="E399" s="610"/>
      <c r="F399" s="611"/>
      <c r="G399" s="1"/>
      <c r="H399" s="2">
        <f>H392</f>
        <v>12</v>
      </c>
    </row>
    <row r="400" spans="1:8" ht="15.75" x14ac:dyDescent="0.25">
      <c r="A400" s="3" t="s">
        <v>7</v>
      </c>
      <c r="B400" s="1"/>
      <c r="C400" s="1"/>
      <c r="D400" s="1"/>
      <c r="E400" s="1"/>
      <c r="F400" s="1"/>
      <c r="G400" s="1"/>
      <c r="H400" s="2">
        <v>14</v>
      </c>
    </row>
    <row r="401" spans="1:8" ht="51.75" thickBot="1" x14ac:dyDescent="0.3">
      <c r="A401" s="40" t="s">
        <v>8</v>
      </c>
      <c r="B401" s="41" t="s">
        <v>9</v>
      </c>
      <c r="C401" s="41" t="s">
        <v>10</v>
      </c>
      <c r="D401" s="41" t="s">
        <v>11</v>
      </c>
      <c r="E401" s="41" t="s">
        <v>12</v>
      </c>
      <c r="F401" s="41" t="s">
        <v>13</v>
      </c>
      <c r="G401" s="41" t="s">
        <v>14</v>
      </c>
      <c r="H401" s="42" t="s">
        <v>15</v>
      </c>
    </row>
    <row r="402" spans="1:8" x14ac:dyDescent="0.25">
      <c r="A402" s="36">
        <v>1</v>
      </c>
      <c r="B402" s="527">
        <v>5</v>
      </c>
      <c r="C402" s="527">
        <v>3</v>
      </c>
      <c r="D402" s="527"/>
      <c r="E402" s="527"/>
      <c r="F402" s="527">
        <v>1</v>
      </c>
      <c r="G402" s="527">
        <v>2</v>
      </c>
      <c r="H402" s="38">
        <f>H399+B402+F402-(C402+D402+G402)-E402</f>
        <v>13</v>
      </c>
    </row>
    <row r="403" spans="1:8" x14ac:dyDescent="0.25">
      <c r="A403" s="26">
        <v>2</v>
      </c>
      <c r="B403" s="268">
        <v>4</v>
      </c>
      <c r="C403" s="268">
        <v>5</v>
      </c>
      <c r="D403" s="268"/>
      <c r="E403" s="268"/>
      <c r="F403" s="268"/>
      <c r="G403" s="268">
        <v>1</v>
      </c>
      <c r="H403" s="2">
        <f>H402+B403+F403-(C403+D403+G403)-E403</f>
        <v>11</v>
      </c>
    </row>
    <row r="404" spans="1:8" x14ac:dyDescent="0.25">
      <c r="A404" s="26">
        <v>3</v>
      </c>
      <c r="B404" s="268">
        <v>6</v>
      </c>
      <c r="C404" s="268">
        <v>5</v>
      </c>
      <c r="D404" s="268"/>
      <c r="E404" s="268"/>
      <c r="F404" s="268">
        <v>1</v>
      </c>
      <c r="G404" s="268"/>
      <c r="H404" s="2">
        <f>H403+B404+F404-(C404+D404+G404)-E404</f>
        <v>13</v>
      </c>
    </row>
    <row r="405" spans="1:8" x14ac:dyDescent="0.25">
      <c r="A405" s="26">
        <v>4</v>
      </c>
      <c r="B405" s="268">
        <v>5</v>
      </c>
      <c r="C405" s="268">
        <v>4</v>
      </c>
      <c r="D405" s="268"/>
      <c r="E405" s="268"/>
      <c r="F405" s="268">
        <v>2</v>
      </c>
      <c r="G405" s="268">
        <v>3</v>
      </c>
      <c r="H405" s="2">
        <f t="shared" ref="H405:H431" si="20">H404+B405+F405-(C405+D405+G405)-E405</f>
        <v>13</v>
      </c>
    </row>
    <row r="406" spans="1:8" x14ac:dyDescent="0.25">
      <c r="A406" s="26">
        <v>5</v>
      </c>
      <c r="B406" s="268">
        <v>6</v>
      </c>
      <c r="C406" s="268">
        <v>3</v>
      </c>
      <c r="D406" s="268"/>
      <c r="E406" s="268"/>
      <c r="F406" s="268"/>
      <c r="G406" s="268">
        <v>1</v>
      </c>
      <c r="H406" s="2">
        <f t="shared" si="20"/>
        <v>15</v>
      </c>
    </row>
    <row r="407" spans="1:8" x14ac:dyDescent="0.25">
      <c r="A407" s="26">
        <v>6</v>
      </c>
      <c r="B407" s="268">
        <v>8</v>
      </c>
      <c r="C407" s="268">
        <v>7</v>
      </c>
      <c r="D407" s="268"/>
      <c r="E407" s="268"/>
      <c r="F407" s="268"/>
      <c r="G407" s="268">
        <v>2</v>
      </c>
      <c r="H407" s="2">
        <f t="shared" si="20"/>
        <v>14</v>
      </c>
    </row>
    <row r="408" spans="1:8" x14ac:dyDescent="0.25">
      <c r="A408" s="26">
        <v>7</v>
      </c>
      <c r="B408" s="268">
        <v>6</v>
      </c>
      <c r="C408" s="268">
        <v>8</v>
      </c>
      <c r="D408" s="268"/>
      <c r="E408" s="268"/>
      <c r="F408" s="268">
        <v>2</v>
      </c>
      <c r="G408" s="268"/>
      <c r="H408" s="2">
        <f t="shared" si="20"/>
        <v>14</v>
      </c>
    </row>
    <row r="409" spans="1:8" x14ac:dyDescent="0.25">
      <c r="A409" s="26">
        <v>8</v>
      </c>
      <c r="B409" s="268">
        <v>4</v>
      </c>
      <c r="C409" s="268">
        <v>3</v>
      </c>
      <c r="D409" s="268"/>
      <c r="E409" s="268"/>
      <c r="F409" s="268"/>
      <c r="G409" s="268">
        <v>2</v>
      </c>
      <c r="H409" s="2">
        <f t="shared" si="20"/>
        <v>13</v>
      </c>
    </row>
    <row r="410" spans="1:8" x14ac:dyDescent="0.25">
      <c r="A410" s="26">
        <v>9</v>
      </c>
      <c r="B410" s="268">
        <v>6</v>
      </c>
      <c r="C410" s="268"/>
      <c r="D410" s="268"/>
      <c r="E410" s="268"/>
      <c r="F410" s="268"/>
      <c r="G410" s="268">
        <v>2</v>
      </c>
      <c r="H410" s="2">
        <f t="shared" si="20"/>
        <v>17</v>
      </c>
    </row>
    <row r="411" spans="1:8" x14ac:dyDescent="0.25">
      <c r="A411" s="26">
        <v>10</v>
      </c>
      <c r="B411" s="268">
        <v>8</v>
      </c>
      <c r="C411" s="268">
        <v>8</v>
      </c>
      <c r="D411" s="268"/>
      <c r="E411" s="268"/>
      <c r="F411" s="268">
        <v>2</v>
      </c>
      <c r="G411" s="268"/>
      <c r="H411" s="2">
        <f t="shared" si="20"/>
        <v>19</v>
      </c>
    </row>
    <row r="412" spans="1:8" x14ac:dyDescent="0.25">
      <c r="A412" s="26">
        <v>11</v>
      </c>
      <c r="B412" s="268">
        <v>4</v>
      </c>
      <c r="C412" s="268">
        <v>8</v>
      </c>
      <c r="D412" s="268"/>
      <c r="E412" s="268"/>
      <c r="F412" s="268">
        <v>2</v>
      </c>
      <c r="G412" s="268">
        <v>4</v>
      </c>
      <c r="H412" s="2">
        <f t="shared" si="20"/>
        <v>13</v>
      </c>
    </row>
    <row r="413" spans="1:8" x14ac:dyDescent="0.25">
      <c r="A413" s="26">
        <v>12</v>
      </c>
      <c r="B413" s="268">
        <v>5</v>
      </c>
      <c r="C413" s="268">
        <v>3</v>
      </c>
      <c r="D413" s="268"/>
      <c r="E413" s="268"/>
      <c r="F413" s="268">
        <v>2</v>
      </c>
      <c r="G413" s="268">
        <v>3</v>
      </c>
      <c r="H413" s="2">
        <f t="shared" si="20"/>
        <v>14</v>
      </c>
    </row>
    <row r="414" spans="1:8" x14ac:dyDescent="0.25">
      <c r="A414" s="26">
        <v>13</v>
      </c>
      <c r="B414" s="268">
        <v>5</v>
      </c>
      <c r="C414" s="268">
        <v>5</v>
      </c>
      <c r="D414" s="268"/>
      <c r="E414" s="268"/>
      <c r="F414" s="268">
        <v>2</v>
      </c>
      <c r="G414" s="268">
        <v>2</v>
      </c>
      <c r="H414" s="2">
        <f t="shared" si="20"/>
        <v>14</v>
      </c>
    </row>
    <row r="415" spans="1:8" x14ac:dyDescent="0.25">
      <c r="A415" s="26">
        <v>14</v>
      </c>
      <c r="B415" s="268">
        <v>2</v>
      </c>
      <c r="C415" s="268">
        <v>10</v>
      </c>
      <c r="D415" s="268"/>
      <c r="E415" s="268"/>
      <c r="F415" s="268"/>
      <c r="G415" s="268"/>
      <c r="H415" s="2">
        <f t="shared" si="20"/>
        <v>6</v>
      </c>
    </row>
    <row r="416" spans="1:8" x14ac:dyDescent="0.25">
      <c r="A416" s="26">
        <v>15</v>
      </c>
      <c r="B416" s="268">
        <v>8</v>
      </c>
      <c r="C416" s="268">
        <v>2</v>
      </c>
      <c r="D416" s="268"/>
      <c r="E416" s="268"/>
      <c r="F416" s="268">
        <v>4</v>
      </c>
      <c r="G416" s="268">
        <v>2</v>
      </c>
      <c r="H416" s="2">
        <f t="shared" si="20"/>
        <v>14</v>
      </c>
    </row>
    <row r="417" spans="1:8" x14ac:dyDescent="0.25">
      <c r="A417" s="26">
        <v>16</v>
      </c>
      <c r="B417" s="268">
        <v>9</v>
      </c>
      <c r="C417" s="268">
        <v>3</v>
      </c>
      <c r="D417" s="268"/>
      <c r="E417" s="268"/>
      <c r="F417" s="268">
        <v>1</v>
      </c>
      <c r="G417" s="268">
        <v>3</v>
      </c>
      <c r="H417" s="2">
        <f t="shared" si="20"/>
        <v>18</v>
      </c>
    </row>
    <row r="418" spans="1:8" x14ac:dyDescent="0.25">
      <c r="A418" s="26">
        <v>17</v>
      </c>
      <c r="B418" s="268">
        <v>4</v>
      </c>
      <c r="C418" s="268">
        <v>6</v>
      </c>
      <c r="D418" s="268"/>
      <c r="E418" s="268"/>
      <c r="F418" s="268">
        <v>1</v>
      </c>
      <c r="G418" s="268">
        <v>2</v>
      </c>
      <c r="H418" s="2">
        <f t="shared" si="20"/>
        <v>15</v>
      </c>
    </row>
    <row r="419" spans="1:8" x14ac:dyDescent="0.25">
      <c r="A419" s="26">
        <v>18</v>
      </c>
      <c r="B419" s="268">
        <v>5</v>
      </c>
      <c r="C419" s="268">
        <v>9</v>
      </c>
      <c r="D419" s="268"/>
      <c r="E419" s="268"/>
      <c r="F419" s="268">
        <v>2</v>
      </c>
      <c r="G419" s="268">
        <v>2</v>
      </c>
      <c r="H419" s="2">
        <f t="shared" si="20"/>
        <v>11</v>
      </c>
    </row>
    <row r="420" spans="1:8" x14ac:dyDescent="0.25">
      <c r="A420" s="26">
        <v>19</v>
      </c>
      <c r="B420" s="268">
        <v>7</v>
      </c>
      <c r="C420" s="268">
        <v>5</v>
      </c>
      <c r="D420" s="268"/>
      <c r="E420" s="268"/>
      <c r="F420" s="268"/>
      <c r="G420" s="268"/>
      <c r="H420" s="2">
        <f t="shared" si="20"/>
        <v>13</v>
      </c>
    </row>
    <row r="421" spans="1:8" x14ac:dyDescent="0.25">
      <c r="A421" s="26">
        <v>20</v>
      </c>
      <c r="B421" s="268">
        <v>5</v>
      </c>
      <c r="C421" s="268">
        <v>7</v>
      </c>
      <c r="D421" s="268"/>
      <c r="E421" s="268"/>
      <c r="F421" s="268"/>
      <c r="G421" s="268">
        <v>1</v>
      </c>
      <c r="H421" s="2">
        <f t="shared" si="20"/>
        <v>10</v>
      </c>
    </row>
    <row r="422" spans="1:8" x14ac:dyDescent="0.25">
      <c r="A422" s="26">
        <v>21</v>
      </c>
      <c r="B422" s="268">
        <v>2</v>
      </c>
      <c r="C422" s="268">
        <v>6</v>
      </c>
      <c r="D422" s="268"/>
      <c r="E422" s="268"/>
      <c r="F422" s="268"/>
      <c r="G422" s="268">
        <v>2</v>
      </c>
      <c r="H422" s="2">
        <f t="shared" si="20"/>
        <v>4</v>
      </c>
    </row>
    <row r="423" spans="1:8" x14ac:dyDescent="0.25">
      <c r="A423" s="26">
        <v>22</v>
      </c>
      <c r="B423" s="268">
        <v>5</v>
      </c>
      <c r="C423" s="268">
        <v>1</v>
      </c>
      <c r="D423" s="268"/>
      <c r="E423" s="268"/>
      <c r="F423" s="268">
        <v>1</v>
      </c>
      <c r="G423" s="268">
        <v>1</v>
      </c>
      <c r="H423" s="2">
        <f t="shared" si="20"/>
        <v>8</v>
      </c>
    </row>
    <row r="424" spans="1:8" x14ac:dyDescent="0.25">
      <c r="A424" s="26">
        <v>23</v>
      </c>
      <c r="B424" s="268">
        <v>6</v>
      </c>
      <c r="C424" s="268">
        <v>2</v>
      </c>
      <c r="D424" s="268"/>
      <c r="E424" s="268"/>
      <c r="F424" s="268">
        <v>4</v>
      </c>
      <c r="G424" s="268">
        <v>2</v>
      </c>
      <c r="H424" s="2">
        <f t="shared" si="20"/>
        <v>14</v>
      </c>
    </row>
    <row r="425" spans="1:8" x14ac:dyDescent="0.25">
      <c r="A425" s="26">
        <v>24</v>
      </c>
      <c r="B425" s="268">
        <v>5</v>
      </c>
      <c r="C425" s="268">
        <v>10</v>
      </c>
      <c r="D425" s="268"/>
      <c r="E425" s="268"/>
      <c r="F425" s="268">
        <v>1</v>
      </c>
      <c r="G425" s="268"/>
      <c r="H425" s="2">
        <f t="shared" si="20"/>
        <v>10</v>
      </c>
    </row>
    <row r="426" spans="1:8" x14ac:dyDescent="0.25">
      <c r="A426" s="26">
        <v>25</v>
      </c>
      <c r="B426" s="268">
        <v>5</v>
      </c>
      <c r="C426" s="268">
        <v>3</v>
      </c>
      <c r="D426" s="268"/>
      <c r="E426" s="268"/>
      <c r="F426" s="268">
        <v>1</v>
      </c>
      <c r="G426" s="268">
        <v>1</v>
      </c>
      <c r="H426" s="2">
        <f t="shared" si="20"/>
        <v>12</v>
      </c>
    </row>
    <row r="427" spans="1:8" x14ac:dyDescent="0.25">
      <c r="A427" s="26">
        <v>26</v>
      </c>
      <c r="B427" s="268">
        <v>5</v>
      </c>
      <c r="C427" s="268">
        <v>7</v>
      </c>
      <c r="D427" s="268"/>
      <c r="E427" s="268"/>
      <c r="F427" s="268"/>
      <c r="G427" s="268">
        <v>1</v>
      </c>
      <c r="H427" s="2">
        <f t="shared" si="20"/>
        <v>9</v>
      </c>
    </row>
    <row r="428" spans="1:8" x14ac:dyDescent="0.25">
      <c r="A428" s="26">
        <v>27</v>
      </c>
      <c r="B428" s="268">
        <v>5</v>
      </c>
      <c r="C428" s="268">
        <v>2</v>
      </c>
      <c r="D428" s="268"/>
      <c r="E428" s="268"/>
      <c r="F428" s="268"/>
      <c r="G428" s="268">
        <v>1</v>
      </c>
      <c r="H428" s="2">
        <f t="shared" si="20"/>
        <v>11</v>
      </c>
    </row>
    <row r="429" spans="1:8" x14ac:dyDescent="0.25">
      <c r="A429" s="26">
        <v>28</v>
      </c>
      <c r="B429" s="268">
        <v>2</v>
      </c>
      <c r="C429" s="268">
        <v>3</v>
      </c>
      <c r="D429" s="268"/>
      <c r="E429" s="268"/>
      <c r="F429" s="268">
        <v>1</v>
      </c>
      <c r="G429" s="268">
        <v>3</v>
      </c>
      <c r="H429" s="2">
        <f t="shared" si="20"/>
        <v>8</v>
      </c>
    </row>
    <row r="430" spans="1:8" x14ac:dyDescent="0.25">
      <c r="A430" s="26">
        <v>29</v>
      </c>
      <c r="B430" s="268">
        <v>5</v>
      </c>
      <c r="C430" s="268">
        <v>2</v>
      </c>
      <c r="D430" s="268"/>
      <c r="E430" s="268"/>
      <c r="F430" s="268"/>
      <c r="G430" s="268"/>
      <c r="H430" s="2">
        <f t="shared" si="20"/>
        <v>11</v>
      </c>
    </row>
    <row r="431" spans="1:8" ht="15.75" thickBot="1" x14ac:dyDescent="0.3">
      <c r="A431" s="26">
        <v>30</v>
      </c>
      <c r="B431" s="268">
        <v>5</v>
      </c>
      <c r="C431" s="268"/>
      <c r="D431" s="268"/>
      <c r="E431" s="268"/>
      <c r="F431" s="268">
        <v>1</v>
      </c>
      <c r="G431" s="268"/>
      <c r="H431" s="2">
        <f t="shared" si="20"/>
        <v>17</v>
      </c>
    </row>
    <row r="432" spans="1:8" ht="15.75" thickBot="1" x14ac:dyDescent="0.3">
      <c r="A432" s="60" t="s">
        <v>35</v>
      </c>
      <c r="B432" s="58">
        <f>SUM(B402:B431)-E432</f>
        <v>157</v>
      </c>
      <c r="C432" s="58">
        <f t="shared" ref="C432:H432" si="21">SUM(C402:C431)</f>
        <v>140</v>
      </c>
      <c r="D432" s="58">
        <f t="shared" si="21"/>
        <v>0</v>
      </c>
      <c r="E432" s="58">
        <f t="shared" si="21"/>
        <v>0</v>
      </c>
      <c r="F432" s="58">
        <f t="shared" si="21"/>
        <v>31</v>
      </c>
      <c r="G432" s="58">
        <f t="shared" si="21"/>
        <v>43</v>
      </c>
      <c r="H432" s="59">
        <f t="shared" si="21"/>
        <v>374</v>
      </c>
    </row>
    <row r="435" spans="1:8" ht="36" x14ac:dyDescent="0.55000000000000004">
      <c r="A435" s="605" t="s">
        <v>1</v>
      </c>
      <c r="B435" s="605"/>
      <c r="C435" s="605"/>
      <c r="D435" s="605"/>
      <c r="E435" s="605"/>
      <c r="F435" s="605"/>
      <c r="G435" s="605"/>
      <c r="H435" s="605"/>
    </row>
    <row r="436" spans="1:8" ht="27" thickBot="1" x14ac:dyDescent="0.45">
      <c r="A436" s="606" t="s">
        <v>0</v>
      </c>
      <c r="B436" s="606"/>
      <c r="C436" s="606"/>
      <c r="D436" s="606"/>
      <c r="E436" s="606"/>
      <c r="F436" s="606"/>
      <c r="G436" s="606"/>
      <c r="H436" s="606"/>
    </row>
    <row r="437" spans="1:8" ht="15.75" x14ac:dyDescent="0.25">
      <c r="A437" s="39" t="s">
        <v>2</v>
      </c>
      <c r="B437" s="19" t="s">
        <v>3</v>
      </c>
      <c r="C437" s="20"/>
      <c r="D437" s="21" t="s">
        <v>52</v>
      </c>
      <c r="E437" s="607" t="s">
        <v>56</v>
      </c>
      <c r="F437" s="608"/>
      <c r="G437" s="19" t="s">
        <v>16</v>
      </c>
      <c r="H437" s="32" t="s">
        <v>67</v>
      </c>
    </row>
    <row r="438" spans="1:8" ht="15.75" x14ac:dyDescent="0.25">
      <c r="A438" s="609" t="s">
        <v>6</v>
      </c>
      <c r="B438" s="610"/>
      <c r="C438" s="610"/>
      <c r="D438" s="610"/>
      <c r="E438" s="610"/>
      <c r="F438" s="611"/>
      <c r="G438" s="1"/>
      <c r="H438" s="2">
        <f>H431</f>
        <v>17</v>
      </c>
    </row>
    <row r="439" spans="1:8" ht="15.75" x14ac:dyDescent="0.25">
      <c r="A439" s="3" t="s">
        <v>7</v>
      </c>
      <c r="B439" s="1"/>
      <c r="C439" s="1"/>
      <c r="D439" s="1"/>
      <c r="E439" s="1"/>
      <c r="F439" s="1"/>
      <c r="G439" s="1"/>
      <c r="H439" s="2">
        <v>14</v>
      </c>
    </row>
    <row r="440" spans="1:8" ht="51.75" thickBot="1" x14ac:dyDescent="0.3">
      <c r="A440" s="40" t="s">
        <v>8</v>
      </c>
      <c r="B440" s="41" t="s">
        <v>9</v>
      </c>
      <c r="C440" s="41" t="s">
        <v>10</v>
      </c>
      <c r="D440" s="41" t="s">
        <v>11</v>
      </c>
      <c r="E440" s="41" t="s">
        <v>12</v>
      </c>
      <c r="F440" s="41" t="s">
        <v>13</v>
      </c>
      <c r="G440" s="41" t="s">
        <v>14</v>
      </c>
      <c r="H440" s="42" t="s">
        <v>15</v>
      </c>
    </row>
    <row r="441" spans="1:8" x14ac:dyDescent="0.25">
      <c r="A441" s="36">
        <v>1</v>
      </c>
      <c r="B441" s="527">
        <v>6</v>
      </c>
      <c r="C441" s="527">
        <v>4</v>
      </c>
      <c r="D441" s="527"/>
      <c r="E441" s="527"/>
      <c r="F441" s="527">
        <v>1</v>
      </c>
      <c r="G441" s="527">
        <v>2</v>
      </c>
      <c r="H441" s="38">
        <f>H438+B441+F441-(C441+D441+G441)-E441</f>
        <v>18</v>
      </c>
    </row>
    <row r="442" spans="1:8" x14ac:dyDescent="0.25">
      <c r="A442" s="26">
        <v>2</v>
      </c>
      <c r="B442" s="268">
        <v>4</v>
      </c>
      <c r="C442" s="268">
        <v>4</v>
      </c>
      <c r="D442" s="268"/>
      <c r="E442" s="268"/>
      <c r="F442" s="268">
        <v>1</v>
      </c>
      <c r="G442" s="268">
        <v>2</v>
      </c>
      <c r="H442" s="2">
        <f>H441+B442+F442-(C442+D442+G442)-E442</f>
        <v>17</v>
      </c>
    </row>
    <row r="443" spans="1:8" x14ac:dyDescent="0.25">
      <c r="A443" s="26">
        <v>3</v>
      </c>
      <c r="B443" s="268">
        <v>3</v>
      </c>
      <c r="C443" s="268">
        <v>6</v>
      </c>
      <c r="D443" s="268"/>
      <c r="E443" s="268"/>
      <c r="F443" s="268">
        <v>1</v>
      </c>
      <c r="G443" s="268">
        <v>2</v>
      </c>
      <c r="H443" s="2">
        <f>H442+B443+F443-(C443+D443+G443)-E443</f>
        <v>13</v>
      </c>
    </row>
    <row r="444" spans="1:8" x14ac:dyDescent="0.25">
      <c r="A444" s="26">
        <v>4</v>
      </c>
      <c r="B444" s="268">
        <v>3</v>
      </c>
      <c r="C444" s="268">
        <v>1</v>
      </c>
      <c r="D444" s="268"/>
      <c r="E444" s="268"/>
      <c r="F444" s="268"/>
      <c r="G444" s="268"/>
      <c r="H444" s="2">
        <f t="shared" ref="H444:H471" si="22">H443+B444+F444-(C444+D444+G444)-E444</f>
        <v>15</v>
      </c>
    </row>
    <row r="445" spans="1:8" x14ac:dyDescent="0.25">
      <c r="A445" s="26">
        <v>5</v>
      </c>
      <c r="B445" s="268">
        <v>4</v>
      </c>
      <c r="C445" s="268">
        <v>4</v>
      </c>
      <c r="D445" s="268"/>
      <c r="E445" s="268"/>
      <c r="F445" s="268">
        <v>2</v>
      </c>
      <c r="G445" s="268"/>
      <c r="H445" s="2">
        <f t="shared" si="22"/>
        <v>17</v>
      </c>
    </row>
    <row r="446" spans="1:8" x14ac:dyDescent="0.25">
      <c r="A446" s="26">
        <v>6</v>
      </c>
      <c r="B446" s="268">
        <v>5</v>
      </c>
      <c r="C446" s="268">
        <v>3</v>
      </c>
      <c r="D446" s="268"/>
      <c r="E446" s="268"/>
      <c r="F446" s="268">
        <v>1</v>
      </c>
      <c r="G446" s="268">
        <v>3</v>
      </c>
      <c r="H446" s="2">
        <f t="shared" si="22"/>
        <v>17</v>
      </c>
    </row>
    <row r="447" spans="1:8" x14ac:dyDescent="0.25">
      <c r="A447" s="26">
        <v>7</v>
      </c>
      <c r="B447" s="268">
        <v>3</v>
      </c>
      <c r="C447" s="268">
        <v>5</v>
      </c>
      <c r="D447" s="268"/>
      <c r="E447" s="268"/>
      <c r="F447" s="268">
        <v>1</v>
      </c>
      <c r="G447" s="268">
        <v>3</v>
      </c>
      <c r="H447" s="2">
        <f t="shared" si="22"/>
        <v>13</v>
      </c>
    </row>
    <row r="448" spans="1:8" x14ac:dyDescent="0.25">
      <c r="A448" s="26">
        <v>8</v>
      </c>
      <c r="B448" s="268">
        <v>5</v>
      </c>
      <c r="C448" s="268">
        <v>2</v>
      </c>
      <c r="D448" s="268"/>
      <c r="E448" s="268"/>
      <c r="F448" s="268"/>
      <c r="G448" s="268">
        <v>1</v>
      </c>
      <c r="H448" s="2">
        <f t="shared" si="22"/>
        <v>15</v>
      </c>
    </row>
    <row r="449" spans="1:8" x14ac:dyDescent="0.25">
      <c r="A449" s="26">
        <v>9</v>
      </c>
      <c r="B449" s="268">
        <v>4</v>
      </c>
      <c r="C449" s="268">
        <v>1</v>
      </c>
      <c r="D449" s="268"/>
      <c r="E449" s="268"/>
      <c r="F449" s="268"/>
      <c r="G449" s="268"/>
      <c r="H449" s="2">
        <f t="shared" si="22"/>
        <v>18</v>
      </c>
    </row>
    <row r="450" spans="1:8" x14ac:dyDescent="0.25">
      <c r="A450" s="26">
        <v>10</v>
      </c>
      <c r="B450" s="268"/>
      <c r="C450" s="268">
        <v>4</v>
      </c>
      <c r="D450" s="268"/>
      <c r="E450" s="268"/>
      <c r="F450" s="268">
        <v>1</v>
      </c>
      <c r="G450" s="268">
        <v>1</v>
      </c>
      <c r="H450" s="2">
        <f t="shared" si="22"/>
        <v>14</v>
      </c>
    </row>
    <row r="451" spans="1:8" x14ac:dyDescent="0.25">
      <c r="A451" s="26">
        <v>11</v>
      </c>
      <c r="B451" s="268">
        <v>7</v>
      </c>
      <c r="C451" s="268">
        <v>7</v>
      </c>
      <c r="D451" s="268"/>
      <c r="E451" s="268"/>
      <c r="F451" s="268">
        <v>1</v>
      </c>
      <c r="G451" s="268">
        <v>1</v>
      </c>
      <c r="H451" s="2">
        <f t="shared" si="22"/>
        <v>14</v>
      </c>
    </row>
    <row r="452" spans="1:8" x14ac:dyDescent="0.25">
      <c r="A452" s="26">
        <v>12</v>
      </c>
      <c r="B452" s="268">
        <v>4</v>
      </c>
      <c r="C452" s="268">
        <v>2</v>
      </c>
      <c r="D452" s="268"/>
      <c r="E452" s="268"/>
      <c r="F452" s="268"/>
      <c r="G452" s="268">
        <v>3</v>
      </c>
      <c r="H452" s="2">
        <f t="shared" si="22"/>
        <v>13</v>
      </c>
    </row>
    <row r="453" spans="1:8" x14ac:dyDescent="0.25">
      <c r="A453" s="26">
        <v>13</v>
      </c>
      <c r="B453" s="268">
        <v>3</v>
      </c>
      <c r="C453" s="268">
        <v>3</v>
      </c>
      <c r="D453" s="268"/>
      <c r="E453" s="268"/>
      <c r="F453" s="268">
        <v>2</v>
      </c>
      <c r="G453" s="268"/>
      <c r="H453" s="2">
        <f t="shared" si="22"/>
        <v>15</v>
      </c>
    </row>
    <row r="454" spans="1:8" x14ac:dyDescent="0.25">
      <c r="A454" s="26">
        <v>14</v>
      </c>
      <c r="B454" s="268">
        <v>3</v>
      </c>
      <c r="C454" s="268">
        <v>2</v>
      </c>
      <c r="D454" s="268"/>
      <c r="E454" s="268"/>
      <c r="F454" s="268">
        <v>1</v>
      </c>
      <c r="G454" s="268"/>
      <c r="H454" s="2">
        <f t="shared" si="22"/>
        <v>17</v>
      </c>
    </row>
    <row r="455" spans="1:8" x14ac:dyDescent="0.25">
      <c r="A455" s="26">
        <v>15</v>
      </c>
      <c r="B455" s="268">
        <v>5</v>
      </c>
      <c r="C455" s="268">
        <v>6</v>
      </c>
      <c r="D455" s="268"/>
      <c r="E455" s="268"/>
      <c r="F455" s="268">
        <v>2</v>
      </c>
      <c r="G455" s="268">
        <v>2</v>
      </c>
      <c r="H455" s="2">
        <f t="shared" si="22"/>
        <v>16</v>
      </c>
    </row>
    <row r="456" spans="1:8" x14ac:dyDescent="0.25">
      <c r="A456" s="26">
        <v>16</v>
      </c>
      <c r="B456" s="268">
        <v>5</v>
      </c>
      <c r="C456" s="268">
        <v>2</v>
      </c>
      <c r="D456" s="268"/>
      <c r="E456" s="268"/>
      <c r="F456" s="268"/>
      <c r="G456" s="268"/>
      <c r="H456" s="2">
        <f t="shared" si="22"/>
        <v>19</v>
      </c>
    </row>
    <row r="457" spans="1:8" x14ac:dyDescent="0.25">
      <c r="A457" s="26">
        <v>17</v>
      </c>
      <c r="B457" s="268">
        <v>5</v>
      </c>
      <c r="C457" s="268">
        <v>7</v>
      </c>
      <c r="D457" s="268"/>
      <c r="E457" s="268"/>
      <c r="F457" s="268">
        <v>2</v>
      </c>
      <c r="G457" s="268">
        <v>1</v>
      </c>
      <c r="H457" s="2">
        <f t="shared" si="22"/>
        <v>18</v>
      </c>
    </row>
    <row r="458" spans="1:8" x14ac:dyDescent="0.25">
      <c r="A458" s="26">
        <v>18</v>
      </c>
      <c r="B458" s="268">
        <v>4</v>
      </c>
      <c r="C458" s="268">
        <v>5</v>
      </c>
      <c r="D458" s="268"/>
      <c r="E458" s="268"/>
      <c r="F458" s="268">
        <v>1</v>
      </c>
      <c r="G458" s="268">
        <v>2</v>
      </c>
      <c r="H458" s="2">
        <f t="shared" si="22"/>
        <v>16</v>
      </c>
    </row>
    <row r="459" spans="1:8" x14ac:dyDescent="0.25">
      <c r="A459" s="26">
        <v>19</v>
      </c>
      <c r="B459" s="268">
        <v>5</v>
      </c>
      <c r="C459" s="268">
        <v>3</v>
      </c>
      <c r="D459" s="268"/>
      <c r="E459" s="268"/>
      <c r="F459" s="268"/>
      <c r="G459" s="268"/>
      <c r="H459" s="2">
        <f t="shared" si="22"/>
        <v>18</v>
      </c>
    </row>
    <row r="460" spans="1:8" x14ac:dyDescent="0.25">
      <c r="A460" s="26">
        <v>20</v>
      </c>
      <c r="B460" s="268">
        <v>4</v>
      </c>
      <c r="C460" s="268">
        <v>4</v>
      </c>
      <c r="D460" s="268"/>
      <c r="E460" s="268"/>
      <c r="F460" s="268"/>
      <c r="G460" s="268">
        <v>2</v>
      </c>
      <c r="H460" s="2">
        <f t="shared" si="22"/>
        <v>16</v>
      </c>
    </row>
    <row r="461" spans="1:8" x14ac:dyDescent="0.25">
      <c r="A461" s="26">
        <v>21</v>
      </c>
      <c r="B461" s="268">
        <v>3</v>
      </c>
      <c r="C461" s="268">
        <v>3</v>
      </c>
      <c r="D461" s="268"/>
      <c r="E461" s="268"/>
      <c r="F461" s="268">
        <v>1</v>
      </c>
      <c r="G461" s="268">
        <v>2</v>
      </c>
      <c r="H461" s="2">
        <f t="shared" si="22"/>
        <v>15</v>
      </c>
    </row>
    <row r="462" spans="1:8" x14ac:dyDescent="0.25">
      <c r="A462" s="26">
        <v>22</v>
      </c>
      <c r="B462" s="268">
        <v>5</v>
      </c>
      <c r="C462" s="268">
        <v>9</v>
      </c>
      <c r="D462" s="268"/>
      <c r="E462" s="268"/>
      <c r="F462" s="268">
        <v>1</v>
      </c>
      <c r="G462" s="268">
        <v>1</v>
      </c>
      <c r="H462" s="2">
        <f t="shared" si="22"/>
        <v>11</v>
      </c>
    </row>
    <row r="463" spans="1:8" x14ac:dyDescent="0.25">
      <c r="A463" s="26">
        <v>23</v>
      </c>
      <c r="B463" s="268">
        <v>5</v>
      </c>
      <c r="C463" s="268">
        <v>4</v>
      </c>
      <c r="D463" s="268"/>
      <c r="E463" s="268"/>
      <c r="F463" s="268"/>
      <c r="G463" s="268">
        <v>2</v>
      </c>
      <c r="H463" s="2">
        <f t="shared" si="22"/>
        <v>10</v>
      </c>
    </row>
    <row r="464" spans="1:8" x14ac:dyDescent="0.25">
      <c r="A464" s="26">
        <v>24</v>
      </c>
      <c r="B464" s="268">
        <v>6</v>
      </c>
      <c r="C464" s="268"/>
      <c r="D464" s="268"/>
      <c r="E464" s="268"/>
      <c r="F464" s="268"/>
      <c r="G464" s="268">
        <v>2</v>
      </c>
      <c r="H464" s="2">
        <f t="shared" si="22"/>
        <v>14</v>
      </c>
    </row>
    <row r="465" spans="1:8" x14ac:dyDescent="0.25">
      <c r="A465" s="26">
        <v>25</v>
      </c>
      <c r="B465" s="268">
        <v>4</v>
      </c>
      <c r="C465" s="268">
        <v>2</v>
      </c>
      <c r="D465" s="268"/>
      <c r="E465" s="268"/>
      <c r="F465" s="268">
        <v>2</v>
      </c>
      <c r="G465" s="268">
        <v>2</v>
      </c>
      <c r="H465" s="2">
        <f t="shared" si="22"/>
        <v>16</v>
      </c>
    </row>
    <row r="466" spans="1:8" x14ac:dyDescent="0.25">
      <c r="A466" s="26">
        <v>26</v>
      </c>
      <c r="B466" s="268">
        <v>5</v>
      </c>
      <c r="C466" s="268">
        <v>6</v>
      </c>
      <c r="D466" s="268"/>
      <c r="E466" s="268"/>
      <c r="F466" s="268">
        <v>1</v>
      </c>
      <c r="G466" s="268">
        <v>2</v>
      </c>
      <c r="H466" s="2">
        <f t="shared" si="22"/>
        <v>14</v>
      </c>
    </row>
    <row r="467" spans="1:8" x14ac:dyDescent="0.25">
      <c r="A467" s="26">
        <v>27</v>
      </c>
      <c r="B467" s="268">
        <v>4</v>
      </c>
      <c r="C467" s="268">
        <v>4</v>
      </c>
      <c r="D467" s="268"/>
      <c r="E467" s="268"/>
      <c r="F467" s="268">
        <v>1</v>
      </c>
      <c r="G467" s="268">
        <v>3</v>
      </c>
      <c r="H467" s="2">
        <f t="shared" si="22"/>
        <v>12</v>
      </c>
    </row>
    <row r="468" spans="1:8" x14ac:dyDescent="0.25">
      <c r="A468" s="26">
        <v>28</v>
      </c>
      <c r="B468" s="268">
        <v>4</v>
      </c>
      <c r="C468" s="268">
        <v>6</v>
      </c>
      <c r="D468" s="268"/>
      <c r="E468" s="268"/>
      <c r="F468" s="268"/>
      <c r="G468" s="268">
        <v>1</v>
      </c>
      <c r="H468" s="2">
        <f t="shared" si="22"/>
        <v>9</v>
      </c>
    </row>
    <row r="469" spans="1:8" x14ac:dyDescent="0.25">
      <c r="A469" s="26">
        <v>29</v>
      </c>
      <c r="B469" s="268">
        <v>2</v>
      </c>
      <c r="C469" s="268">
        <v>5</v>
      </c>
      <c r="D469" s="268"/>
      <c r="E469" s="268"/>
      <c r="F469" s="268"/>
      <c r="G469" s="268">
        <v>1</v>
      </c>
      <c r="H469" s="2">
        <f t="shared" si="22"/>
        <v>5</v>
      </c>
    </row>
    <row r="470" spans="1:8" x14ac:dyDescent="0.25">
      <c r="A470" s="26">
        <v>30</v>
      </c>
      <c r="B470" s="268">
        <v>4</v>
      </c>
      <c r="C470" s="268">
        <v>1</v>
      </c>
      <c r="D470" s="268"/>
      <c r="E470" s="268"/>
      <c r="F470" s="268"/>
      <c r="G470" s="268"/>
      <c r="H470" s="2">
        <f t="shared" si="22"/>
        <v>8</v>
      </c>
    </row>
    <row r="471" spans="1:8" ht="15.75" thickBot="1" x14ac:dyDescent="0.3">
      <c r="A471" s="64">
        <v>31</v>
      </c>
      <c r="B471" s="528">
        <v>3</v>
      </c>
      <c r="C471" s="528">
        <v>1</v>
      </c>
      <c r="D471" s="528"/>
      <c r="E471" s="528"/>
      <c r="F471" s="528"/>
      <c r="G471" s="528">
        <v>1</v>
      </c>
      <c r="H471" s="2">
        <f t="shared" si="22"/>
        <v>9</v>
      </c>
    </row>
    <row r="472" spans="1:8" ht="15.75" thickBot="1" x14ac:dyDescent="0.3">
      <c r="A472" s="60" t="s">
        <v>35</v>
      </c>
      <c r="B472" s="58">
        <f>SUM(B441:B471)-E472</f>
        <v>127</v>
      </c>
      <c r="C472" s="58">
        <f t="shared" ref="C472:H472" si="23">SUM(C441:C471)</f>
        <v>116</v>
      </c>
      <c r="D472" s="58">
        <f t="shared" si="23"/>
        <v>0</v>
      </c>
      <c r="E472" s="58">
        <f t="shared" si="23"/>
        <v>0</v>
      </c>
      <c r="F472" s="58">
        <f t="shared" si="23"/>
        <v>23</v>
      </c>
      <c r="G472" s="58">
        <f t="shared" si="23"/>
        <v>42</v>
      </c>
      <c r="H472" s="59">
        <f t="shared" si="23"/>
        <v>442</v>
      </c>
    </row>
  </sheetData>
  <sheetProtection sheet="1" objects="1" scenarios="1"/>
  <mergeCells count="47">
    <mergeCell ref="A436:H436"/>
    <mergeCell ref="E437:F437"/>
    <mergeCell ref="A438:F438"/>
    <mergeCell ref="A396:H396"/>
    <mergeCell ref="A397:H397"/>
    <mergeCell ref="E398:F398"/>
    <mergeCell ref="A399:F399"/>
    <mergeCell ref="A435:H435"/>
    <mergeCell ref="A356:H356"/>
    <mergeCell ref="A357:H357"/>
    <mergeCell ref="E358:F358"/>
    <mergeCell ref="A359:F359"/>
    <mergeCell ref="A317:H317"/>
    <mergeCell ref="A318:H318"/>
    <mergeCell ref="E319:F319"/>
    <mergeCell ref="A320:F320"/>
    <mergeCell ref="A277:H277"/>
    <mergeCell ref="A278:H278"/>
    <mergeCell ref="E279:F279"/>
    <mergeCell ref="A280:F280"/>
    <mergeCell ref="A79:H79"/>
    <mergeCell ref="A80:H80"/>
    <mergeCell ref="E81:F81"/>
    <mergeCell ref="A82:F82"/>
    <mergeCell ref="A237:H237"/>
    <mergeCell ref="A238:H238"/>
    <mergeCell ref="E239:F239"/>
    <mergeCell ref="A240:F240"/>
    <mergeCell ref="A119:H119"/>
    <mergeCell ref="A120:H120"/>
    <mergeCell ref="A122:F122"/>
    <mergeCell ref="A198:H198"/>
    <mergeCell ref="A199:H199"/>
    <mergeCell ref="E200:F200"/>
    <mergeCell ref="A201:F201"/>
    <mergeCell ref="A158:H158"/>
    <mergeCell ref="A159:H159"/>
    <mergeCell ref="E160:F160"/>
    <mergeCell ref="A161:F161"/>
    <mergeCell ref="A42:H42"/>
    <mergeCell ref="E43:F43"/>
    <mergeCell ref="A44:F44"/>
    <mergeCell ref="A1:H1"/>
    <mergeCell ref="A2:H2"/>
    <mergeCell ref="E3:F3"/>
    <mergeCell ref="A4:F4"/>
    <mergeCell ref="A41:H4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0" tint="-0.499984740745262"/>
  </sheetPr>
  <dimension ref="A1:J472"/>
  <sheetViews>
    <sheetView topLeftCell="A435" zoomScale="80" zoomScaleNormal="80" workbookViewId="0">
      <selection activeCell="A472" sqref="A472"/>
    </sheetView>
  </sheetViews>
  <sheetFormatPr defaultRowHeight="15" x14ac:dyDescent="0.25"/>
  <cols>
    <col min="2" max="2" width="13.85546875" customWidth="1"/>
    <col min="3" max="3" width="13.140625" customWidth="1"/>
    <col min="4" max="4" width="10.42578125" customWidth="1"/>
    <col min="5" max="5" width="11.42578125" customWidth="1"/>
    <col min="6" max="6" width="12.42578125" customWidth="1"/>
    <col min="7" max="7" width="11.42578125" customWidth="1"/>
    <col min="8" max="8" width="12.85546875" customWidth="1"/>
  </cols>
  <sheetData>
    <row r="1" spans="1:8" ht="36" x14ac:dyDescent="0.55000000000000004">
      <c r="A1" s="605" t="s">
        <v>1</v>
      </c>
      <c r="B1" s="605"/>
      <c r="C1" s="605"/>
      <c r="D1" s="605"/>
      <c r="E1" s="605"/>
      <c r="F1" s="605"/>
      <c r="G1" s="605"/>
      <c r="H1" s="605"/>
    </row>
    <row r="2" spans="1:8" ht="26.25" x14ac:dyDescent="0.4">
      <c r="A2" s="606" t="s">
        <v>0</v>
      </c>
      <c r="B2" s="606"/>
      <c r="C2" s="606"/>
      <c r="D2" s="606"/>
      <c r="E2" s="606"/>
      <c r="F2" s="606"/>
      <c r="G2" s="606"/>
      <c r="H2" s="606"/>
    </row>
    <row r="3" spans="1:8" ht="15.75" x14ac:dyDescent="0.25">
      <c r="A3" s="4" t="s">
        <v>19</v>
      </c>
      <c r="B3" s="4" t="s">
        <v>3</v>
      </c>
      <c r="C3" s="5"/>
      <c r="D3" s="1" t="s">
        <v>18</v>
      </c>
      <c r="E3" s="612" t="s">
        <v>55</v>
      </c>
      <c r="F3" s="613"/>
      <c r="G3" s="4" t="s">
        <v>16</v>
      </c>
      <c r="H3" s="6" t="s">
        <v>17</v>
      </c>
    </row>
    <row r="4" spans="1:8" ht="15.75" x14ac:dyDescent="0.25">
      <c r="A4" s="609" t="s">
        <v>6</v>
      </c>
      <c r="B4" s="610"/>
      <c r="C4" s="610"/>
      <c r="D4" s="610"/>
      <c r="E4" s="610"/>
      <c r="F4" s="611"/>
      <c r="G4" s="1"/>
      <c r="H4" s="2">
        <v>12</v>
      </c>
    </row>
    <row r="5" spans="1:8" ht="15.75" x14ac:dyDescent="0.25">
      <c r="A5" s="3" t="s">
        <v>7</v>
      </c>
      <c r="B5" s="1"/>
      <c r="C5" s="1"/>
      <c r="D5" s="1"/>
      <c r="E5" s="1"/>
      <c r="F5" s="1"/>
      <c r="G5" s="1"/>
      <c r="H5" s="2">
        <v>22</v>
      </c>
    </row>
    <row r="6" spans="1:8" ht="51" x14ac:dyDescent="0.25">
      <c r="A6" s="7" t="s">
        <v>8</v>
      </c>
      <c r="B6" s="9" t="s">
        <v>9</v>
      </c>
      <c r="C6" s="9" t="s">
        <v>10</v>
      </c>
      <c r="D6" s="9" t="s">
        <v>11</v>
      </c>
      <c r="E6" s="9" t="s">
        <v>12</v>
      </c>
      <c r="F6" s="9" t="s">
        <v>13</v>
      </c>
      <c r="G6" s="9" t="s">
        <v>14</v>
      </c>
      <c r="H6" s="8" t="s">
        <v>15</v>
      </c>
    </row>
    <row r="7" spans="1:8" x14ac:dyDescent="0.25">
      <c r="A7" s="11">
        <v>1</v>
      </c>
      <c r="B7" s="11">
        <v>2</v>
      </c>
      <c r="C7" s="11">
        <v>2</v>
      </c>
      <c r="D7" s="11"/>
      <c r="E7" s="11"/>
      <c r="F7" s="11">
        <v>1</v>
      </c>
      <c r="G7" s="11"/>
      <c r="H7" s="274">
        <f>H4+B7+F7-(C7+D7+G7)-E7</f>
        <v>13</v>
      </c>
    </row>
    <row r="8" spans="1:8" x14ac:dyDescent="0.25">
      <c r="A8" s="11">
        <v>2</v>
      </c>
      <c r="B8" s="11"/>
      <c r="C8" s="11">
        <v>4</v>
      </c>
      <c r="D8" s="11"/>
      <c r="E8" s="11"/>
      <c r="F8" s="11">
        <v>2</v>
      </c>
      <c r="G8" s="11"/>
      <c r="H8" s="274">
        <f>H7+B8+F8-(C8+D8+G8)-E8</f>
        <v>11</v>
      </c>
    </row>
    <row r="9" spans="1:8" x14ac:dyDescent="0.25">
      <c r="A9" s="11">
        <v>3</v>
      </c>
      <c r="B9" s="11">
        <v>5</v>
      </c>
      <c r="C9" s="11">
        <v>1</v>
      </c>
      <c r="D9" s="11"/>
      <c r="E9" s="11"/>
      <c r="F9" s="11"/>
      <c r="G9" s="11">
        <v>1</v>
      </c>
      <c r="H9" s="274">
        <f t="shared" ref="H9:H37" si="0">H8+B9+F9-(C9+D9+G9)-E9</f>
        <v>14</v>
      </c>
    </row>
    <row r="10" spans="1:8" x14ac:dyDescent="0.25">
      <c r="A10" s="11">
        <v>4</v>
      </c>
      <c r="B10" s="11"/>
      <c r="C10" s="11">
        <v>1</v>
      </c>
      <c r="D10" s="11"/>
      <c r="E10" s="11"/>
      <c r="F10" s="11">
        <v>2</v>
      </c>
      <c r="G10" s="11">
        <v>1</v>
      </c>
      <c r="H10" s="274">
        <f t="shared" si="0"/>
        <v>14</v>
      </c>
    </row>
    <row r="11" spans="1:8" x14ac:dyDescent="0.25">
      <c r="A11" s="11">
        <v>5</v>
      </c>
      <c r="B11" s="11">
        <v>2</v>
      </c>
      <c r="C11" s="11">
        <v>8</v>
      </c>
      <c r="D11" s="11"/>
      <c r="E11" s="11"/>
      <c r="F11" s="11">
        <v>1</v>
      </c>
      <c r="G11" s="11">
        <v>1</v>
      </c>
      <c r="H11" s="274">
        <f t="shared" si="0"/>
        <v>8</v>
      </c>
    </row>
    <row r="12" spans="1:8" x14ac:dyDescent="0.25">
      <c r="A12" s="11">
        <v>6</v>
      </c>
      <c r="B12" s="11">
        <v>3</v>
      </c>
      <c r="C12" s="11">
        <v>2</v>
      </c>
      <c r="D12" s="11"/>
      <c r="E12" s="11"/>
      <c r="F12" s="11">
        <v>1</v>
      </c>
      <c r="G12" s="11"/>
      <c r="H12" s="274">
        <f t="shared" si="0"/>
        <v>10</v>
      </c>
    </row>
    <row r="13" spans="1:8" x14ac:dyDescent="0.25">
      <c r="A13" s="11">
        <v>7</v>
      </c>
      <c r="B13" s="11">
        <v>1</v>
      </c>
      <c r="C13" s="11">
        <v>3</v>
      </c>
      <c r="D13" s="11"/>
      <c r="E13" s="11"/>
      <c r="F13" s="11">
        <v>1</v>
      </c>
      <c r="G13" s="11">
        <v>2</v>
      </c>
      <c r="H13" s="274">
        <f t="shared" si="0"/>
        <v>7</v>
      </c>
    </row>
    <row r="14" spans="1:8" x14ac:dyDescent="0.25">
      <c r="A14" s="11">
        <v>8</v>
      </c>
      <c r="B14" s="11">
        <v>3</v>
      </c>
      <c r="C14" s="11"/>
      <c r="D14" s="11"/>
      <c r="E14" s="11"/>
      <c r="F14" s="11"/>
      <c r="G14" s="11">
        <v>2</v>
      </c>
      <c r="H14" s="274">
        <f t="shared" si="0"/>
        <v>8</v>
      </c>
    </row>
    <row r="15" spans="1:8" x14ac:dyDescent="0.25">
      <c r="A15" s="11">
        <v>9</v>
      </c>
      <c r="B15" s="11">
        <v>2</v>
      </c>
      <c r="C15" s="11"/>
      <c r="D15" s="11"/>
      <c r="E15" s="11"/>
      <c r="F15" s="11">
        <v>1</v>
      </c>
      <c r="G15" s="11"/>
      <c r="H15" s="274">
        <f t="shared" si="0"/>
        <v>11</v>
      </c>
    </row>
    <row r="16" spans="1:8" x14ac:dyDescent="0.25">
      <c r="A16" s="11">
        <v>10</v>
      </c>
      <c r="B16" s="11"/>
      <c r="C16" s="11">
        <v>4</v>
      </c>
      <c r="D16" s="11"/>
      <c r="E16" s="11"/>
      <c r="F16" s="11"/>
      <c r="G16" s="11"/>
      <c r="H16" s="274">
        <f t="shared" si="0"/>
        <v>7</v>
      </c>
    </row>
    <row r="17" spans="1:8" x14ac:dyDescent="0.25">
      <c r="A17" s="11">
        <v>11</v>
      </c>
      <c r="B17" s="11">
        <v>1</v>
      </c>
      <c r="C17" s="11">
        <v>6</v>
      </c>
      <c r="D17" s="11"/>
      <c r="E17" s="11"/>
      <c r="F17" s="11">
        <v>3</v>
      </c>
      <c r="G17" s="11"/>
      <c r="H17" s="274">
        <f t="shared" si="0"/>
        <v>5</v>
      </c>
    </row>
    <row r="18" spans="1:8" x14ac:dyDescent="0.25">
      <c r="A18" s="11">
        <v>12</v>
      </c>
      <c r="B18" s="11"/>
      <c r="C18" s="11">
        <v>1</v>
      </c>
      <c r="D18" s="11"/>
      <c r="E18" s="11"/>
      <c r="F18" s="11">
        <v>2</v>
      </c>
      <c r="G18" s="11"/>
      <c r="H18" s="274">
        <f t="shared" si="0"/>
        <v>6</v>
      </c>
    </row>
    <row r="19" spans="1:8" x14ac:dyDescent="0.25">
      <c r="A19" s="11">
        <v>13</v>
      </c>
      <c r="B19" s="11">
        <v>6</v>
      </c>
      <c r="C19" s="11">
        <v>4</v>
      </c>
      <c r="D19" s="11"/>
      <c r="E19" s="11"/>
      <c r="F19" s="11"/>
      <c r="G19" s="11">
        <v>1</v>
      </c>
      <c r="H19" s="274">
        <f t="shared" si="0"/>
        <v>7</v>
      </c>
    </row>
    <row r="20" spans="1:8" x14ac:dyDescent="0.25">
      <c r="A20" s="11">
        <v>14</v>
      </c>
      <c r="B20" s="11">
        <v>3</v>
      </c>
      <c r="C20" s="11"/>
      <c r="D20" s="11"/>
      <c r="E20" s="11"/>
      <c r="F20" s="11">
        <v>2</v>
      </c>
      <c r="G20" s="11">
        <v>2</v>
      </c>
      <c r="H20" s="274">
        <f t="shared" si="0"/>
        <v>10</v>
      </c>
    </row>
    <row r="21" spans="1:8" x14ac:dyDescent="0.25">
      <c r="A21" s="11">
        <v>15</v>
      </c>
      <c r="B21" s="11">
        <v>9</v>
      </c>
      <c r="C21" s="11">
        <v>1</v>
      </c>
      <c r="D21" s="11"/>
      <c r="E21" s="11"/>
      <c r="F21" s="11">
        <v>1</v>
      </c>
      <c r="G21" s="11"/>
      <c r="H21" s="274">
        <f t="shared" si="0"/>
        <v>19</v>
      </c>
    </row>
    <row r="22" spans="1:8" x14ac:dyDescent="0.25">
      <c r="A22" s="11">
        <v>16</v>
      </c>
      <c r="B22" s="11">
        <v>1</v>
      </c>
      <c r="C22" s="11">
        <v>3</v>
      </c>
      <c r="D22" s="11"/>
      <c r="E22" s="11"/>
      <c r="F22" s="11"/>
      <c r="G22" s="11">
        <v>1</v>
      </c>
      <c r="H22" s="274">
        <f t="shared" si="0"/>
        <v>16</v>
      </c>
    </row>
    <row r="23" spans="1:8" x14ac:dyDescent="0.25">
      <c r="A23" s="11">
        <v>17</v>
      </c>
      <c r="B23" s="11">
        <v>1</v>
      </c>
      <c r="C23" s="11">
        <v>2</v>
      </c>
      <c r="D23" s="11"/>
      <c r="E23" s="11"/>
      <c r="F23" s="11">
        <v>1</v>
      </c>
      <c r="G23" s="11">
        <v>2</v>
      </c>
      <c r="H23" s="274">
        <f t="shared" si="0"/>
        <v>14</v>
      </c>
    </row>
    <row r="24" spans="1:8" x14ac:dyDescent="0.25">
      <c r="A24" s="11">
        <v>18</v>
      </c>
      <c r="B24" s="11">
        <v>1</v>
      </c>
      <c r="C24" s="11">
        <v>9</v>
      </c>
      <c r="D24" s="11"/>
      <c r="E24" s="11"/>
      <c r="F24" s="11"/>
      <c r="G24" s="11"/>
      <c r="H24" s="274">
        <f t="shared" si="0"/>
        <v>6</v>
      </c>
    </row>
    <row r="25" spans="1:8" x14ac:dyDescent="0.25">
      <c r="A25" s="11">
        <v>19</v>
      </c>
      <c r="B25" s="11"/>
      <c r="C25" s="11"/>
      <c r="D25" s="11"/>
      <c r="E25" s="11"/>
      <c r="F25" s="11">
        <v>1</v>
      </c>
      <c r="G25" s="11"/>
      <c r="H25" s="274">
        <f t="shared" si="0"/>
        <v>7</v>
      </c>
    </row>
    <row r="26" spans="1:8" x14ac:dyDescent="0.25">
      <c r="A26" s="11">
        <v>20</v>
      </c>
      <c r="B26" s="11">
        <v>5</v>
      </c>
      <c r="C26" s="11">
        <v>1</v>
      </c>
      <c r="D26" s="11"/>
      <c r="E26" s="11"/>
      <c r="F26" s="11"/>
      <c r="G26" s="11">
        <v>2</v>
      </c>
      <c r="H26" s="274">
        <f t="shared" si="0"/>
        <v>9</v>
      </c>
    </row>
    <row r="27" spans="1:8" x14ac:dyDescent="0.25">
      <c r="A27" s="11">
        <v>21</v>
      </c>
      <c r="B27" s="11">
        <v>1</v>
      </c>
      <c r="C27" s="11">
        <v>1</v>
      </c>
      <c r="D27" s="11"/>
      <c r="E27" s="11"/>
      <c r="F27" s="11">
        <v>3</v>
      </c>
      <c r="G27" s="11"/>
      <c r="H27" s="274">
        <f t="shared" si="0"/>
        <v>12</v>
      </c>
    </row>
    <row r="28" spans="1:8" x14ac:dyDescent="0.25">
      <c r="A28" s="11">
        <v>22</v>
      </c>
      <c r="B28" s="11">
        <v>5</v>
      </c>
      <c r="C28" s="11">
        <v>1</v>
      </c>
      <c r="D28" s="11"/>
      <c r="E28" s="11"/>
      <c r="F28" s="11">
        <v>1</v>
      </c>
      <c r="G28" s="11"/>
      <c r="H28" s="274">
        <f t="shared" si="0"/>
        <v>17</v>
      </c>
    </row>
    <row r="29" spans="1:8" x14ac:dyDescent="0.25">
      <c r="A29" s="11">
        <v>23</v>
      </c>
      <c r="B29" s="11"/>
      <c r="C29" s="11">
        <v>6</v>
      </c>
      <c r="D29" s="11"/>
      <c r="E29" s="11"/>
      <c r="F29" s="11">
        <v>1</v>
      </c>
      <c r="G29" s="11"/>
      <c r="H29" s="274">
        <f t="shared" si="0"/>
        <v>12</v>
      </c>
    </row>
    <row r="30" spans="1:8" x14ac:dyDescent="0.25">
      <c r="A30" s="11">
        <v>24</v>
      </c>
      <c r="B30" s="11">
        <v>3</v>
      </c>
      <c r="C30" s="11">
        <v>1</v>
      </c>
      <c r="D30" s="11"/>
      <c r="E30" s="11"/>
      <c r="F30" s="11">
        <v>1</v>
      </c>
      <c r="G30" s="11">
        <v>1</v>
      </c>
      <c r="H30" s="274">
        <f t="shared" si="0"/>
        <v>14</v>
      </c>
    </row>
    <row r="31" spans="1:8" x14ac:dyDescent="0.25">
      <c r="A31" s="11">
        <v>25</v>
      </c>
      <c r="B31" s="11">
        <v>2</v>
      </c>
      <c r="C31" s="11">
        <v>3</v>
      </c>
      <c r="D31" s="11"/>
      <c r="E31" s="11"/>
      <c r="F31" s="11">
        <v>3</v>
      </c>
      <c r="G31" s="11">
        <v>1</v>
      </c>
      <c r="H31" s="274">
        <f t="shared" si="0"/>
        <v>15</v>
      </c>
    </row>
    <row r="32" spans="1:8" x14ac:dyDescent="0.25">
      <c r="A32" s="11">
        <v>26</v>
      </c>
      <c r="B32" s="11">
        <v>1</v>
      </c>
      <c r="C32" s="11">
        <v>3</v>
      </c>
      <c r="D32" s="11"/>
      <c r="E32" s="11"/>
      <c r="F32" s="11"/>
      <c r="G32" s="11">
        <v>1</v>
      </c>
      <c r="H32" s="274">
        <f t="shared" si="0"/>
        <v>12</v>
      </c>
    </row>
    <row r="33" spans="1:8" x14ac:dyDescent="0.25">
      <c r="A33" s="11">
        <v>27</v>
      </c>
      <c r="B33" s="11">
        <v>3</v>
      </c>
      <c r="C33" s="11">
        <v>3</v>
      </c>
      <c r="D33" s="11"/>
      <c r="E33" s="11"/>
      <c r="F33" s="11">
        <v>1</v>
      </c>
      <c r="G33" s="11"/>
      <c r="H33" s="274">
        <f t="shared" si="0"/>
        <v>13</v>
      </c>
    </row>
    <row r="34" spans="1:8" x14ac:dyDescent="0.25">
      <c r="A34" s="11">
        <v>28</v>
      </c>
      <c r="B34" s="11">
        <v>2</v>
      </c>
      <c r="C34" s="11">
        <v>2</v>
      </c>
      <c r="D34" s="11"/>
      <c r="E34" s="11"/>
      <c r="F34" s="11"/>
      <c r="G34" s="11"/>
      <c r="H34" s="274">
        <f t="shared" si="0"/>
        <v>13</v>
      </c>
    </row>
    <row r="35" spans="1:8" x14ac:dyDescent="0.25">
      <c r="A35" s="11">
        <v>29</v>
      </c>
      <c r="B35" s="11">
        <v>3</v>
      </c>
      <c r="C35" s="11"/>
      <c r="D35" s="11"/>
      <c r="E35" s="11"/>
      <c r="F35" s="11">
        <v>2</v>
      </c>
      <c r="G35" s="11"/>
      <c r="H35" s="274">
        <f t="shared" si="0"/>
        <v>18</v>
      </c>
    </row>
    <row r="36" spans="1:8" x14ac:dyDescent="0.25">
      <c r="A36" s="11">
        <v>30</v>
      </c>
      <c r="B36" s="11">
        <v>3</v>
      </c>
      <c r="C36" s="11">
        <v>2</v>
      </c>
      <c r="D36" s="11"/>
      <c r="E36" s="11"/>
      <c r="F36" s="11"/>
      <c r="G36" s="11">
        <v>1</v>
      </c>
      <c r="H36" s="274">
        <f t="shared" si="0"/>
        <v>18</v>
      </c>
    </row>
    <row r="37" spans="1:8" x14ac:dyDescent="0.25">
      <c r="A37" s="11">
        <v>31</v>
      </c>
      <c r="B37" s="11">
        <v>1</v>
      </c>
      <c r="C37" s="11">
        <v>3</v>
      </c>
      <c r="D37" s="11"/>
      <c r="E37" s="11"/>
      <c r="F37" s="11"/>
      <c r="G37" s="11">
        <v>1</v>
      </c>
      <c r="H37" s="274">
        <f t="shared" si="0"/>
        <v>15</v>
      </c>
    </row>
    <row r="38" spans="1:8" x14ac:dyDescent="0.25">
      <c r="A38" s="12" t="s">
        <v>35</v>
      </c>
      <c r="B38" s="12">
        <f>SUM(B7:B37)-E38</f>
        <v>69</v>
      </c>
      <c r="C38" s="12">
        <f t="shared" ref="C38:H38" si="1">SUM(C7:C37)</f>
        <v>77</v>
      </c>
      <c r="D38" s="12">
        <f t="shared" si="1"/>
        <v>0</v>
      </c>
      <c r="E38" s="12">
        <f t="shared" si="1"/>
        <v>0</v>
      </c>
      <c r="F38" s="12">
        <f t="shared" si="1"/>
        <v>31</v>
      </c>
      <c r="G38" s="12">
        <f t="shared" si="1"/>
        <v>20</v>
      </c>
      <c r="H38" s="275">
        <f t="shared" si="1"/>
        <v>361</v>
      </c>
    </row>
    <row r="41" spans="1:8" ht="36" x14ac:dyDescent="0.55000000000000004">
      <c r="A41" s="605" t="s">
        <v>1</v>
      </c>
      <c r="B41" s="605"/>
      <c r="C41" s="605"/>
      <c r="D41" s="605"/>
      <c r="E41" s="605"/>
      <c r="F41" s="605"/>
      <c r="G41" s="605"/>
      <c r="H41" s="605"/>
    </row>
    <row r="42" spans="1:8" ht="26.25" x14ac:dyDescent="0.4">
      <c r="A42" s="606" t="s">
        <v>0</v>
      </c>
      <c r="B42" s="606"/>
      <c r="C42" s="606"/>
      <c r="D42" s="606"/>
      <c r="E42" s="606"/>
      <c r="F42" s="606"/>
      <c r="G42" s="606"/>
      <c r="H42" s="606"/>
    </row>
    <row r="43" spans="1:8" ht="15.75" x14ac:dyDescent="0.25">
      <c r="A43" s="4" t="s">
        <v>19</v>
      </c>
      <c r="B43" s="4" t="s">
        <v>3</v>
      </c>
      <c r="C43" s="5"/>
      <c r="D43" s="1" t="s">
        <v>18</v>
      </c>
      <c r="E43" s="612" t="s">
        <v>55</v>
      </c>
      <c r="F43" s="613"/>
      <c r="G43" s="4" t="s">
        <v>16</v>
      </c>
      <c r="H43" s="6" t="s">
        <v>41</v>
      </c>
    </row>
    <row r="44" spans="1:8" ht="15.75" x14ac:dyDescent="0.25">
      <c r="A44" s="609" t="s">
        <v>6</v>
      </c>
      <c r="B44" s="610"/>
      <c r="C44" s="610"/>
      <c r="D44" s="610"/>
      <c r="E44" s="610"/>
      <c r="F44" s="611"/>
      <c r="G44" s="1"/>
      <c r="H44" s="2">
        <f>H37</f>
        <v>15</v>
      </c>
    </row>
    <row r="45" spans="1:8" ht="15.75" x14ac:dyDescent="0.25">
      <c r="A45" s="3" t="s">
        <v>7</v>
      </c>
      <c r="B45" s="1"/>
      <c r="C45" s="1"/>
      <c r="D45" s="1"/>
      <c r="E45" s="1"/>
      <c r="F45" s="1"/>
      <c r="G45" s="1"/>
      <c r="H45" s="2">
        <v>22</v>
      </c>
    </row>
    <row r="46" spans="1:8" ht="51" x14ac:dyDescent="0.25">
      <c r="A46" s="7" t="s">
        <v>8</v>
      </c>
      <c r="B46" s="9" t="s">
        <v>9</v>
      </c>
      <c r="C46" s="9" t="s">
        <v>10</v>
      </c>
      <c r="D46" s="9" t="s">
        <v>11</v>
      </c>
      <c r="E46" s="9" t="s">
        <v>12</v>
      </c>
      <c r="F46" s="9" t="s">
        <v>13</v>
      </c>
      <c r="G46" s="9" t="s">
        <v>14</v>
      </c>
      <c r="H46" s="8" t="s">
        <v>15</v>
      </c>
    </row>
    <row r="47" spans="1:8" x14ac:dyDescent="0.25">
      <c r="A47" s="11">
        <v>1</v>
      </c>
      <c r="B47" s="11"/>
      <c r="C47" s="11">
        <v>7</v>
      </c>
      <c r="D47" s="11"/>
      <c r="E47" s="11"/>
      <c r="F47" s="11">
        <v>1</v>
      </c>
      <c r="G47" s="11">
        <v>1</v>
      </c>
      <c r="H47" s="5">
        <f>H44+B47+F47-(C47+D47+G47)-E47</f>
        <v>8</v>
      </c>
    </row>
    <row r="48" spans="1:8" x14ac:dyDescent="0.25">
      <c r="A48" s="11">
        <v>2</v>
      </c>
      <c r="B48" s="11">
        <v>3</v>
      </c>
      <c r="C48" s="11">
        <v>1</v>
      </c>
      <c r="D48" s="11"/>
      <c r="E48" s="11"/>
      <c r="F48" s="11">
        <v>2</v>
      </c>
      <c r="G48" s="11"/>
      <c r="H48" s="5">
        <f>H47+B48+F48-(C48+D48+G48)-E48</f>
        <v>12</v>
      </c>
    </row>
    <row r="49" spans="1:10" x14ac:dyDescent="0.25">
      <c r="A49" s="11">
        <v>3</v>
      </c>
      <c r="B49" s="11">
        <v>6</v>
      </c>
      <c r="C49" s="11">
        <v>1</v>
      </c>
      <c r="D49" s="11"/>
      <c r="E49" s="11"/>
      <c r="F49" s="11">
        <v>1</v>
      </c>
      <c r="G49" s="11">
        <v>1</v>
      </c>
      <c r="H49" s="5">
        <f t="shared" ref="H49:H75" si="2">H48+B49+F49-(C49+D49+G49)-E49</f>
        <v>17</v>
      </c>
    </row>
    <row r="50" spans="1:10" x14ac:dyDescent="0.25">
      <c r="A50" s="11">
        <v>4</v>
      </c>
      <c r="B50" s="11">
        <v>1</v>
      </c>
      <c r="C50" s="11">
        <v>1</v>
      </c>
      <c r="D50" s="11"/>
      <c r="E50" s="11"/>
      <c r="F50" s="11">
        <v>3</v>
      </c>
      <c r="G50" s="11">
        <v>1</v>
      </c>
      <c r="H50" s="5">
        <f t="shared" si="2"/>
        <v>19</v>
      </c>
    </row>
    <row r="51" spans="1:10" x14ac:dyDescent="0.25">
      <c r="A51" s="11">
        <v>5</v>
      </c>
      <c r="B51" s="11">
        <v>1</v>
      </c>
      <c r="C51" s="11">
        <v>5</v>
      </c>
      <c r="D51" s="11"/>
      <c r="E51" s="11"/>
      <c r="F51" s="11"/>
      <c r="G51" s="11">
        <v>1</v>
      </c>
      <c r="H51" s="5">
        <f t="shared" si="2"/>
        <v>14</v>
      </c>
    </row>
    <row r="52" spans="1:10" x14ac:dyDescent="0.25">
      <c r="A52" s="11">
        <v>6</v>
      </c>
      <c r="B52" s="11"/>
      <c r="C52" s="11">
        <v>7</v>
      </c>
      <c r="D52" s="11"/>
      <c r="E52" s="11"/>
      <c r="F52" s="11">
        <v>3</v>
      </c>
      <c r="G52" s="11"/>
      <c r="H52" s="5">
        <f t="shared" si="2"/>
        <v>10</v>
      </c>
    </row>
    <row r="53" spans="1:10" x14ac:dyDescent="0.25">
      <c r="A53" s="11">
        <v>7</v>
      </c>
      <c r="B53" s="11"/>
      <c r="C53" s="11">
        <v>2</v>
      </c>
      <c r="D53" s="11"/>
      <c r="E53" s="11"/>
      <c r="F53" s="11">
        <v>1</v>
      </c>
      <c r="G53" s="11"/>
      <c r="H53" s="5">
        <f t="shared" si="2"/>
        <v>9</v>
      </c>
    </row>
    <row r="54" spans="1:10" x14ac:dyDescent="0.25">
      <c r="A54" s="11">
        <v>8</v>
      </c>
      <c r="B54" s="11">
        <v>1</v>
      </c>
      <c r="C54" s="11">
        <v>4</v>
      </c>
      <c r="D54" s="11"/>
      <c r="E54" s="11"/>
      <c r="F54" s="11">
        <v>1</v>
      </c>
      <c r="G54" s="11"/>
      <c r="H54" s="5">
        <f t="shared" si="2"/>
        <v>7</v>
      </c>
    </row>
    <row r="55" spans="1:10" x14ac:dyDescent="0.25">
      <c r="A55" s="11">
        <v>9</v>
      </c>
      <c r="B55" s="11"/>
      <c r="C55" s="11">
        <v>2</v>
      </c>
      <c r="D55" s="11"/>
      <c r="E55" s="11"/>
      <c r="F55" s="11">
        <v>1</v>
      </c>
      <c r="G55" s="11"/>
      <c r="H55" s="5">
        <f t="shared" si="2"/>
        <v>6</v>
      </c>
      <c r="J55" t="s">
        <v>49</v>
      </c>
    </row>
    <row r="56" spans="1:10" x14ac:dyDescent="0.25">
      <c r="A56" s="11">
        <v>10</v>
      </c>
      <c r="B56" s="11">
        <v>4</v>
      </c>
      <c r="C56" s="11"/>
      <c r="D56" s="11"/>
      <c r="E56" s="11"/>
      <c r="F56" s="11"/>
      <c r="G56" s="11"/>
      <c r="H56" s="5">
        <f t="shared" si="2"/>
        <v>10</v>
      </c>
    </row>
    <row r="57" spans="1:10" x14ac:dyDescent="0.25">
      <c r="A57" s="11">
        <v>11</v>
      </c>
      <c r="B57" s="11">
        <v>1</v>
      </c>
      <c r="C57" s="11">
        <v>1</v>
      </c>
      <c r="D57" s="11"/>
      <c r="E57" s="11"/>
      <c r="F57" s="11">
        <v>2</v>
      </c>
      <c r="G57" s="11">
        <v>2</v>
      </c>
      <c r="H57" s="5">
        <f t="shared" si="2"/>
        <v>10</v>
      </c>
    </row>
    <row r="58" spans="1:10" x14ac:dyDescent="0.25">
      <c r="A58" s="11">
        <v>12</v>
      </c>
      <c r="B58" s="11">
        <v>3</v>
      </c>
      <c r="C58" s="11">
        <v>1</v>
      </c>
      <c r="D58" s="11"/>
      <c r="E58" s="11"/>
      <c r="F58" s="11"/>
      <c r="G58" s="11"/>
      <c r="H58" s="5">
        <f t="shared" si="2"/>
        <v>12</v>
      </c>
    </row>
    <row r="59" spans="1:10" x14ac:dyDescent="0.25">
      <c r="A59" s="11">
        <v>13</v>
      </c>
      <c r="B59" s="11">
        <v>2</v>
      </c>
      <c r="C59" s="11"/>
      <c r="D59" s="11"/>
      <c r="E59" s="11"/>
      <c r="F59" s="11">
        <v>1</v>
      </c>
      <c r="G59" s="11"/>
      <c r="H59" s="5">
        <f t="shared" si="2"/>
        <v>15</v>
      </c>
    </row>
    <row r="60" spans="1:10" x14ac:dyDescent="0.25">
      <c r="A60" s="11">
        <v>14</v>
      </c>
      <c r="B60" s="11">
        <v>1</v>
      </c>
      <c r="C60" s="11">
        <v>5</v>
      </c>
      <c r="D60" s="11"/>
      <c r="E60" s="11"/>
      <c r="F60" s="11">
        <v>1</v>
      </c>
      <c r="G60" s="11">
        <v>1</v>
      </c>
      <c r="H60" s="5">
        <f t="shared" si="2"/>
        <v>11</v>
      </c>
    </row>
    <row r="61" spans="1:10" x14ac:dyDescent="0.25">
      <c r="A61" s="11">
        <v>15</v>
      </c>
      <c r="B61" s="11">
        <v>2</v>
      </c>
      <c r="C61" s="11">
        <v>1</v>
      </c>
      <c r="D61" s="11"/>
      <c r="E61" s="11"/>
      <c r="F61" s="11"/>
      <c r="G61" s="11">
        <v>1</v>
      </c>
      <c r="H61" s="5">
        <f t="shared" si="2"/>
        <v>11</v>
      </c>
    </row>
    <row r="62" spans="1:10" x14ac:dyDescent="0.25">
      <c r="A62" s="11">
        <v>16</v>
      </c>
      <c r="B62" s="11">
        <v>2</v>
      </c>
      <c r="C62" s="11">
        <v>4</v>
      </c>
      <c r="D62" s="11"/>
      <c r="E62" s="11"/>
      <c r="F62" s="11"/>
      <c r="G62" s="11">
        <v>1</v>
      </c>
      <c r="H62" s="5">
        <f t="shared" si="2"/>
        <v>8</v>
      </c>
    </row>
    <row r="63" spans="1:10" x14ac:dyDescent="0.25">
      <c r="A63" s="11">
        <v>17</v>
      </c>
      <c r="B63" s="11">
        <v>4</v>
      </c>
      <c r="C63" s="11"/>
      <c r="D63" s="11"/>
      <c r="E63" s="11"/>
      <c r="F63" s="11">
        <v>1</v>
      </c>
      <c r="G63" s="11">
        <v>2</v>
      </c>
      <c r="H63" s="5">
        <f t="shared" si="2"/>
        <v>11</v>
      </c>
    </row>
    <row r="64" spans="1:10" x14ac:dyDescent="0.25">
      <c r="A64" s="11">
        <v>18</v>
      </c>
      <c r="B64" s="11">
        <v>3</v>
      </c>
      <c r="C64" s="11"/>
      <c r="D64" s="11"/>
      <c r="E64" s="11"/>
      <c r="F64" s="11"/>
      <c r="G64" s="11">
        <v>1</v>
      </c>
      <c r="H64" s="5">
        <f t="shared" si="2"/>
        <v>13</v>
      </c>
    </row>
    <row r="65" spans="1:8" x14ac:dyDescent="0.25">
      <c r="A65" s="11">
        <v>19</v>
      </c>
      <c r="B65" s="11">
        <v>3</v>
      </c>
      <c r="C65" s="11">
        <v>2</v>
      </c>
      <c r="D65" s="11"/>
      <c r="E65" s="11"/>
      <c r="F65" s="11">
        <v>2</v>
      </c>
      <c r="G65" s="11">
        <v>1</v>
      </c>
      <c r="H65" s="5">
        <f t="shared" si="2"/>
        <v>15</v>
      </c>
    </row>
    <row r="66" spans="1:8" x14ac:dyDescent="0.25">
      <c r="A66" s="11">
        <v>20</v>
      </c>
      <c r="B66" s="11">
        <v>4</v>
      </c>
      <c r="C66" s="11">
        <v>4</v>
      </c>
      <c r="D66" s="11"/>
      <c r="E66" s="11"/>
      <c r="F66" s="11">
        <v>3</v>
      </c>
      <c r="G66" s="11"/>
      <c r="H66" s="5">
        <f t="shared" si="2"/>
        <v>18</v>
      </c>
    </row>
    <row r="67" spans="1:8" x14ac:dyDescent="0.25">
      <c r="A67" s="11">
        <v>21</v>
      </c>
      <c r="B67" s="11"/>
      <c r="C67" s="11">
        <v>3</v>
      </c>
      <c r="D67" s="11"/>
      <c r="E67" s="11"/>
      <c r="F67" s="11">
        <v>3</v>
      </c>
      <c r="G67" s="11"/>
      <c r="H67" s="5">
        <f t="shared" si="2"/>
        <v>18</v>
      </c>
    </row>
    <row r="68" spans="1:8" x14ac:dyDescent="0.25">
      <c r="A68" s="11">
        <v>22</v>
      </c>
      <c r="B68" s="11">
        <v>1</v>
      </c>
      <c r="C68" s="11">
        <v>10</v>
      </c>
      <c r="D68" s="11"/>
      <c r="E68" s="11"/>
      <c r="F68" s="11">
        <v>1</v>
      </c>
      <c r="G68" s="11"/>
      <c r="H68" s="5">
        <f t="shared" si="2"/>
        <v>10</v>
      </c>
    </row>
    <row r="69" spans="1:8" x14ac:dyDescent="0.25">
      <c r="A69" s="11">
        <v>23</v>
      </c>
      <c r="B69" s="11">
        <v>1</v>
      </c>
      <c r="C69" s="11">
        <v>2</v>
      </c>
      <c r="D69" s="11"/>
      <c r="E69" s="11"/>
      <c r="F69" s="11">
        <v>1</v>
      </c>
      <c r="G69" s="11"/>
      <c r="H69" s="5">
        <f t="shared" si="2"/>
        <v>10</v>
      </c>
    </row>
    <row r="70" spans="1:8" x14ac:dyDescent="0.25">
      <c r="A70" s="11">
        <v>24</v>
      </c>
      <c r="B70" s="11">
        <v>5</v>
      </c>
      <c r="C70" s="11">
        <v>1</v>
      </c>
      <c r="D70" s="11"/>
      <c r="E70" s="11"/>
      <c r="F70" s="11"/>
      <c r="G70" s="11"/>
      <c r="H70" s="5">
        <f t="shared" si="2"/>
        <v>14</v>
      </c>
    </row>
    <row r="71" spans="1:8" x14ac:dyDescent="0.25">
      <c r="A71" s="11">
        <v>25</v>
      </c>
      <c r="B71" s="11">
        <v>2</v>
      </c>
      <c r="C71" s="11">
        <v>3</v>
      </c>
      <c r="D71" s="11"/>
      <c r="E71" s="11"/>
      <c r="F71" s="11">
        <v>1</v>
      </c>
      <c r="G71" s="11">
        <v>2</v>
      </c>
      <c r="H71" s="5">
        <f t="shared" si="2"/>
        <v>12</v>
      </c>
    </row>
    <row r="72" spans="1:8" x14ac:dyDescent="0.25">
      <c r="A72" s="11">
        <v>26</v>
      </c>
      <c r="B72" s="11">
        <v>6</v>
      </c>
      <c r="C72" s="11"/>
      <c r="D72" s="11"/>
      <c r="E72" s="11"/>
      <c r="F72" s="11">
        <v>1</v>
      </c>
      <c r="G72" s="11">
        <v>1</v>
      </c>
      <c r="H72" s="5">
        <f t="shared" si="2"/>
        <v>18</v>
      </c>
    </row>
    <row r="73" spans="1:8" x14ac:dyDescent="0.25">
      <c r="A73" s="11">
        <v>27</v>
      </c>
      <c r="B73" s="11">
        <v>6</v>
      </c>
      <c r="C73" s="11">
        <v>4</v>
      </c>
      <c r="D73" s="11"/>
      <c r="E73" s="11"/>
      <c r="F73" s="11">
        <v>2</v>
      </c>
      <c r="G73" s="11">
        <v>1</v>
      </c>
      <c r="H73" s="5">
        <f t="shared" si="2"/>
        <v>21</v>
      </c>
    </row>
    <row r="74" spans="1:8" x14ac:dyDescent="0.25">
      <c r="A74" s="11">
        <v>28</v>
      </c>
      <c r="B74" s="11"/>
      <c r="C74" s="11">
        <v>3</v>
      </c>
      <c r="D74" s="11"/>
      <c r="E74" s="11"/>
      <c r="F74" s="11">
        <v>1</v>
      </c>
      <c r="G74" s="11">
        <v>3</v>
      </c>
      <c r="H74" s="5">
        <f t="shared" si="2"/>
        <v>16</v>
      </c>
    </row>
    <row r="75" spans="1:8" x14ac:dyDescent="0.25">
      <c r="A75" s="11">
        <v>29</v>
      </c>
      <c r="B75" s="11"/>
      <c r="C75" s="11"/>
      <c r="D75" s="11"/>
      <c r="E75" s="11"/>
      <c r="F75" s="11"/>
      <c r="G75" s="11"/>
      <c r="H75" s="5">
        <f t="shared" si="2"/>
        <v>16</v>
      </c>
    </row>
    <row r="76" spans="1:8" x14ac:dyDescent="0.25">
      <c r="A76" s="12" t="s">
        <v>35</v>
      </c>
      <c r="B76" s="12">
        <f>SUM(B47:B75)-E76</f>
        <v>62</v>
      </c>
      <c r="C76" s="12">
        <f t="shared" ref="C76:H76" si="3">SUM(C47:C75)</f>
        <v>74</v>
      </c>
      <c r="D76" s="12">
        <f t="shared" si="3"/>
        <v>0</v>
      </c>
      <c r="E76" s="12">
        <f t="shared" si="3"/>
        <v>0</v>
      </c>
      <c r="F76" s="12">
        <f t="shared" si="3"/>
        <v>33</v>
      </c>
      <c r="G76" s="12">
        <f t="shared" si="3"/>
        <v>20</v>
      </c>
      <c r="H76" s="12">
        <f t="shared" si="3"/>
        <v>371</v>
      </c>
    </row>
    <row r="79" spans="1:8" ht="36" x14ac:dyDescent="0.55000000000000004">
      <c r="A79" s="605" t="s">
        <v>1</v>
      </c>
      <c r="B79" s="605"/>
      <c r="C79" s="605"/>
      <c r="D79" s="605"/>
      <c r="E79" s="605"/>
      <c r="F79" s="605"/>
      <c r="G79" s="605"/>
      <c r="H79" s="605"/>
    </row>
    <row r="80" spans="1:8" ht="27" thickBot="1" x14ac:dyDescent="0.45">
      <c r="A80" s="606" t="s">
        <v>0</v>
      </c>
      <c r="B80" s="606"/>
      <c r="C80" s="606"/>
      <c r="D80" s="606"/>
      <c r="E80" s="606"/>
      <c r="F80" s="606"/>
      <c r="G80" s="606"/>
      <c r="H80" s="606"/>
    </row>
    <row r="81" spans="1:8" ht="15.75" x14ac:dyDescent="0.25">
      <c r="A81" s="18" t="s">
        <v>19</v>
      </c>
      <c r="B81" s="19" t="s">
        <v>3</v>
      </c>
      <c r="C81" s="20"/>
      <c r="D81" s="21" t="s">
        <v>18</v>
      </c>
      <c r="E81" s="615" t="s">
        <v>55</v>
      </c>
      <c r="F81" s="616"/>
      <c r="G81" s="19" t="s">
        <v>16</v>
      </c>
      <c r="H81" s="22" t="s">
        <v>42</v>
      </c>
    </row>
    <row r="82" spans="1:8" ht="15.75" x14ac:dyDescent="0.25">
      <c r="A82" s="609" t="s">
        <v>6</v>
      </c>
      <c r="B82" s="610"/>
      <c r="C82" s="610"/>
      <c r="D82" s="610"/>
      <c r="E82" s="610"/>
      <c r="F82" s="611"/>
      <c r="G82" s="1"/>
      <c r="H82" s="2">
        <f>H75</f>
        <v>16</v>
      </c>
    </row>
    <row r="83" spans="1:8" ht="16.5" thickBot="1" x14ac:dyDescent="0.3">
      <c r="A83" s="23" t="s">
        <v>7</v>
      </c>
      <c r="B83" s="24"/>
      <c r="C83" s="24"/>
      <c r="D83" s="24"/>
      <c r="E83" s="24"/>
      <c r="F83" s="24"/>
      <c r="G83" s="24"/>
      <c r="H83" s="25">
        <v>22</v>
      </c>
    </row>
    <row r="84" spans="1:8" ht="51.75" thickBot="1" x14ac:dyDescent="0.3">
      <c r="A84" s="53" t="s">
        <v>8</v>
      </c>
      <c r="B84" s="54" t="s">
        <v>9</v>
      </c>
      <c r="C84" s="54" t="s">
        <v>10</v>
      </c>
      <c r="D84" s="54" t="s">
        <v>11</v>
      </c>
      <c r="E84" s="54" t="s">
        <v>12</v>
      </c>
      <c r="F84" s="54" t="s">
        <v>13</v>
      </c>
      <c r="G84" s="54" t="s">
        <v>14</v>
      </c>
      <c r="H84" s="55" t="s">
        <v>15</v>
      </c>
    </row>
    <row r="85" spans="1:8" x14ac:dyDescent="0.25">
      <c r="A85" s="36">
        <v>1</v>
      </c>
      <c r="B85" s="37"/>
      <c r="C85" s="37">
        <v>3</v>
      </c>
      <c r="D85" s="37"/>
      <c r="E85" s="37"/>
      <c r="F85" s="37">
        <v>2</v>
      </c>
      <c r="G85" s="37"/>
      <c r="H85" s="38">
        <f>H82+B85+F85-(C85+D85+G85)-E85</f>
        <v>15</v>
      </c>
    </row>
    <row r="86" spans="1:8" x14ac:dyDescent="0.25">
      <c r="A86" s="26">
        <v>2</v>
      </c>
      <c r="B86" s="5">
        <v>2</v>
      </c>
      <c r="C86" s="5">
        <v>5</v>
      </c>
      <c r="D86" s="5"/>
      <c r="E86" s="5"/>
      <c r="F86" s="5"/>
      <c r="G86" s="5"/>
      <c r="H86" s="2">
        <f>H85+B86+F86-(C86+D86+G86)-E86</f>
        <v>12</v>
      </c>
    </row>
    <row r="87" spans="1:8" x14ac:dyDescent="0.25">
      <c r="A87" s="26">
        <v>3</v>
      </c>
      <c r="B87" s="5">
        <v>1</v>
      </c>
      <c r="C87" s="5">
        <v>1</v>
      </c>
      <c r="D87" s="5"/>
      <c r="E87" s="5"/>
      <c r="F87" s="5"/>
      <c r="G87" s="5">
        <v>1</v>
      </c>
      <c r="H87" s="2">
        <f t="shared" ref="H87:H115" si="4">H86+B87+F87-(C87+D87+G87)-E87</f>
        <v>11</v>
      </c>
    </row>
    <row r="88" spans="1:8" x14ac:dyDescent="0.25">
      <c r="A88" s="26">
        <v>4</v>
      </c>
      <c r="B88" s="5">
        <v>5</v>
      </c>
      <c r="C88" s="5">
        <v>5</v>
      </c>
      <c r="D88" s="5"/>
      <c r="E88" s="5"/>
      <c r="F88" s="5">
        <v>2</v>
      </c>
      <c r="G88" s="5">
        <v>2</v>
      </c>
      <c r="H88" s="2">
        <f t="shared" si="4"/>
        <v>11</v>
      </c>
    </row>
    <row r="89" spans="1:8" x14ac:dyDescent="0.25">
      <c r="A89" s="26">
        <v>5</v>
      </c>
      <c r="B89" s="5">
        <v>3</v>
      </c>
      <c r="C89" s="5">
        <v>1</v>
      </c>
      <c r="D89" s="5"/>
      <c r="E89" s="5"/>
      <c r="F89" s="5">
        <v>3</v>
      </c>
      <c r="G89" s="5">
        <v>1</v>
      </c>
      <c r="H89" s="2">
        <f t="shared" si="4"/>
        <v>15</v>
      </c>
    </row>
    <row r="90" spans="1:8" x14ac:dyDescent="0.25">
      <c r="A90" s="26">
        <v>6</v>
      </c>
      <c r="B90" s="5">
        <v>2</v>
      </c>
      <c r="C90" s="5">
        <v>5</v>
      </c>
      <c r="D90" s="5"/>
      <c r="E90" s="5"/>
      <c r="F90" s="5">
        <v>3</v>
      </c>
      <c r="G90" s="5">
        <v>1</v>
      </c>
      <c r="H90" s="2">
        <f t="shared" si="4"/>
        <v>14</v>
      </c>
    </row>
    <row r="91" spans="1:8" x14ac:dyDescent="0.25">
      <c r="A91" s="26">
        <v>7</v>
      </c>
      <c r="B91" s="5"/>
      <c r="C91" s="5">
        <v>4</v>
      </c>
      <c r="D91" s="5"/>
      <c r="E91" s="5"/>
      <c r="F91" s="5">
        <v>2</v>
      </c>
      <c r="G91" s="5"/>
      <c r="H91" s="2">
        <f t="shared" si="4"/>
        <v>12</v>
      </c>
    </row>
    <row r="92" spans="1:8" x14ac:dyDescent="0.25">
      <c r="A92" s="26">
        <v>8</v>
      </c>
      <c r="B92" s="5"/>
      <c r="C92" s="5">
        <v>1</v>
      </c>
      <c r="D92" s="5"/>
      <c r="E92" s="5"/>
      <c r="F92" s="5"/>
      <c r="G92" s="5"/>
      <c r="H92" s="2">
        <f t="shared" si="4"/>
        <v>11</v>
      </c>
    </row>
    <row r="93" spans="1:8" x14ac:dyDescent="0.25">
      <c r="A93" s="26">
        <v>9</v>
      </c>
      <c r="B93" s="5">
        <v>2</v>
      </c>
      <c r="C93" s="5">
        <v>4</v>
      </c>
      <c r="D93" s="5"/>
      <c r="E93" s="5"/>
      <c r="F93" s="5">
        <v>2</v>
      </c>
      <c r="G93" s="5"/>
      <c r="H93" s="2">
        <f t="shared" si="4"/>
        <v>11</v>
      </c>
    </row>
    <row r="94" spans="1:8" x14ac:dyDescent="0.25">
      <c r="A94" s="26">
        <v>10</v>
      </c>
      <c r="B94" s="5">
        <v>1</v>
      </c>
      <c r="C94" s="5">
        <v>2</v>
      </c>
      <c r="D94" s="5"/>
      <c r="E94" s="5"/>
      <c r="F94" s="5">
        <v>1</v>
      </c>
      <c r="G94" s="5">
        <v>1</v>
      </c>
      <c r="H94" s="2">
        <f t="shared" si="4"/>
        <v>10</v>
      </c>
    </row>
    <row r="95" spans="1:8" x14ac:dyDescent="0.25">
      <c r="A95" s="26">
        <v>11</v>
      </c>
      <c r="B95" s="5">
        <v>1</v>
      </c>
      <c r="C95" s="5">
        <v>4</v>
      </c>
      <c r="D95" s="5"/>
      <c r="E95" s="5"/>
      <c r="F95" s="5"/>
      <c r="G95" s="5">
        <v>1</v>
      </c>
      <c r="H95" s="2">
        <f t="shared" si="4"/>
        <v>6</v>
      </c>
    </row>
    <row r="96" spans="1:8" x14ac:dyDescent="0.25">
      <c r="A96" s="26">
        <v>12</v>
      </c>
      <c r="B96" s="5">
        <v>8</v>
      </c>
      <c r="C96" s="5">
        <v>1</v>
      </c>
      <c r="D96" s="5"/>
      <c r="E96" s="5"/>
      <c r="F96" s="5"/>
      <c r="G96" s="5">
        <v>1</v>
      </c>
      <c r="H96" s="2">
        <f t="shared" si="4"/>
        <v>12</v>
      </c>
    </row>
    <row r="97" spans="1:8" x14ac:dyDescent="0.25">
      <c r="A97" s="26">
        <v>13</v>
      </c>
      <c r="B97" s="5">
        <v>1</v>
      </c>
      <c r="C97" s="5">
        <v>2</v>
      </c>
      <c r="D97" s="5"/>
      <c r="E97" s="5"/>
      <c r="F97" s="5">
        <v>1</v>
      </c>
      <c r="G97" s="5">
        <v>1</v>
      </c>
      <c r="H97" s="2">
        <f t="shared" si="4"/>
        <v>11</v>
      </c>
    </row>
    <row r="98" spans="1:8" x14ac:dyDescent="0.25">
      <c r="A98" s="26">
        <v>14</v>
      </c>
      <c r="B98" s="5">
        <v>1</v>
      </c>
      <c r="C98" s="5">
        <v>2</v>
      </c>
      <c r="D98" s="5"/>
      <c r="E98" s="5"/>
      <c r="F98" s="5">
        <v>1</v>
      </c>
      <c r="G98" s="5">
        <v>3</v>
      </c>
      <c r="H98" s="2">
        <f t="shared" si="4"/>
        <v>8</v>
      </c>
    </row>
    <row r="99" spans="1:8" x14ac:dyDescent="0.25">
      <c r="A99" s="26">
        <v>15</v>
      </c>
      <c r="B99" s="5">
        <v>3</v>
      </c>
      <c r="C99" s="5">
        <v>5</v>
      </c>
      <c r="D99" s="5"/>
      <c r="E99" s="5"/>
      <c r="F99" s="5">
        <v>1</v>
      </c>
      <c r="G99" s="5">
        <v>1</v>
      </c>
      <c r="H99" s="2">
        <f t="shared" si="4"/>
        <v>6</v>
      </c>
    </row>
    <row r="100" spans="1:8" x14ac:dyDescent="0.25">
      <c r="A100" s="26">
        <v>16</v>
      </c>
      <c r="B100" s="5"/>
      <c r="C100" s="5"/>
      <c r="D100" s="5"/>
      <c r="E100" s="5"/>
      <c r="F100" s="5">
        <v>1</v>
      </c>
      <c r="G100" s="5">
        <v>1</v>
      </c>
      <c r="H100" s="2">
        <f t="shared" si="4"/>
        <v>6</v>
      </c>
    </row>
    <row r="101" spans="1:8" x14ac:dyDescent="0.25">
      <c r="A101" s="26">
        <v>17</v>
      </c>
      <c r="B101" s="5">
        <v>3</v>
      </c>
      <c r="C101" s="5">
        <v>3</v>
      </c>
      <c r="D101" s="5"/>
      <c r="E101" s="5"/>
      <c r="F101" s="5">
        <v>1</v>
      </c>
      <c r="G101" s="5"/>
      <c r="H101" s="2">
        <f t="shared" si="4"/>
        <v>7</v>
      </c>
    </row>
    <row r="102" spans="1:8" x14ac:dyDescent="0.25">
      <c r="A102" s="26">
        <v>18</v>
      </c>
      <c r="B102" s="5">
        <v>4</v>
      </c>
      <c r="C102" s="5">
        <v>1</v>
      </c>
      <c r="D102" s="5"/>
      <c r="E102" s="5"/>
      <c r="F102" s="5">
        <v>1</v>
      </c>
      <c r="G102" s="5"/>
      <c r="H102" s="2">
        <f t="shared" si="4"/>
        <v>11</v>
      </c>
    </row>
    <row r="103" spans="1:8" x14ac:dyDescent="0.25">
      <c r="A103" s="26">
        <v>19</v>
      </c>
      <c r="B103" s="5">
        <v>4</v>
      </c>
      <c r="C103" s="5">
        <v>1</v>
      </c>
      <c r="D103" s="5"/>
      <c r="E103" s="5"/>
      <c r="F103" s="5"/>
      <c r="G103" s="5">
        <v>2</v>
      </c>
      <c r="H103" s="2">
        <f t="shared" si="4"/>
        <v>12</v>
      </c>
    </row>
    <row r="104" spans="1:8" x14ac:dyDescent="0.25">
      <c r="A104" s="26">
        <v>20</v>
      </c>
      <c r="B104" s="5">
        <v>3</v>
      </c>
      <c r="C104" s="5">
        <v>4</v>
      </c>
      <c r="D104" s="5"/>
      <c r="E104" s="5"/>
      <c r="F104" s="5"/>
      <c r="G104" s="5">
        <v>3</v>
      </c>
      <c r="H104" s="2">
        <f t="shared" si="4"/>
        <v>8</v>
      </c>
    </row>
    <row r="105" spans="1:8" x14ac:dyDescent="0.25">
      <c r="A105" s="26">
        <v>21</v>
      </c>
      <c r="B105" s="5">
        <v>3</v>
      </c>
      <c r="C105" s="5">
        <v>2</v>
      </c>
      <c r="D105" s="5"/>
      <c r="E105" s="5"/>
      <c r="F105" s="5">
        <v>3</v>
      </c>
      <c r="G105" s="5">
        <v>2</v>
      </c>
      <c r="H105" s="2">
        <f t="shared" si="4"/>
        <v>10</v>
      </c>
    </row>
    <row r="106" spans="1:8" x14ac:dyDescent="0.25">
      <c r="A106" s="26">
        <v>22</v>
      </c>
      <c r="B106" s="5"/>
      <c r="C106" s="5">
        <v>2</v>
      </c>
      <c r="D106" s="5"/>
      <c r="E106" s="5"/>
      <c r="F106" s="5">
        <v>2</v>
      </c>
      <c r="G106" s="5">
        <v>2</v>
      </c>
      <c r="H106" s="2">
        <f t="shared" si="4"/>
        <v>8</v>
      </c>
    </row>
    <row r="107" spans="1:8" x14ac:dyDescent="0.25">
      <c r="A107" s="26">
        <v>23</v>
      </c>
      <c r="B107" s="5">
        <v>1</v>
      </c>
      <c r="C107" s="5">
        <v>4</v>
      </c>
      <c r="D107" s="5"/>
      <c r="E107" s="5"/>
      <c r="F107" s="5">
        <v>1</v>
      </c>
      <c r="G107" s="5">
        <v>1</v>
      </c>
      <c r="H107" s="2">
        <f t="shared" si="4"/>
        <v>5</v>
      </c>
    </row>
    <row r="108" spans="1:8" x14ac:dyDescent="0.25">
      <c r="A108" s="26">
        <v>24</v>
      </c>
      <c r="B108" s="5">
        <v>4</v>
      </c>
      <c r="C108" s="5">
        <v>1</v>
      </c>
      <c r="D108" s="5"/>
      <c r="E108" s="5"/>
      <c r="F108" s="5">
        <v>1</v>
      </c>
      <c r="G108" s="5">
        <v>1</v>
      </c>
      <c r="H108" s="2">
        <f t="shared" si="4"/>
        <v>8</v>
      </c>
    </row>
    <row r="109" spans="1:8" x14ac:dyDescent="0.25">
      <c r="A109" s="26">
        <v>25</v>
      </c>
      <c r="B109" s="5">
        <v>1</v>
      </c>
      <c r="C109" s="5">
        <v>1</v>
      </c>
      <c r="D109" s="5"/>
      <c r="E109" s="5"/>
      <c r="F109" s="5">
        <v>1</v>
      </c>
      <c r="G109" s="5">
        <v>1</v>
      </c>
      <c r="H109" s="2">
        <f t="shared" si="4"/>
        <v>8</v>
      </c>
    </row>
    <row r="110" spans="1:8" x14ac:dyDescent="0.25">
      <c r="A110" s="26">
        <v>26</v>
      </c>
      <c r="B110" s="5">
        <v>5</v>
      </c>
      <c r="C110" s="5"/>
      <c r="D110" s="5"/>
      <c r="E110" s="5"/>
      <c r="F110" s="5">
        <v>2</v>
      </c>
      <c r="G110" s="5"/>
      <c r="H110" s="2">
        <f t="shared" si="4"/>
        <v>15</v>
      </c>
    </row>
    <row r="111" spans="1:8" x14ac:dyDescent="0.25">
      <c r="A111" s="26">
        <v>27</v>
      </c>
      <c r="B111" s="5">
        <v>2</v>
      </c>
      <c r="C111" s="5">
        <v>2</v>
      </c>
      <c r="D111" s="5"/>
      <c r="E111" s="5"/>
      <c r="F111" s="5"/>
      <c r="G111" s="5">
        <v>1</v>
      </c>
      <c r="H111" s="2">
        <f t="shared" si="4"/>
        <v>14</v>
      </c>
    </row>
    <row r="112" spans="1:8" x14ac:dyDescent="0.25">
      <c r="A112" s="26">
        <v>28</v>
      </c>
      <c r="B112" s="5">
        <v>1</v>
      </c>
      <c r="C112" s="5">
        <v>4</v>
      </c>
      <c r="D112" s="5"/>
      <c r="E112" s="5"/>
      <c r="F112" s="5">
        <v>2</v>
      </c>
      <c r="G112" s="5">
        <v>2</v>
      </c>
      <c r="H112" s="2">
        <f t="shared" si="4"/>
        <v>11</v>
      </c>
    </row>
    <row r="113" spans="1:8" x14ac:dyDescent="0.25">
      <c r="A113" s="26">
        <v>29</v>
      </c>
      <c r="B113" s="5">
        <v>2</v>
      </c>
      <c r="C113" s="5">
        <v>7</v>
      </c>
      <c r="D113" s="5"/>
      <c r="E113" s="5"/>
      <c r="F113" s="5">
        <v>3</v>
      </c>
      <c r="G113" s="5"/>
      <c r="H113" s="2">
        <f t="shared" si="4"/>
        <v>9</v>
      </c>
    </row>
    <row r="114" spans="1:8" x14ac:dyDescent="0.25">
      <c r="A114" s="26">
        <v>30</v>
      </c>
      <c r="B114" s="5">
        <v>1</v>
      </c>
      <c r="C114" s="5">
        <v>1</v>
      </c>
      <c r="D114" s="5"/>
      <c r="E114" s="5"/>
      <c r="F114" s="5">
        <v>1</v>
      </c>
      <c r="G114" s="5">
        <v>1</v>
      </c>
      <c r="H114" s="2">
        <f t="shared" si="4"/>
        <v>9</v>
      </c>
    </row>
    <row r="115" spans="1:8" x14ac:dyDescent="0.25">
      <c r="A115" s="26">
        <v>31</v>
      </c>
      <c r="B115" s="5">
        <v>2</v>
      </c>
      <c r="C115" s="5">
        <v>2</v>
      </c>
      <c r="D115" s="5"/>
      <c r="E115" s="5"/>
      <c r="F115" s="5"/>
      <c r="G115" s="5">
        <v>1</v>
      </c>
      <c r="H115" s="2">
        <f t="shared" si="4"/>
        <v>8</v>
      </c>
    </row>
    <row r="116" spans="1:8" ht="15.75" thickBot="1" x14ac:dyDescent="0.3">
      <c r="A116" s="33" t="s">
        <v>35</v>
      </c>
      <c r="B116" s="34">
        <f>SUM(B85:B115)-E116</f>
        <v>66</v>
      </c>
      <c r="C116" s="34">
        <f t="shared" ref="C116:H116" si="5">SUM(C85:C115)</f>
        <v>80</v>
      </c>
      <c r="D116" s="34">
        <f t="shared" si="5"/>
        <v>0</v>
      </c>
      <c r="E116" s="34">
        <f t="shared" si="5"/>
        <v>0</v>
      </c>
      <c r="F116" s="34">
        <f t="shared" si="5"/>
        <v>37</v>
      </c>
      <c r="G116" s="34">
        <f t="shared" si="5"/>
        <v>31</v>
      </c>
      <c r="H116" s="35">
        <f t="shared" si="5"/>
        <v>314</v>
      </c>
    </row>
    <row r="119" spans="1:8" ht="36" x14ac:dyDescent="0.55000000000000004">
      <c r="A119" s="605" t="s">
        <v>1</v>
      </c>
      <c r="B119" s="605"/>
      <c r="C119" s="605"/>
      <c r="D119" s="605"/>
      <c r="E119" s="605"/>
      <c r="F119" s="605"/>
      <c r="G119" s="605"/>
      <c r="H119" s="605"/>
    </row>
    <row r="120" spans="1:8" ht="27" thickBot="1" x14ac:dyDescent="0.45">
      <c r="A120" s="606" t="s">
        <v>0</v>
      </c>
      <c r="B120" s="606"/>
      <c r="C120" s="606"/>
      <c r="D120" s="606"/>
      <c r="E120" s="606"/>
      <c r="F120" s="606"/>
      <c r="G120" s="606"/>
      <c r="H120" s="606"/>
    </row>
    <row r="121" spans="1:8" ht="15.75" x14ac:dyDescent="0.25">
      <c r="A121" s="39" t="s">
        <v>2</v>
      </c>
      <c r="B121" s="19" t="s">
        <v>3</v>
      </c>
      <c r="C121" s="20"/>
      <c r="D121" s="21" t="s">
        <v>52</v>
      </c>
      <c r="E121" s="607" t="s">
        <v>55</v>
      </c>
      <c r="F121" s="608"/>
      <c r="G121" s="19" t="s">
        <v>16</v>
      </c>
      <c r="H121" s="32" t="s">
        <v>50</v>
      </c>
    </row>
    <row r="122" spans="1:8" ht="15.75" x14ac:dyDescent="0.25">
      <c r="A122" s="609" t="s">
        <v>6</v>
      </c>
      <c r="B122" s="610"/>
      <c r="C122" s="610"/>
      <c r="D122" s="610"/>
      <c r="E122" s="610"/>
      <c r="F122" s="611"/>
      <c r="G122" s="1"/>
      <c r="H122" s="2">
        <f>H115</f>
        <v>8</v>
      </c>
    </row>
    <row r="123" spans="1:8" ht="15.75" x14ac:dyDescent="0.25">
      <c r="A123" s="3" t="s">
        <v>7</v>
      </c>
      <c r="B123" s="1"/>
      <c r="C123" s="1"/>
      <c r="D123" s="1"/>
      <c r="E123" s="1"/>
      <c r="F123" s="1"/>
      <c r="G123" s="1"/>
      <c r="H123" s="2">
        <v>22</v>
      </c>
    </row>
    <row r="124" spans="1:8" ht="51.75" thickBot="1" x14ac:dyDescent="0.3">
      <c r="A124" s="40" t="s">
        <v>8</v>
      </c>
      <c r="B124" s="41" t="s">
        <v>9</v>
      </c>
      <c r="C124" s="41" t="s">
        <v>10</v>
      </c>
      <c r="D124" s="41" t="s">
        <v>11</v>
      </c>
      <c r="E124" s="41" t="s">
        <v>12</v>
      </c>
      <c r="F124" s="41" t="s">
        <v>13</v>
      </c>
      <c r="G124" s="41" t="s">
        <v>14</v>
      </c>
      <c r="H124" s="42" t="s">
        <v>15</v>
      </c>
    </row>
    <row r="125" spans="1:8" x14ac:dyDescent="0.25">
      <c r="A125" s="36">
        <v>1</v>
      </c>
      <c r="B125" s="37">
        <v>1</v>
      </c>
      <c r="C125" s="37">
        <v>3</v>
      </c>
      <c r="D125" s="37"/>
      <c r="E125" s="37"/>
      <c r="F125" s="37">
        <v>3</v>
      </c>
      <c r="G125" s="37">
        <v>1</v>
      </c>
      <c r="H125" s="38">
        <f>H122+B125+F125-(C125+D125+G125)-E125</f>
        <v>8</v>
      </c>
    </row>
    <row r="126" spans="1:8" x14ac:dyDescent="0.25">
      <c r="A126" s="26">
        <v>2</v>
      </c>
      <c r="B126" s="5">
        <v>3</v>
      </c>
      <c r="C126" s="5"/>
      <c r="D126" s="5"/>
      <c r="E126" s="5"/>
      <c r="F126" s="5">
        <v>1</v>
      </c>
      <c r="G126" s="5"/>
      <c r="H126" s="2">
        <f>H125+B126+F126-(C126+D126+G126)-E126</f>
        <v>12</v>
      </c>
    </row>
    <row r="127" spans="1:8" x14ac:dyDescent="0.25">
      <c r="A127" s="26">
        <v>3</v>
      </c>
      <c r="B127" s="5">
        <v>3</v>
      </c>
      <c r="C127" s="5">
        <v>2</v>
      </c>
      <c r="D127" s="5"/>
      <c r="E127" s="5"/>
      <c r="F127" s="5">
        <v>1</v>
      </c>
      <c r="G127" s="5"/>
      <c r="H127" s="2">
        <f>H126+B127+F127-(C127+D127+G127)-E127</f>
        <v>14</v>
      </c>
    </row>
    <row r="128" spans="1:8" x14ac:dyDescent="0.25">
      <c r="A128" s="26">
        <v>4</v>
      </c>
      <c r="B128" s="5"/>
      <c r="C128" s="5">
        <v>3</v>
      </c>
      <c r="D128" s="5"/>
      <c r="E128" s="5"/>
      <c r="F128" s="5">
        <v>2</v>
      </c>
      <c r="G128" s="5"/>
      <c r="H128" s="2">
        <f t="shared" ref="H128:H154" si="6">H127+B128+F128-(C128+D128+G128)-E128</f>
        <v>13</v>
      </c>
    </row>
    <row r="129" spans="1:8" x14ac:dyDescent="0.25">
      <c r="A129" s="26">
        <v>5</v>
      </c>
      <c r="B129" s="5"/>
      <c r="C129" s="5">
        <v>2</v>
      </c>
      <c r="D129" s="5"/>
      <c r="E129" s="5"/>
      <c r="F129" s="5">
        <v>3</v>
      </c>
      <c r="G129" s="5"/>
      <c r="H129" s="2">
        <f t="shared" si="6"/>
        <v>14</v>
      </c>
    </row>
    <row r="130" spans="1:8" x14ac:dyDescent="0.25">
      <c r="A130" s="26">
        <v>6</v>
      </c>
      <c r="B130" s="5">
        <v>1</v>
      </c>
      <c r="C130" s="5">
        <v>5</v>
      </c>
      <c r="D130" s="5"/>
      <c r="E130" s="5"/>
      <c r="F130" s="5">
        <v>3</v>
      </c>
      <c r="G130" s="5">
        <v>1</v>
      </c>
      <c r="H130" s="2">
        <f t="shared" si="6"/>
        <v>12</v>
      </c>
    </row>
    <row r="131" spans="1:8" x14ac:dyDescent="0.25">
      <c r="A131" s="26">
        <v>7</v>
      </c>
      <c r="B131" s="5">
        <v>2</v>
      </c>
      <c r="C131" s="5">
        <v>1</v>
      </c>
      <c r="D131" s="5"/>
      <c r="E131" s="5"/>
      <c r="F131" s="5">
        <v>1</v>
      </c>
      <c r="G131" s="5"/>
      <c r="H131" s="2">
        <f t="shared" si="6"/>
        <v>14</v>
      </c>
    </row>
    <row r="132" spans="1:8" x14ac:dyDescent="0.25">
      <c r="A132" s="26">
        <v>8</v>
      </c>
      <c r="B132" s="5">
        <v>3</v>
      </c>
      <c r="C132" s="5">
        <v>3</v>
      </c>
      <c r="D132" s="5"/>
      <c r="E132" s="5"/>
      <c r="F132" s="5">
        <v>1</v>
      </c>
      <c r="G132" s="5"/>
      <c r="H132" s="2">
        <f t="shared" si="6"/>
        <v>15</v>
      </c>
    </row>
    <row r="133" spans="1:8" x14ac:dyDescent="0.25">
      <c r="A133" s="26">
        <v>9</v>
      </c>
      <c r="B133" s="5">
        <v>1</v>
      </c>
      <c r="C133" s="5">
        <v>4</v>
      </c>
      <c r="D133" s="5"/>
      <c r="E133" s="5"/>
      <c r="F133" s="5">
        <v>3</v>
      </c>
      <c r="G133" s="5"/>
      <c r="H133" s="2">
        <f t="shared" si="6"/>
        <v>15</v>
      </c>
    </row>
    <row r="134" spans="1:8" x14ac:dyDescent="0.25">
      <c r="A134" s="26">
        <v>10</v>
      </c>
      <c r="B134" s="5">
        <v>1</v>
      </c>
      <c r="C134" s="5"/>
      <c r="D134" s="5"/>
      <c r="E134" s="5"/>
      <c r="F134" s="5"/>
      <c r="G134" s="5"/>
      <c r="H134" s="2">
        <f t="shared" si="6"/>
        <v>16</v>
      </c>
    </row>
    <row r="135" spans="1:8" x14ac:dyDescent="0.25">
      <c r="A135" s="26">
        <v>11</v>
      </c>
      <c r="B135" s="5"/>
      <c r="C135" s="5">
        <v>3</v>
      </c>
      <c r="D135" s="5"/>
      <c r="E135" s="5"/>
      <c r="F135" s="5">
        <v>2</v>
      </c>
      <c r="G135" s="5"/>
      <c r="H135" s="2">
        <f t="shared" si="6"/>
        <v>15</v>
      </c>
    </row>
    <row r="136" spans="1:8" x14ac:dyDescent="0.25">
      <c r="A136" s="26">
        <v>12</v>
      </c>
      <c r="B136" s="5">
        <v>1</v>
      </c>
      <c r="C136" s="5">
        <v>5</v>
      </c>
      <c r="D136" s="5"/>
      <c r="E136" s="5"/>
      <c r="F136" s="5">
        <v>2</v>
      </c>
      <c r="G136" s="5"/>
      <c r="H136" s="2">
        <f t="shared" si="6"/>
        <v>13</v>
      </c>
    </row>
    <row r="137" spans="1:8" x14ac:dyDescent="0.25">
      <c r="A137" s="26">
        <v>13</v>
      </c>
      <c r="B137" s="5">
        <v>1</v>
      </c>
      <c r="C137" s="5">
        <v>4</v>
      </c>
      <c r="D137" s="5"/>
      <c r="E137" s="5"/>
      <c r="F137" s="5">
        <v>2</v>
      </c>
      <c r="G137" s="5">
        <v>2</v>
      </c>
      <c r="H137" s="2">
        <f t="shared" si="6"/>
        <v>10</v>
      </c>
    </row>
    <row r="138" spans="1:8" x14ac:dyDescent="0.25">
      <c r="A138" s="26">
        <v>14</v>
      </c>
      <c r="B138" s="5">
        <v>4</v>
      </c>
      <c r="C138" s="5">
        <v>1</v>
      </c>
      <c r="D138" s="5"/>
      <c r="E138" s="5"/>
      <c r="F138" s="5">
        <v>1</v>
      </c>
      <c r="G138" s="5">
        <v>1</v>
      </c>
      <c r="H138" s="2">
        <f t="shared" si="6"/>
        <v>13</v>
      </c>
    </row>
    <row r="139" spans="1:8" x14ac:dyDescent="0.25">
      <c r="A139" s="26">
        <v>15</v>
      </c>
      <c r="B139" s="5">
        <v>2</v>
      </c>
      <c r="C139" s="5">
        <v>1</v>
      </c>
      <c r="D139" s="5"/>
      <c r="E139" s="5"/>
      <c r="F139" s="5">
        <v>1</v>
      </c>
      <c r="G139" s="5"/>
      <c r="H139" s="2">
        <f t="shared" si="6"/>
        <v>15</v>
      </c>
    </row>
    <row r="140" spans="1:8" x14ac:dyDescent="0.25">
      <c r="A140" s="26">
        <v>16</v>
      </c>
      <c r="B140" s="5">
        <v>5</v>
      </c>
      <c r="C140" s="5">
        <v>3</v>
      </c>
      <c r="D140" s="5"/>
      <c r="E140" s="5"/>
      <c r="F140" s="5">
        <v>1</v>
      </c>
      <c r="G140" s="5"/>
      <c r="H140" s="2">
        <f t="shared" si="6"/>
        <v>18</v>
      </c>
    </row>
    <row r="141" spans="1:8" x14ac:dyDescent="0.25">
      <c r="A141" s="26">
        <v>17</v>
      </c>
      <c r="B141" s="5">
        <v>2</v>
      </c>
      <c r="C141" s="5">
        <v>4</v>
      </c>
      <c r="D141" s="5"/>
      <c r="E141" s="5"/>
      <c r="F141" s="5">
        <v>1</v>
      </c>
      <c r="G141" s="5">
        <v>1</v>
      </c>
      <c r="H141" s="2">
        <f t="shared" si="6"/>
        <v>16</v>
      </c>
    </row>
    <row r="142" spans="1:8" x14ac:dyDescent="0.25">
      <c r="A142" s="26">
        <v>18</v>
      </c>
      <c r="B142" s="5">
        <v>2</v>
      </c>
      <c r="C142" s="5">
        <v>4</v>
      </c>
      <c r="D142" s="5"/>
      <c r="E142" s="5"/>
      <c r="F142" s="5">
        <v>3</v>
      </c>
      <c r="G142" s="5">
        <v>2</v>
      </c>
      <c r="H142" s="2">
        <f t="shared" si="6"/>
        <v>15</v>
      </c>
    </row>
    <row r="143" spans="1:8" x14ac:dyDescent="0.25">
      <c r="A143" s="26">
        <v>19</v>
      </c>
      <c r="B143" s="5"/>
      <c r="C143" s="5">
        <v>2</v>
      </c>
      <c r="D143" s="5"/>
      <c r="E143" s="5"/>
      <c r="F143" s="5">
        <v>2</v>
      </c>
      <c r="G143" s="5"/>
      <c r="H143" s="2">
        <f t="shared" si="6"/>
        <v>15</v>
      </c>
    </row>
    <row r="144" spans="1:8" x14ac:dyDescent="0.25">
      <c r="A144" s="26">
        <v>20</v>
      </c>
      <c r="B144" s="5"/>
      <c r="C144" s="5">
        <v>8</v>
      </c>
      <c r="D144" s="5"/>
      <c r="E144" s="5"/>
      <c r="F144" s="5">
        <v>1</v>
      </c>
      <c r="G144" s="5"/>
      <c r="H144" s="2">
        <f t="shared" si="6"/>
        <v>8</v>
      </c>
    </row>
    <row r="145" spans="1:8" x14ac:dyDescent="0.25">
      <c r="A145" s="26">
        <v>21</v>
      </c>
      <c r="B145" s="5">
        <v>2</v>
      </c>
      <c r="C145" s="5">
        <v>5</v>
      </c>
      <c r="D145" s="5"/>
      <c r="E145" s="5"/>
      <c r="F145" s="5">
        <v>3</v>
      </c>
      <c r="G145" s="5"/>
      <c r="H145" s="2">
        <f t="shared" si="6"/>
        <v>8</v>
      </c>
    </row>
    <row r="146" spans="1:8" x14ac:dyDescent="0.25">
      <c r="A146" s="26">
        <v>22</v>
      </c>
      <c r="B146" s="5">
        <v>8</v>
      </c>
      <c r="C146" s="5"/>
      <c r="D146" s="5"/>
      <c r="E146" s="5"/>
      <c r="F146" s="5">
        <v>3</v>
      </c>
      <c r="G146" s="5">
        <v>1</v>
      </c>
      <c r="H146" s="2">
        <f t="shared" si="6"/>
        <v>18</v>
      </c>
    </row>
    <row r="147" spans="1:8" x14ac:dyDescent="0.25">
      <c r="A147" s="26">
        <v>23</v>
      </c>
      <c r="B147" s="5">
        <v>1</v>
      </c>
      <c r="C147" s="5">
        <v>5</v>
      </c>
      <c r="D147" s="5"/>
      <c r="E147" s="5"/>
      <c r="F147" s="5">
        <v>4</v>
      </c>
      <c r="G147" s="5">
        <v>2</v>
      </c>
      <c r="H147" s="2">
        <f t="shared" si="6"/>
        <v>16</v>
      </c>
    </row>
    <row r="148" spans="1:8" x14ac:dyDescent="0.25">
      <c r="A148" s="26">
        <v>24</v>
      </c>
      <c r="B148" s="5">
        <v>4</v>
      </c>
      <c r="C148" s="5">
        <v>4</v>
      </c>
      <c r="D148" s="5"/>
      <c r="E148" s="5"/>
      <c r="F148" s="5">
        <v>1</v>
      </c>
      <c r="G148" s="5">
        <v>1</v>
      </c>
      <c r="H148" s="2">
        <f t="shared" si="6"/>
        <v>16</v>
      </c>
    </row>
    <row r="149" spans="1:8" x14ac:dyDescent="0.25">
      <c r="A149" s="26">
        <v>25</v>
      </c>
      <c r="B149" s="5">
        <v>4</v>
      </c>
      <c r="C149" s="5">
        <v>6</v>
      </c>
      <c r="D149" s="5"/>
      <c r="E149" s="5"/>
      <c r="F149" s="5">
        <v>3</v>
      </c>
      <c r="G149" s="5">
        <v>3</v>
      </c>
      <c r="H149" s="2">
        <f t="shared" si="6"/>
        <v>14</v>
      </c>
    </row>
    <row r="150" spans="1:8" x14ac:dyDescent="0.25">
      <c r="A150" s="26">
        <v>26</v>
      </c>
      <c r="B150" s="5">
        <v>1</v>
      </c>
      <c r="C150" s="5">
        <v>5</v>
      </c>
      <c r="D150" s="5"/>
      <c r="E150" s="5"/>
      <c r="F150" s="5">
        <v>1</v>
      </c>
      <c r="G150" s="5">
        <v>3</v>
      </c>
      <c r="H150" s="2">
        <f t="shared" si="6"/>
        <v>8</v>
      </c>
    </row>
    <row r="151" spans="1:8" x14ac:dyDescent="0.25">
      <c r="A151" s="26">
        <v>27</v>
      </c>
      <c r="B151" s="5">
        <v>1</v>
      </c>
      <c r="C151" s="5">
        <v>3</v>
      </c>
      <c r="D151" s="5"/>
      <c r="E151" s="5"/>
      <c r="F151" s="5">
        <v>3</v>
      </c>
      <c r="G151" s="5">
        <v>1</v>
      </c>
      <c r="H151" s="2">
        <f t="shared" si="6"/>
        <v>8</v>
      </c>
    </row>
    <row r="152" spans="1:8" x14ac:dyDescent="0.25">
      <c r="A152" s="26">
        <v>28</v>
      </c>
      <c r="B152" s="5">
        <v>5</v>
      </c>
      <c r="C152" s="5">
        <v>3</v>
      </c>
      <c r="D152" s="5"/>
      <c r="E152" s="5"/>
      <c r="F152" s="5">
        <v>3</v>
      </c>
      <c r="G152" s="5">
        <v>1</v>
      </c>
      <c r="H152" s="2">
        <f t="shared" si="6"/>
        <v>12</v>
      </c>
    </row>
    <row r="153" spans="1:8" x14ac:dyDescent="0.25">
      <c r="A153" s="26">
        <v>29</v>
      </c>
      <c r="B153" s="5">
        <v>2</v>
      </c>
      <c r="C153" s="5"/>
      <c r="D153" s="5"/>
      <c r="E153" s="5"/>
      <c r="F153" s="5">
        <v>2</v>
      </c>
      <c r="G153" s="5"/>
      <c r="H153" s="2">
        <f t="shared" si="6"/>
        <v>16</v>
      </c>
    </row>
    <row r="154" spans="1:8" ht="15.75" thickBot="1" x14ac:dyDescent="0.3">
      <c r="A154" s="28">
        <v>30</v>
      </c>
      <c r="B154" s="29">
        <v>5</v>
      </c>
      <c r="C154" s="29">
        <v>4</v>
      </c>
      <c r="D154" s="29"/>
      <c r="E154" s="29"/>
      <c r="F154" s="29">
        <v>1</v>
      </c>
      <c r="G154" s="29">
        <v>2</v>
      </c>
      <c r="H154" s="57">
        <f t="shared" si="6"/>
        <v>16</v>
      </c>
    </row>
    <row r="155" spans="1:8" ht="15.75" thickBot="1" x14ac:dyDescent="0.3">
      <c r="A155" s="60" t="s">
        <v>35</v>
      </c>
      <c r="B155" s="58">
        <f>SUM(B125:B154)-E155</f>
        <v>65</v>
      </c>
      <c r="C155" s="58">
        <f t="shared" ref="C155:H155" si="7">SUM(C125:C154)</f>
        <v>93</v>
      </c>
      <c r="D155" s="58">
        <f t="shared" si="7"/>
        <v>0</v>
      </c>
      <c r="E155" s="58">
        <f t="shared" si="7"/>
        <v>0</v>
      </c>
      <c r="F155" s="58">
        <f t="shared" si="7"/>
        <v>58</v>
      </c>
      <c r="G155" s="58">
        <f t="shared" si="7"/>
        <v>22</v>
      </c>
      <c r="H155" s="59">
        <f t="shared" si="7"/>
        <v>403</v>
      </c>
    </row>
    <row r="158" spans="1:8" ht="36" x14ac:dyDescent="0.55000000000000004">
      <c r="A158" s="605" t="s">
        <v>1</v>
      </c>
      <c r="B158" s="605"/>
      <c r="C158" s="605"/>
      <c r="D158" s="605"/>
      <c r="E158" s="605"/>
      <c r="F158" s="605"/>
      <c r="G158" s="605"/>
      <c r="H158" s="605"/>
    </row>
    <row r="159" spans="1:8" ht="27" thickBot="1" x14ac:dyDescent="0.45">
      <c r="A159" s="606" t="s">
        <v>0</v>
      </c>
      <c r="B159" s="606"/>
      <c r="C159" s="606"/>
      <c r="D159" s="606"/>
      <c r="E159" s="606"/>
      <c r="F159" s="606"/>
      <c r="G159" s="606"/>
      <c r="H159" s="606"/>
    </row>
    <row r="160" spans="1:8" ht="15.75" x14ac:dyDescent="0.25">
      <c r="A160" s="39" t="s">
        <v>2</v>
      </c>
      <c r="B160" s="19" t="s">
        <v>3</v>
      </c>
      <c r="C160" s="20"/>
      <c r="D160" s="21" t="s">
        <v>52</v>
      </c>
      <c r="E160" s="607" t="s">
        <v>55</v>
      </c>
      <c r="F160" s="608"/>
      <c r="G160" s="19" t="s">
        <v>16</v>
      </c>
      <c r="H160" s="32" t="s">
        <v>58</v>
      </c>
    </row>
    <row r="161" spans="1:8" ht="15.75" x14ac:dyDescent="0.25">
      <c r="A161" s="609" t="s">
        <v>6</v>
      </c>
      <c r="B161" s="610"/>
      <c r="C161" s="610"/>
      <c r="D161" s="610"/>
      <c r="E161" s="610"/>
      <c r="F161" s="611"/>
      <c r="G161" s="1"/>
      <c r="H161" s="2">
        <f>H154</f>
        <v>16</v>
      </c>
    </row>
    <row r="162" spans="1:8" ht="15.75" x14ac:dyDescent="0.25">
      <c r="A162" s="3" t="s">
        <v>7</v>
      </c>
      <c r="B162" s="1"/>
      <c r="C162" s="1"/>
      <c r="D162" s="1"/>
      <c r="E162" s="1"/>
      <c r="F162" s="1"/>
      <c r="G162" s="1"/>
      <c r="H162" s="2">
        <v>22</v>
      </c>
    </row>
    <row r="163" spans="1:8" ht="51.75" thickBot="1" x14ac:dyDescent="0.3">
      <c r="A163" s="40" t="s">
        <v>8</v>
      </c>
      <c r="B163" s="41" t="s">
        <v>9</v>
      </c>
      <c r="C163" s="41" t="s">
        <v>10</v>
      </c>
      <c r="D163" s="41" t="s">
        <v>11</v>
      </c>
      <c r="E163" s="41" t="s">
        <v>12</v>
      </c>
      <c r="F163" s="41" t="s">
        <v>13</v>
      </c>
      <c r="G163" s="41" t="s">
        <v>14</v>
      </c>
      <c r="H163" s="42" t="s">
        <v>15</v>
      </c>
    </row>
    <row r="164" spans="1:8" x14ac:dyDescent="0.25">
      <c r="A164" s="36">
        <v>1</v>
      </c>
      <c r="B164" s="37">
        <v>1</v>
      </c>
      <c r="C164" s="37">
        <v>6</v>
      </c>
      <c r="D164" s="37"/>
      <c r="E164" s="37"/>
      <c r="F164" s="37">
        <v>1</v>
      </c>
      <c r="G164" s="37"/>
      <c r="H164" s="38">
        <f>H161+B164+F164-(C164+D164+G164)-E164</f>
        <v>12</v>
      </c>
    </row>
    <row r="165" spans="1:8" x14ac:dyDescent="0.25">
      <c r="A165" s="26">
        <v>2</v>
      </c>
      <c r="B165" s="5"/>
      <c r="C165" s="5">
        <v>3</v>
      </c>
      <c r="D165" s="5"/>
      <c r="E165" s="5"/>
      <c r="F165" s="5"/>
      <c r="G165" s="5"/>
      <c r="H165" s="2">
        <f>H164+B165+F165-(C165+D165+G165)-E165</f>
        <v>9</v>
      </c>
    </row>
    <row r="166" spans="1:8" x14ac:dyDescent="0.25">
      <c r="A166" s="26">
        <v>3</v>
      </c>
      <c r="B166" s="5">
        <v>1</v>
      </c>
      <c r="C166" s="5">
        <v>5</v>
      </c>
      <c r="D166" s="5"/>
      <c r="E166" s="5"/>
      <c r="F166" s="5"/>
      <c r="G166" s="5"/>
      <c r="H166" s="2">
        <f>H165+B166+F166-(C166+D166+G166)-E166</f>
        <v>5</v>
      </c>
    </row>
    <row r="167" spans="1:8" x14ac:dyDescent="0.25">
      <c r="A167" s="26">
        <v>4</v>
      </c>
      <c r="B167" s="5">
        <v>1</v>
      </c>
      <c r="C167" s="5">
        <v>2</v>
      </c>
      <c r="D167" s="5"/>
      <c r="E167" s="5"/>
      <c r="F167" s="5">
        <v>4</v>
      </c>
      <c r="G167" s="5">
        <v>1</v>
      </c>
      <c r="H167" s="2">
        <f t="shared" ref="H167:H194" si="8">H166+B167+F167-(C167+D167+G167)-E167</f>
        <v>7</v>
      </c>
    </row>
    <row r="168" spans="1:8" x14ac:dyDescent="0.25">
      <c r="A168" s="26">
        <v>5</v>
      </c>
      <c r="B168" s="5">
        <v>8</v>
      </c>
      <c r="C168" s="5"/>
      <c r="D168" s="5"/>
      <c r="E168" s="5"/>
      <c r="F168" s="5">
        <v>2</v>
      </c>
      <c r="G168" s="5">
        <v>1</v>
      </c>
      <c r="H168" s="2">
        <f t="shared" si="8"/>
        <v>16</v>
      </c>
    </row>
    <row r="169" spans="1:8" x14ac:dyDescent="0.25">
      <c r="A169" s="26">
        <v>6</v>
      </c>
      <c r="B169" s="5">
        <v>2</v>
      </c>
      <c r="C169" s="5"/>
      <c r="D169" s="5"/>
      <c r="E169" s="5"/>
      <c r="F169" s="5">
        <v>3</v>
      </c>
      <c r="G169" s="5">
        <v>2</v>
      </c>
      <c r="H169" s="2">
        <f t="shared" si="8"/>
        <v>19</v>
      </c>
    </row>
    <row r="170" spans="1:8" x14ac:dyDescent="0.25">
      <c r="A170" s="26">
        <v>7</v>
      </c>
      <c r="B170" s="5">
        <v>4</v>
      </c>
      <c r="C170" s="5">
        <v>6</v>
      </c>
      <c r="D170" s="5"/>
      <c r="E170" s="5"/>
      <c r="F170" s="5">
        <v>2</v>
      </c>
      <c r="G170" s="5">
        <v>1</v>
      </c>
      <c r="H170" s="2">
        <f t="shared" si="8"/>
        <v>18</v>
      </c>
    </row>
    <row r="171" spans="1:8" x14ac:dyDescent="0.25">
      <c r="A171" s="26">
        <v>8</v>
      </c>
      <c r="B171" s="5">
        <v>1</v>
      </c>
      <c r="C171" s="5">
        <v>6</v>
      </c>
      <c r="D171" s="5"/>
      <c r="E171" s="5"/>
      <c r="F171" s="5">
        <v>5</v>
      </c>
      <c r="G171" s="5"/>
      <c r="H171" s="2">
        <f t="shared" si="8"/>
        <v>18</v>
      </c>
    </row>
    <row r="172" spans="1:8" x14ac:dyDescent="0.25">
      <c r="A172" s="26">
        <v>9</v>
      </c>
      <c r="B172" s="5"/>
      <c r="C172" s="5">
        <v>4</v>
      </c>
      <c r="D172" s="5"/>
      <c r="E172" s="5"/>
      <c r="F172" s="5">
        <v>2</v>
      </c>
      <c r="G172" s="5">
        <v>2</v>
      </c>
      <c r="H172" s="2">
        <f t="shared" si="8"/>
        <v>14</v>
      </c>
    </row>
    <row r="173" spans="1:8" x14ac:dyDescent="0.25">
      <c r="A173" s="26">
        <v>10</v>
      </c>
      <c r="B173" s="5">
        <v>3</v>
      </c>
      <c r="C173" s="5">
        <v>4</v>
      </c>
      <c r="D173" s="5"/>
      <c r="E173" s="5"/>
      <c r="F173" s="5"/>
      <c r="G173" s="5"/>
      <c r="H173" s="2">
        <f t="shared" si="8"/>
        <v>13</v>
      </c>
    </row>
    <row r="174" spans="1:8" x14ac:dyDescent="0.25">
      <c r="A174" s="26">
        <v>11</v>
      </c>
      <c r="B174" s="5">
        <v>1</v>
      </c>
      <c r="C174" s="5">
        <v>3</v>
      </c>
      <c r="D174" s="5"/>
      <c r="E174" s="5"/>
      <c r="F174" s="5">
        <v>1</v>
      </c>
      <c r="G174" s="5">
        <v>1</v>
      </c>
      <c r="H174" s="2">
        <f t="shared" si="8"/>
        <v>11</v>
      </c>
    </row>
    <row r="175" spans="1:8" x14ac:dyDescent="0.25">
      <c r="A175" s="26">
        <v>12</v>
      </c>
      <c r="B175" s="5">
        <v>2</v>
      </c>
      <c r="C175" s="5">
        <v>2</v>
      </c>
      <c r="D175" s="5"/>
      <c r="E175" s="5"/>
      <c r="F175" s="5">
        <v>1</v>
      </c>
      <c r="G175" s="5">
        <v>1</v>
      </c>
      <c r="H175" s="2">
        <f t="shared" si="8"/>
        <v>11</v>
      </c>
    </row>
    <row r="176" spans="1:8" x14ac:dyDescent="0.25">
      <c r="A176" s="26">
        <v>13</v>
      </c>
      <c r="B176" s="5"/>
      <c r="C176" s="5">
        <v>3</v>
      </c>
      <c r="D176" s="5"/>
      <c r="E176" s="5"/>
      <c r="F176" s="5">
        <v>2</v>
      </c>
      <c r="G176" s="5"/>
      <c r="H176" s="2">
        <f t="shared" si="8"/>
        <v>10</v>
      </c>
    </row>
    <row r="177" spans="1:8" x14ac:dyDescent="0.25">
      <c r="A177" s="26">
        <v>14</v>
      </c>
      <c r="B177" s="5">
        <v>7</v>
      </c>
      <c r="C177" s="5"/>
      <c r="D177" s="5"/>
      <c r="E177" s="5"/>
      <c r="F177" s="5">
        <v>3</v>
      </c>
      <c r="G177" s="5"/>
      <c r="H177" s="2">
        <f t="shared" si="8"/>
        <v>20</v>
      </c>
    </row>
    <row r="178" spans="1:8" x14ac:dyDescent="0.25">
      <c r="A178" s="26">
        <v>15</v>
      </c>
      <c r="B178" s="5">
        <v>4</v>
      </c>
      <c r="C178" s="5">
        <v>5</v>
      </c>
      <c r="D178" s="5"/>
      <c r="E178" s="5"/>
      <c r="F178" s="5">
        <v>2</v>
      </c>
      <c r="G178" s="5">
        <v>2</v>
      </c>
      <c r="H178" s="2">
        <f t="shared" si="8"/>
        <v>19</v>
      </c>
    </row>
    <row r="179" spans="1:8" x14ac:dyDescent="0.25">
      <c r="A179" s="26">
        <v>16</v>
      </c>
      <c r="B179" s="5">
        <v>1</v>
      </c>
      <c r="C179" s="5">
        <v>6</v>
      </c>
      <c r="D179" s="5"/>
      <c r="E179" s="5"/>
      <c r="F179" s="5">
        <v>2</v>
      </c>
      <c r="G179" s="5"/>
      <c r="H179" s="2">
        <f t="shared" si="8"/>
        <v>16</v>
      </c>
    </row>
    <row r="180" spans="1:8" x14ac:dyDescent="0.25">
      <c r="A180" s="26">
        <v>17</v>
      </c>
      <c r="B180" s="5"/>
      <c r="C180" s="5">
        <v>4</v>
      </c>
      <c r="D180" s="5"/>
      <c r="E180" s="5"/>
      <c r="F180" s="5">
        <v>1</v>
      </c>
      <c r="G180" s="5"/>
      <c r="H180" s="2">
        <f t="shared" si="8"/>
        <v>13</v>
      </c>
    </row>
    <row r="181" spans="1:8" x14ac:dyDescent="0.25">
      <c r="A181" s="26">
        <v>18</v>
      </c>
      <c r="B181" s="5">
        <v>4</v>
      </c>
      <c r="C181" s="5">
        <v>7</v>
      </c>
      <c r="D181" s="5"/>
      <c r="E181" s="5"/>
      <c r="F181" s="5">
        <v>2</v>
      </c>
      <c r="G181" s="5"/>
      <c r="H181" s="2">
        <f t="shared" si="8"/>
        <v>12</v>
      </c>
    </row>
    <row r="182" spans="1:8" x14ac:dyDescent="0.25">
      <c r="A182" s="26">
        <v>19</v>
      </c>
      <c r="B182" s="5">
        <v>2</v>
      </c>
      <c r="C182" s="5">
        <v>2</v>
      </c>
      <c r="D182" s="5"/>
      <c r="E182" s="5"/>
      <c r="F182" s="5">
        <v>2</v>
      </c>
      <c r="G182" s="5">
        <v>2</v>
      </c>
      <c r="H182" s="2">
        <f t="shared" si="8"/>
        <v>12</v>
      </c>
    </row>
    <row r="183" spans="1:8" x14ac:dyDescent="0.25">
      <c r="A183" s="26">
        <v>20</v>
      </c>
      <c r="B183" s="5"/>
      <c r="C183" s="5">
        <v>4</v>
      </c>
      <c r="D183" s="5"/>
      <c r="E183" s="5"/>
      <c r="F183" s="5">
        <v>1</v>
      </c>
      <c r="G183" s="5"/>
      <c r="H183" s="2">
        <f t="shared" si="8"/>
        <v>9</v>
      </c>
    </row>
    <row r="184" spans="1:8" x14ac:dyDescent="0.25">
      <c r="A184" s="26">
        <v>21</v>
      </c>
      <c r="B184" s="5">
        <v>2</v>
      </c>
      <c r="C184" s="5">
        <v>1</v>
      </c>
      <c r="D184" s="5"/>
      <c r="E184" s="5"/>
      <c r="F184" s="5">
        <v>1</v>
      </c>
      <c r="G184" s="5"/>
      <c r="H184" s="2">
        <f t="shared" si="8"/>
        <v>11</v>
      </c>
    </row>
    <row r="185" spans="1:8" x14ac:dyDescent="0.25">
      <c r="A185" s="26">
        <v>22</v>
      </c>
      <c r="B185" s="5">
        <v>5</v>
      </c>
      <c r="C185" s="5">
        <v>2</v>
      </c>
      <c r="D185" s="5"/>
      <c r="E185" s="5"/>
      <c r="F185" s="5">
        <v>4</v>
      </c>
      <c r="G185" s="5">
        <v>1</v>
      </c>
      <c r="H185" s="2">
        <f t="shared" si="8"/>
        <v>17</v>
      </c>
    </row>
    <row r="186" spans="1:8" x14ac:dyDescent="0.25">
      <c r="A186" s="26">
        <v>23</v>
      </c>
      <c r="B186" s="5"/>
      <c r="C186" s="5">
        <v>2</v>
      </c>
      <c r="D186" s="5"/>
      <c r="E186" s="5"/>
      <c r="F186" s="5">
        <v>2</v>
      </c>
      <c r="G186" s="5">
        <v>1</v>
      </c>
      <c r="H186" s="2">
        <f t="shared" si="8"/>
        <v>16</v>
      </c>
    </row>
    <row r="187" spans="1:8" x14ac:dyDescent="0.25">
      <c r="A187" s="26">
        <v>24</v>
      </c>
      <c r="B187" s="5">
        <v>1</v>
      </c>
      <c r="C187" s="5">
        <v>7</v>
      </c>
      <c r="D187" s="5"/>
      <c r="E187" s="5"/>
      <c r="F187" s="5">
        <v>2</v>
      </c>
      <c r="G187" s="5">
        <v>1</v>
      </c>
      <c r="H187" s="2">
        <f t="shared" si="8"/>
        <v>11</v>
      </c>
    </row>
    <row r="188" spans="1:8" x14ac:dyDescent="0.25">
      <c r="A188" s="26">
        <v>25</v>
      </c>
      <c r="B188" s="5">
        <v>2</v>
      </c>
      <c r="C188" s="5">
        <v>1</v>
      </c>
      <c r="D188" s="5"/>
      <c r="E188" s="5"/>
      <c r="F188" s="5">
        <v>1</v>
      </c>
      <c r="G188" s="5"/>
      <c r="H188" s="2">
        <f t="shared" si="8"/>
        <v>13</v>
      </c>
    </row>
    <row r="189" spans="1:8" x14ac:dyDescent="0.25">
      <c r="A189" s="26">
        <v>26</v>
      </c>
      <c r="B189" s="5">
        <v>2</v>
      </c>
      <c r="C189" s="5">
        <v>4</v>
      </c>
      <c r="D189" s="5"/>
      <c r="E189" s="5"/>
      <c r="F189" s="5">
        <v>2</v>
      </c>
      <c r="G189" s="5">
        <v>1</v>
      </c>
      <c r="H189" s="2">
        <f t="shared" si="8"/>
        <v>12</v>
      </c>
    </row>
    <row r="190" spans="1:8" x14ac:dyDescent="0.25">
      <c r="A190" s="26">
        <v>27</v>
      </c>
      <c r="B190" s="5">
        <v>3</v>
      </c>
      <c r="C190" s="5">
        <v>3</v>
      </c>
      <c r="D190" s="5"/>
      <c r="E190" s="5"/>
      <c r="F190" s="5">
        <v>2</v>
      </c>
      <c r="G190" s="5">
        <v>1</v>
      </c>
      <c r="H190" s="2">
        <f t="shared" si="8"/>
        <v>13</v>
      </c>
    </row>
    <row r="191" spans="1:8" x14ac:dyDescent="0.25">
      <c r="A191" s="26">
        <v>28</v>
      </c>
      <c r="B191" s="5">
        <v>2</v>
      </c>
      <c r="C191" s="5">
        <v>3</v>
      </c>
      <c r="D191" s="5"/>
      <c r="E191" s="5"/>
      <c r="F191" s="5">
        <v>1</v>
      </c>
      <c r="G191" s="5">
        <v>1</v>
      </c>
      <c r="H191" s="2">
        <f t="shared" si="8"/>
        <v>12</v>
      </c>
    </row>
    <row r="192" spans="1:8" x14ac:dyDescent="0.25">
      <c r="A192" s="26">
        <v>29</v>
      </c>
      <c r="B192" s="5">
        <v>1</v>
      </c>
      <c r="C192" s="5">
        <v>2</v>
      </c>
      <c r="D192" s="5"/>
      <c r="E192" s="5"/>
      <c r="F192" s="5">
        <v>1</v>
      </c>
      <c r="G192" s="5"/>
      <c r="H192" s="2">
        <f t="shared" si="8"/>
        <v>12</v>
      </c>
    </row>
    <row r="193" spans="1:8" x14ac:dyDescent="0.25">
      <c r="A193" s="28">
        <v>30</v>
      </c>
      <c r="B193" s="29">
        <v>2</v>
      </c>
      <c r="C193" s="29">
        <v>1</v>
      </c>
      <c r="D193" s="29"/>
      <c r="E193" s="29"/>
      <c r="F193" s="29">
        <v>1</v>
      </c>
      <c r="G193" s="29">
        <v>1</v>
      </c>
      <c r="H193" s="57">
        <f t="shared" si="8"/>
        <v>13</v>
      </c>
    </row>
    <row r="194" spans="1:8" ht="15.75" thickBot="1" x14ac:dyDescent="0.3">
      <c r="A194" s="63">
        <v>31</v>
      </c>
      <c r="B194" s="29">
        <v>1</v>
      </c>
      <c r="C194" s="29">
        <v>3</v>
      </c>
      <c r="D194" s="29"/>
      <c r="E194" s="29"/>
      <c r="F194" s="29"/>
      <c r="G194" s="29">
        <v>1</v>
      </c>
      <c r="H194" s="29">
        <f t="shared" si="8"/>
        <v>10</v>
      </c>
    </row>
    <row r="195" spans="1:8" ht="15.75" thickBot="1" x14ac:dyDescent="0.3">
      <c r="A195" s="60" t="s">
        <v>35</v>
      </c>
      <c r="B195" s="58">
        <f>SUM(B164:B194)-E195</f>
        <v>63</v>
      </c>
      <c r="C195" s="58">
        <f t="shared" ref="C195:H195" si="9">SUM(C164:C194)</f>
        <v>101</v>
      </c>
      <c r="D195" s="58">
        <f t="shared" si="9"/>
        <v>0</v>
      </c>
      <c r="E195" s="58">
        <f t="shared" si="9"/>
        <v>0</v>
      </c>
      <c r="F195" s="58">
        <f t="shared" si="9"/>
        <v>53</v>
      </c>
      <c r="G195" s="58">
        <f t="shared" si="9"/>
        <v>21</v>
      </c>
      <c r="H195" s="59">
        <f t="shared" si="9"/>
        <v>404</v>
      </c>
    </row>
    <row r="198" spans="1:8" ht="36" x14ac:dyDescent="0.55000000000000004">
      <c r="A198" s="605" t="s">
        <v>1</v>
      </c>
      <c r="B198" s="605"/>
      <c r="C198" s="605"/>
      <c r="D198" s="605"/>
      <c r="E198" s="605"/>
      <c r="F198" s="605"/>
      <c r="G198" s="605"/>
      <c r="H198" s="605"/>
    </row>
    <row r="199" spans="1:8" ht="27" thickBot="1" x14ac:dyDescent="0.45">
      <c r="A199" s="606" t="s">
        <v>0</v>
      </c>
      <c r="B199" s="606"/>
      <c r="C199" s="606"/>
      <c r="D199" s="606"/>
      <c r="E199" s="606"/>
      <c r="F199" s="606"/>
      <c r="G199" s="606"/>
      <c r="H199" s="606"/>
    </row>
    <row r="200" spans="1:8" ht="15.75" x14ac:dyDescent="0.25">
      <c r="A200" s="39" t="s">
        <v>2</v>
      </c>
      <c r="B200" s="19" t="s">
        <v>3</v>
      </c>
      <c r="C200" s="20"/>
      <c r="D200" s="21" t="s">
        <v>52</v>
      </c>
      <c r="E200" s="607" t="s">
        <v>55</v>
      </c>
      <c r="F200" s="608"/>
      <c r="G200" s="19" t="s">
        <v>16</v>
      </c>
      <c r="H200" s="32" t="s">
        <v>60</v>
      </c>
    </row>
    <row r="201" spans="1:8" ht="15.75" x14ac:dyDescent="0.25">
      <c r="A201" s="609" t="s">
        <v>6</v>
      </c>
      <c r="B201" s="610"/>
      <c r="C201" s="610"/>
      <c r="D201" s="610"/>
      <c r="E201" s="610"/>
      <c r="F201" s="611"/>
      <c r="G201" s="1"/>
      <c r="H201" s="2">
        <f>H194</f>
        <v>10</v>
      </c>
    </row>
    <row r="202" spans="1:8" ht="15.75" x14ac:dyDescent="0.25">
      <c r="A202" s="3" t="s">
        <v>7</v>
      </c>
      <c r="B202" s="1"/>
      <c r="C202" s="1"/>
      <c r="D202" s="1"/>
      <c r="E202" s="1"/>
      <c r="F202" s="1"/>
      <c r="G202" s="1"/>
      <c r="H202" s="2">
        <v>22</v>
      </c>
    </row>
    <row r="203" spans="1:8" ht="51.75" thickBot="1" x14ac:dyDescent="0.3">
      <c r="A203" s="40" t="s">
        <v>8</v>
      </c>
      <c r="B203" s="41" t="s">
        <v>9</v>
      </c>
      <c r="C203" s="41" t="s">
        <v>10</v>
      </c>
      <c r="D203" s="41" t="s">
        <v>11</v>
      </c>
      <c r="E203" s="41" t="s">
        <v>12</v>
      </c>
      <c r="F203" s="41" t="s">
        <v>13</v>
      </c>
      <c r="G203" s="41" t="s">
        <v>14</v>
      </c>
      <c r="H203" s="42" t="s">
        <v>15</v>
      </c>
    </row>
    <row r="204" spans="1:8" x14ac:dyDescent="0.25">
      <c r="A204" s="36">
        <v>1</v>
      </c>
      <c r="B204" s="37">
        <v>1</v>
      </c>
      <c r="C204" s="37"/>
      <c r="D204" s="37"/>
      <c r="E204" s="37"/>
      <c r="F204" s="37"/>
      <c r="G204" s="37">
        <v>1</v>
      </c>
      <c r="H204" s="38">
        <f>H201+B204+F204-(C204+D204+G204)-E204</f>
        <v>10</v>
      </c>
    </row>
    <row r="205" spans="1:8" x14ac:dyDescent="0.25">
      <c r="A205" s="26">
        <v>2</v>
      </c>
      <c r="B205" s="5">
        <v>4</v>
      </c>
      <c r="C205" s="5">
        <v>1</v>
      </c>
      <c r="D205" s="5"/>
      <c r="E205" s="5"/>
      <c r="F205" s="5">
        <v>2</v>
      </c>
      <c r="G205" s="5">
        <v>1</v>
      </c>
      <c r="H205" s="2">
        <f>H204+B205+F205-(C205+D205+G205)-E205</f>
        <v>14</v>
      </c>
    </row>
    <row r="206" spans="1:8" x14ac:dyDescent="0.25">
      <c r="A206" s="26">
        <v>3</v>
      </c>
      <c r="B206" s="5">
        <v>5</v>
      </c>
      <c r="C206" s="5">
        <v>2</v>
      </c>
      <c r="D206" s="5"/>
      <c r="E206" s="5"/>
      <c r="F206" s="5">
        <v>2</v>
      </c>
      <c r="G206" s="5">
        <v>1</v>
      </c>
      <c r="H206" s="2">
        <f>H205+B206+F206-(C206+D206+G206)-E206</f>
        <v>18</v>
      </c>
    </row>
    <row r="207" spans="1:8" x14ac:dyDescent="0.25">
      <c r="A207" s="26">
        <v>4</v>
      </c>
      <c r="B207" s="5">
        <v>1</v>
      </c>
      <c r="C207" s="5">
        <v>6</v>
      </c>
      <c r="D207" s="5"/>
      <c r="E207" s="5"/>
      <c r="F207" s="5">
        <v>1</v>
      </c>
      <c r="G207" s="5">
        <v>1</v>
      </c>
      <c r="H207" s="2">
        <f t="shared" ref="H207:H233" si="10">H206+B207+F207-(C207+D207+G207)-E207</f>
        <v>13</v>
      </c>
    </row>
    <row r="208" spans="1:8" x14ac:dyDescent="0.25">
      <c r="A208" s="26">
        <v>5</v>
      </c>
      <c r="B208" s="5">
        <v>1</v>
      </c>
      <c r="C208" s="5">
        <v>5</v>
      </c>
      <c r="D208" s="5"/>
      <c r="E208" s="5"/>
      <c r="F208" s="5">
        <v>1</v>
      </c>
      <c r="G208" s="5"/>
      <c r="H208" s="2">
        <f t="shared" si="10"/>
        <v>10</v>
      </c>
    </row>
    <row r="209" spans="1:8" x14ac:dyDescent="0.25">
      <c r="A209" s="26">
        <v>6</v>
      </c>
      <c r="B209" s="5">
        <v>1</v>
      </c>
      <c r="C209" s="5">
        <v>4</v>
      </c>
      <c r="D209" s="5"/>
      <c r="E209" s="5"/>
      <c r="F209" s="5">
        <v>1</v>
      </c>
      <c r="G209" s="5">
        <v>1</v>
      </c>
      <c r="H209" s="2">
        <f t="shared" si="10"/>
        <v>7</v>
      </c>
    </row>
    <row r="210" spans="1:8" x14ac:dyDescent="0.25">
      <c r="A210" s="26">
        <v>7</v>
      </c>
      <c r="B210" s="5">
        <v>1</v>
      </c>
      <c r="C210" s="5"/>
      <c r="D210" s="5"/>
      <c r="E210" s="5"/>
      <c r="F210" s="5"/>
      <c r="G210" s="5"/>
      <c r="H210" s="2">
        <f t="shared" si="10"/>
        <v>8</v>
      </c>
    </row>
    <row r="211" spans="1:8" x14ac:dyDescent="0.25">
      <c r="A211" s="26">
        <v>8</v>
      </c>
      <c r="B211" s="5">
        <v>3</v>
      </c>
      <c r="C211" s="5">
        <v>1</v>
      </c>
      <c r="D211" s="5"/>
      <c r="E211" s="5"/>
      <c r="F211" s="5">
        <v>1</v>
      </c>
      <c r="G211" s="5">
        <v>1</v>
      </c>
      <c r="H211" s="2">
        <f t="shared" si="10"/>
        <v>10</v>
      </c>
    </row>
    <row r="212" spans="1:8" x14ac:dyDescent="0.25">
      <c r="A212" s="26">
        <v>9</v>
      </c>
      <c r="B212" s="5"/>
      <c r="C212" s="5">
        <v>4</v>
      </c>
      <c r="D212" s="5"/>
      <c r="E212" s="5"/>
      <c r="F212" s="5">
        <v>1</v>
      </c>
      <c r="G212" s="5">
        <v>1</v>
      </c>
      <c r="H212" s="2">
        <f t="shared" si="10"/>
        <v>6</v>
      </c>
    </row>
    <row r="213" spans="1:8" x14ac:dyDescent="0.25">
      <c r="A213" s="26">
        <v>10</v>
      </c>
      <c r="B213" s="5"/>
      <c r="C213" s="5">
        <v>3</v>
      </c>
      <c r="D213" s="5"/>
      <c r="E213" s="5"/>
      <c r="F213" s="5"/>
      <c r="G213" s="5"/>
      <c r="H213" s="2">
        <f t="shared" si="10"/>
        <v>3</v>
      </c>
    </row>
    <row r="214" spans="1:8" x14ac:dyDescent="0.25">
      <c r="A214" s="26">
        <v>11</v>
      </c>
      <c r="B214" s="5"/>
      <c r="C214" s="5">
        <v>1</v>
      </c>
      <c r="D214" s="5"/>
      <c r="E214" s="5"/>
      <c r="F214" s="5"/>
      <c r="G214" s="5"/>
      <c r="H214" s="2">
        <f t="shared" si="10"/>
        <v>2</v>
      </c>
    </row>
    <row r="215" spans="1:8" x14ac:dyDescent="0.25">
      <c r="A215" s="26">
        <v>12</v>
      </c>
      <c r="B215" s="5"/>
      <c r="C215" s="5">
        <v>1</v>
      </c>
      <c r="D215" s="5"/>
      <c r="E215" s="5"/>
      <c r="F215" s="5"/>
      <c r="G215" s="5"/>
      <c r="H215" s="2">
        <f t="shared" si="10"/>
        <v>1</v>
      </c>
    </row>
    <row r="216" spans="1:8" x14ac:dyDescent="0.25">
      <c r="A216" s="26">
        <v>13</v>
      </c>
      <c r="B216" s="5"/>
      <c r="C216" s="5"/>
      <c r="D216" s="5"/>
      <c r="E216" s="5"/>
      <c r="F216" s="5"/>
      <c r="G216" s="5"/>
      <c r="H216" s="2">
        <f t="shared" si="10"/>
        <v>1</v>
      </c>
    </row>
    <row r="217" spans="1:8" x14ac:dyDescent="0.25">
      <c r="A217" s="26">
        <v>14</v>
      </c>
      <c r="B217" s="5">
        <v>1</v>
      </c>
      <c r="C217" s="5"/>
      <c r="D217" s="5"/>
      <c r="E217" s="5"/>
      <c r="F217" s="5"/>
      <c r="G217" s="5"/>
      <c r="H217" s="2">
        <f t="shared" si="10"/>
        <v>2</v>
      </c>
    </row>
    <row r="218" spans="1:8" x14ac:dyDescent="0.25">
      <c r="A218" s="26">
        <v>15</v>
      </c>
      <c r="B218" s="5">
        <v>4</v>
      </c>
      <c r="C218" s="5"/>
      <c r="D218" s="5"/>
      <c r="E218" s="5"/>
      <c r="F218" s="5">
        <v>1</v>
      </c>
      <c r="G218" s="5"/>
      <c r="H218" s="2">
        <f t="shared" si="10"/>
        <v>7</v>
      </c>
    </row>
    <row r="219" spans="1:8" x14ac:dyDescent="0.25">
      <c r="A219" s="26">
        <v>16</v>
      </c>
      <c r="B219" s="5">
        <v>4</v>
      </c>
      <c r="C219" s="5">
        <v>1</v>
      </c>
      <c r="D219" s="5"/>
      <c r="E219" s="5"/>
      <c r="F219" s="5">
        <v>1</v>
      </c>
      <c r="G219" s="5">
        <v>2</v>
      </c>
      <c r="H219" s="2">
        <f t="shared" si="10"/>
        <v>9</v>
      </c>
    </row>
    <row r="220" spans="1:8" x14ac:dyDescent="0.25">
      <c r="A220" s="26">
        <v>17</v>
      </c>
      <c r="B220" s="5">
        <v>2</v>
      </c>
      <c r="C220" s="5">
        <v>1</v>
      </c>
      <c r="D220" s="5"/>
      <c r="E220" s="5"/>
      <c r="F220" s="5">
        <v>2</v>
      </c>
      <c r="G220" s="5"/>
      <c r="H220" s="2">
        <f t="shared" si="10"/>
        <v>12</v>
      </c>
    </row>
    <row r="221" spans="1:8" x14ac:dyDescent="0.25">
      <c r="A221" s="26">
        <v>18</v>
      </c>
      <c r="B221" s="5"/>
      <c r="C221" s="5"/>
      <c r="D221" s="5"/>
      <c r="E221" s="5"/>
      <c r="F221" s="5">
        <v>2</v>
      </c>
      <c r="G221" s="5"/>
      <c r="H221" s="2">
        <f t="shared" si="10"/>
        <v>14</v>
      </c>
    </row>
    <row r="222" spans="1:8" x14ac:dyDescent="0.25">
      <c r="A222" s="26">
        <v>19</v>
      </c>
      <c r="B222" s="5">
        <v>1</v>
      </c>
      <c r="C222" s="5">
        <v>5</v>
      </c>
      <c r="D222" s="5"/>
      <c r="E222" s="5"/>
      <c r="F222" s="5">
        <v>2</v>
      </c>
      <c r="G222" s="5"/>
      <c r="H222" s="2">
        <f t="shared" si="10"/>
        <v>12</v>
      </c>
    </row>
    <row r="223" spans="1:8" x14ac:dyDescent="0.25">
      <c r="A223" s="26">
        <v>20</v>
      </c>
      <c r="B223" s="5">
        <v>4</v>
      </c>
      <c r="C223" s="5">
        <v>2</v>
      </c>
      <c r="D223" s="5"/>
      <c r="E223" s="5"/>
      <c r="F223" s="5">
        <v>1</v>
      </c>
      <c r="G223" s="5">
        <v>2</v>
      </c>
      <c r="H223" s="2">
        <f t="shared" si="10"/>
        <v>13</v>
      </c>
    </row>
    <row r="224" spans="1:8" x14ac:dyDescent="0.25">
      <c r="A224" s="26">
        <v>21</v>
      </c>
      <c r="B224" s="5">
        <v>1</v>
      </c>
      <c r="C224" s="5">
        <v>7</v>
      </c>
      <c r="D224" s="5"/>
      <c r="E224" s="5"/>
      <c r="F224" s="5"/>
      <c r="G224" s="5"/>
      <c r="H224" s="2">
        <f t="shared" si="10"/>
        <v>7</v>
      </c>
    </row>
    <row r="225" spans="1:8" x14ac:dyDescent="0.25">
      <c r="A225" s="26">
        <v>22</v>
      </c>
      <c r="B225" s="5">
        <v>1</v>
      </c>
      <c r="C225" s="5">
        <v>2</v>
      </c>
      <c r="D225" s="5"/>
      <c r="E225" s="5"/>
      <c r="F225" s="5">
        <v>2</v>
      </c>
      <c r="G225" s="5">
        <v>1</v>
      </c>
      <c r="H225" s="2">
        <f t="shared" si="10"/>
        <v>7</v>
      </c>
    </row>
    <row r="226" spans="1:8" x14ac:dyDescent="0.25">
      <c r="A226" s="26">
        <v>23</v>
      </c>
      <c r="B226" s="5">
        <v>5</v>
      </c>
      <c r="C226" s="5">
        <v>1</v>
      </c>
      <c r="D226" s="5"/>
      <c r="E226" s="5"/>
      <c r="F226" s="5"/>
      <c r="G226" s="5"/>
      <c r="H226" s="2">
        <f t="shared" si="10"/>
        <v>11</v>
      </c>
    </row>
    <row r="227" spans="1:8" x14ac:dyDescent="0.25">
      <c r="A227" s="26">
        <v>24</v>
      </c>
      <c r="B227" s="5">
        <v>4</v>
      </c>
      <c r="C227" s="5">
        <v>3</v>
      </c>
      <c r="D227" s="5"/>
      <c r="E227" s="5"/>
      <c r="F227" s="5"/>
      <c r="G227" s="5">
        <v>1</v>
      </c>
      <c r="H227" s="2">
        <f t="shared" si="10"/>
        <v>11</v>
      </c>
    </row>
    <row r="228" spans="1:8" x14ac:dyDescent="0.25">
      <c r="A228" s="26">
        <v>25</v>
      </c>
      <c r="B228" s="5">
        <v>1</v>
      </c>
      <c r="C228" s="5">
        <v>2</v>
      </c>
      <c r="D228" s="5"/>
      <c r="E228" s="5"/>
      <c r="F228" s="5">
        <v>2</v>
      </c>
      <c r="G228" s="5">
        <v>2</v>
      </c>
      <c r="H228" s="2">
        <f t="shared" si="10"/>
        <v>10</v>
      </c>
    </row>
    <row r="229" spans="1:8" x14ac:dyDescent="0.25">
      <c r="A229" s="26">
        <v>26</v>
      </c>
      <c r="B229" s="5">
        <v>2</v>
      </c>
      <c r="C229" s="5">
        <v>4</v>
      </c>
      <c r="D229" s="5"/>
      <c r="E229" s="5"/>
      <c r="F229" s="5">
        <v>1</v>
      </c>
      <c r="G229" s="5">
        <v>1</v>
      </c>
      <c r="H229" s="2">
        <f t="shared" si="10"/>
        <v>8</v>
      </c>
    </row>
    <row r="230" spans="1:8" x14ac:dyDescent="0.25">
      <c r="A230" s="26">
        <v>27</v>
      </c>
      <c r="B230" s="5">
        <v>4</v>
      </c>
      <c r="C230" s="5">
        <v>1</v>
      </c>
      <c r="D230" s="5"/>
      <c r="E230" s="5"/>
      <c r="F230" s="5">
        <v>2</v>
      </c>
      <c r="G230" s="5">
        <v>1</v>
      </c>
      <c r="H230" s="2">
        <f t="shared" si="10"/>
        <v>12</v>
      </c>
    </row>
    <row r="231" spans="1:8" x14ac:dyDescent="0.25">
      <c r="A231" s="26">
        <v>28</v>
      </c>
      <c r="B231" s="5">
        <v>1</v>
      </c>
      <c r="C231" s="5">
        <v>3</v>
      </c>
      <c r="D231" s="5"/>
      <c r="E231" s="5"/>
      <c r="F231" s="5">
        <v>4</v>
      </c>
      <c r="G231" s="5">
        <v>3</v>
      </c>
      <c r="H231" s="2">
        <f t="shared" si="10"/>
        <v>11</v>
      </c>
    </row>
    <row r="232" spans="1:8" x14ac:dyDescent="0.25">
      <c r="A232" s="26">
        <v>29</v>
      </c>
      <c r="B232" s="5"/>
      <c r="C232" s="5">
        <v>5</v>
      </c>
      <c r="D232" s="5"/>
      <c r="E232" s="5"/>
      <c r="F232" s="5">
        <v>2</v>
      </c>
      <c r="G232" s="5"/>
      <c r="H232" s="2">
        <f t="shared" si="10"/>
        <v>8</v>
      </c>
    </row>
    <row r="233" spans="1:8" ht="15.75" thickBot="1" x14ac:dyDescent="0.3">
      <c r="A233" s="28">
        <v>30</v>
      </c>
      <c r="B233" s="29">
        <v>2</v>
      </c>
      <c r="C233" s="29">
        <v>1</v>
      </c>
      <c r="D233" s="29"/>
      <c r="E233" s="29"/>
      <c r="F233" s="29">
        <v>1</v>
      </c>
      <c r="G233" s="29"/>
      <c r="H233" s="57">
        <f t="shared" si="10"/>
        <v>10</v>
      </c>
    </row>
    <row r="234" spans="1:8" ht="15.75" thickBot="1" x14ac:dyDescent="0.3">
      <c r="A234" s="60" t="s">
        <v>35</v>
      </c>
      <c r="B234" s="58">
        <f>SUM(B204:B233)-E234</f>
        <v>54</v>
      </c>
      <c r="C234" s="58">
        <f t="shared" ref="C234:H234" si="11">SUM(C204:C233)</f>
        <v>66</v>
      </c>
      <c r="D234" s="58">
        <f t="shared" si="11"/>
        <v>0</v>
      </c>
      <c r="E234" s="58">
        <f t="shared" si="11"/>
        <v>0</v>
      </c>
      <c r="F234" s="58">
        <f t="shared" si="11"/>
        <v>32</v>
      </c>
      <c r="G234" s="58">
        <f t="shared" si="11"/>
        <v>20</v>
      </c>
      <c r="H234" s="59">
        <f t="shared" si="11"/>
        <v>267</v>
      </c>
    </row>
    <row r="237" spans="1:8" ht="36" x14ac:dyDescent="0.55000000000000004">
      <c r="A237" s="605" t="s">
        <v>1</v>
      </c>
      <c r="B237" s="605"/>
      <c r="C237" s="605"/>
      <c r="D237" s="605"/>
      <c r="E237" s="605"/>
      <c r="F237" s="605"/>
      <c r="G237" s="605"/>
      <c r="H237" s="605"/>
    </row>
    <row r="238" spans="1:8" ht="27" thickBot="1" x14ac:dyDescent="0.45">
      <c r="A238" s="606" t="s">
        <v>0</v>
      </c>
      <c r="B238" s="606"/>
      <c r="C238" s="606"/>
      <c r="D238" s="606"/>
      <c r="E238" s="606"/>
      <c r="F238" s="606"/>
      <c r="G238" s="606"/>
      <c r="H238" s="606"/>
    </row>
    <row r="239" spans="1:8" ht="15.75" x14ac:dyDescent="0.25">
      <c r="A239" s="39" t="s">
        <v>2</v>
      </c>
      <c r="B239" s="19" t="s">
        <v>3</v>
      </c>
      <c r="C239" s="20"/>
      <c r="D239" s="21" t="s">
        <v>52</v>
      </c>
      <c r="E239" s="607" t="s">
        <v>55</v>
      </c>
      <c r="F239" s="608"/>
      <c r="G239" s="19" t="s">
        <v>16</v>
      </c>
      <c r="H239" s="32" t="s">
        <v>61</v>
      </c>
    </row>
    <row r="240" spans="1:8" ht="15.75" x14ac:dyDescent="0.25">
      <c r="A240" s="609" t="s">
        <v>6</v>
      </c>
      <c r="B240" s="610"/>
      <c r="C240" s="610"/>
      <c r="D240" s="610"/>
      <c r="E240" s="610"/>
      <c r="F240" s="611"/>
      <c r="G240" s="1"/>
      <c r="H240" s="2">
        <f>H233</f>
        <v>10</v>
      </c>
    </row>
    <row r="241" spans="1:8" ht="15.75" x14ac:dyDescent="0.25">
      <c r="A241" s="3" t="s">
        <v>7</v>
      </c>
      <c r="B241" s="1"/>
      <c r="C241" s="1"/>
      <c r="D241" s="1"/>
      <c r="E241" s="1"/>
      <c r="F241" s="1"/>
      <c r="G241" s="1"/>
      <c r="H241" s="2">
        <v>22</v>
      </c>
    </row>
    <row r="242" spans="1:8" ht="51.75" thickBot="1" x14ac:dyDescent="0.3">
      <c r="A242" s="40" t="s">
        <v>8</v>
      </c>
      <c r="B242" s="41" t="s">
        <v>9</v>
      </c>
      <c r="C242" s="41" t="s">
        <v>10</v>
      </c>
      <c r="D242" s="41" t="s">
        <v>11</v>
      </c>
      <c r="E242" s="41" t="s">
        <v>12</v>
      </c>
      <c r="F242" s="41" t="s">
        <v>13</v>
      </c>
      <c r="G242" s="41" t="s">
        <v>14</v>
      </c>
      <c r="H242" s="42" t="s">
        <v>15</v>
      </c>
    </row>
    <row r="243" spans="1:8" x14ac:dyDescent="0.25">
      <c r="A243" s="36">
        <v>1</v>
      </c>
      <c r="B243" s="37">
        <v>1</v>
      </c>
      <c r="C243" s="37">
        <v>3</v>
      </c>
      <c r="D243" s="37"/>
      <c r="E243" s="37"/>
      <c r="F243" s="37">
        <v>1</v>
      </c>
      <c r="G243" s="37"/>
      <c r="H243" s="38">
        <f>H240+B243+F243-(C243+D243+G243)-E243</f>
        <v>9</v>
      </c>
    </row>
    <row r="244" spans="1:8" x14ac:dyDescent="0.25">
      <c r="A244" s="26">
        <v>2</v>
      </c>
      <c r="B244" s="5">
        <v>3</v>
      </c>
      <c r="C244" s="5">
        <v>3</v>
      </c>
      <c r="D244" s="5"/>
      <c r="E244" s="5"/>
      <c r="F244" s="5">
        <v>1</v>
      </c>
      <c r="G244" s="5"/>
      <c r="H244" s="2">
        <f>H243+B244+F244-(C244+D244+G244)-E244</f>
        <v>10</v>
      </c>
    </row>
    <row r="245" spans="1:8" x14ac:dyDescent="0.25">
      <c r="A245" s="26">
        <v>3</v>
      </c>
      <c r="B245" s="5">
        <v>5</v>
      </c>
      <c r="C245" s="5">
        <v>4</v>
      </c>
      <c r="D245" s="5"/>
      <c r="E245" s="5"/>
      <c r="F245" s="5">
        <v>5</v>
      </c>
      <c r="G245" s="5">
        <v>1</v>
      </c>
      <c r="H245" s="2">
        <f>H244+B245+F245-(C245+D245+G245)-E245</f>
        <v>15</v>
      </c>
    </row>
    <row r="246" spans="1:8" x14ac:dyDescent="0.25">
      <c r="A246" s="26">
        <v>4</v>
      </c>
      <c r="B246" s="5"/>
      <c r="C246" s="5">
        <v>2</v>
      </c>
      <c r="D246" s="5"/>
      <c r="E246" s="5"/>
      <c r="F246" s="5">
        <v>4</v>
      </c>
      <c r="G246" s="5">
        <v>1</v>
      </c>
      <c r="H246" s="2">
        <f t="shared" ref="H246:H273" si="12">H245+B246+F246-(C246+D246+G246)-E246</f>
        <v>16</v>
      </c>
    </row>
    <row r="247" spans="1:8" x14ac:dyDescent="0.25">
      <c r="A247" s="26">
        <v>5</v>
      </c>
      <c r="B247" s="5">
        <v>1</v>
      </c>
      <c r="C247" s="5">
        <v>5</v>
      </c>
      <c r="D247" s="5"/>
      <c r="E247" s="5"/>
      <c r="F247" s="5">
        <v>2</v>
      </c>
      <c r="G247" s="5">
        <v>1</v>
      </c>
      <c r="H247" s="2">
        <f t="shared" si="12"/>
        <v>13</v>
      </c>
    </row>
    <row r="248" spans="1:8" x14ac:dyDescent="0.25">
      <c r="A248" s="26">
        <v>6</v>
      </c>
      <c r="B248" s="5">
        <v>2</v>
      </c>
      <c r="C248" s="5">
        <v>3</v>
      </c>
      <c r="D248" s="5"/>
      <c r="E248" s="5"/>
      <c r="F248" s="5">
        <v>1</v>
      </c>
      <c r="G248" s="5">
        <v>2</v>
      </c>
      <c r="H248" s="2">
        <f t="shared" si="12"/>
        <v>11</v>
      </c>
    </row>
    <row r="249" spans="1:8" x14ac:dyDescent="0.25">
      <c r="A249" s="26">
        <v>7</v>
      </c>
      <c r="B249" s="5">
        <v>3</v>
      </c>
      <c r="C249" s="5">
        <v>2</v>
      </c>
      <c r="D249" s="5"/>
      <c r="E249" s="5"/>
      <c r="F249" s="5">
        <v>1</v>
      </c>
      <c r="G249" s="5">
        <v>1</v>
      </c>
      <c r="H249" s="2">
        <f t="shared" si="12"/>
        <v>12</v>
      </c>
    </row>
    <row r="250" spans="1:8" x14ac:dyDescent="0.25">
      <c r="A250" s="26">
        <v>8</v>
      </c>
      <c r="B250" s="5">
        <v>2</v>
      </c>
      <c r="C250" s="5">
        <v>1</v>
      </c>
      <c r="D250" s="5"/>
      <c r="E250" s="5"/>
      <c r="F250" s="5"/>
      <c r="G250" s="5"/>
      <c r="H250" s="2">
        <f t="shared" si="12"/>
        <v>13</v>
      </c>
    </row>
    <row r="251" spans="1:8" x14ac:dyDescent="0.25">
      <c r="A251" s="26">
        <v>9</v>
      </c>
      <c r="B251" s="5">
        <v>7</v>
      </c>
      <c r="C251" s="5">
        <v>3</v>
      </c>
      <c r="D251" s="5"/>
      <c r="E251" s="5"/>
      <c r="F251" s="5">
        <v>3</v>
      </c>
      <c r="G251" s="5">
        <v>1</v>
      </c>
      <c r="H251" s="2">
        <f t="shared" si="12"/>
        <v>19</v>
      </c>
    </row>
    <row r="252" spans="1:8" x14ac:dyDescent="0.25">
      <c r="A252" s="26">
        <v>10</v>
      </c>
      <c r="B252" s="5">
        <v>2</v>
      </c>
      <c r="C252" s="5">
        <v>5</v>
      </c>
      <c r="D252" s="5"/>
      <c r="E252" s="5"/>
      <c r="F252" s="5"/>
      <c r="G252" s="5">
        <v>2</v>
      </c>
      <c r="H252" s="2">
        <f t="shared" si="12"/>
        <v>14</v>
      </c>
    </row>
    <row r="253" spans="1:8" x14ac:dyDescent="0.25">
      <c r="A253" s="26">
        <v>11</v>
      </c>
      <c r="B253" s="5">
        <v>2</v>
      </c>
      <c r="C253" s="5"/>
      <c r="D253" s="5"/>
      <c r="E253" s="5"/>
      <c r="F253" s="5">
        <v>1</v>
      </c>
      <c r="G253" s="5">
        <v>1</v>
      </c>
      <c r="H253" s="2">
        <f t="shared" si="12"/>
        <v>16</v>
      </c>
    </row>
    <row r="254" spans="1:8" x14ac:dyDescent="0.25">
      <c r="A254" s="26">
        <v>12</v>
      </c>
      <c r="B254" s="5"/>
      <c r="C254" s="5">
        <v>3</v>
      </c>
      <c r="D254" s="5"/>
      <c r="E254" s="5"/>
      <c r="F254" s="5">
        <v>3</v>
      </c>
      <c r="G254" s="5">
        <v>1</v>
      </c>
      <c r="H254" s="2">
        <f t="shared" si="12"/>
        <v>15</v>
      </c>
    </row>
    <row r="255" spans="1:8" x14ac:dyDescent="0.25">
      <c r="A255" s="26">
        <v>13</v>
      </c>
      <c r="B255" s="5">
        <v>4</v>
      </c>
      <c r="C255" s="5">
        <v>7</v>
      </c>
      <c r="D255" s="5"/>
      <c r="E255" s="5"/>
      <c r="F255" s="5">
        <v>2</v>
      </c>
      <c r="G255" s="5">
        <v>1</v>
      </c>
      <c r="H255" s="2">
        <f t="shared" si="12"/>
        <v>13</v>
      </c>
    </row>
    <row r="256" spans="1:8" x14ac:dyDescent="0.25">
      <c r="A256" s="26">
        <v>14</v>
      </c>
      <c r="B256" s="5">
        <v>4</v>
      </c>
      <c r="C256" s="5">
        <v>2</v>
      </c>
      <c r="D256" s="5"/>
      <c r="E256" s="5"/>
      <c r="F256" s="5">
        <v>1</v>
      </c>
      <c r="G256" s="5">
        <v>2</v>
      </c>
      <c r="H256" s="2">
        <f t="shared" si="12"/>
        <v>14</v>
      </c>
    </row>
    <row r="257" spans="1:8" x14ac:dyDescent="0.25">
      <c r="A257" s="26">
        <v>15</v>
      </c>
      <c r="B257" s="5"/>
      <c r="C257" s="5">
        <v>2</v>
      </c>
      <c r="D257" s="5"/>
      <c r="E257" s="5"/>
      <c r="F257" s="5">
        <v>2</v>
      </c>
      <c r="G257" s="5"/>
      <c r="H257" s="2">
        <f t="shared" si="12"/>
        <v>14</v>
      </c>
    </row>
    <row r="258" spans="1:8" x14ac:dyDescent="0.25">
      <c r="A258" s="26">
        <v>16</v>
      </c>
      <c r="B258" s="5">
        <v>1</v>
      </c>
      <c r="C258" s="5">
        <v>2</v>
      </c>
      <c r="D258" s="5"/>
      <c r="E258" s="5"/>
      <c r="F258" s="5">
        <v>3</v>
      </c>
      <c r="G258" s="5"/>
      <c r="H258" s="2">
        <f t="shared" si="12"/>
        <v>16</v>
      </c>
    </row>
    <row r="259" spans="1:8" x14ac:dyDescent="0.25">
      <c r="A259" s="26">
        <v>17</v>
      </c>
      <c r="B259" s="5">
        <v>1</v>
      </c>
      <c r="C259" s="5">
        <v>3</v>
      </c>
      <c r="D259" s="5"/>
      <c r="E259" s="5"/>
      <c r="F259" s="5">
        <v>1</v>
      </c>
      <c r="G259" s="5"/>
      <c r="H259" s="2">
        <f t="shared" si="12"/>
        <v>15</v>
      </c>
    </row>
    <row r="260" spans="1:8" x14ac:dyDescent="0.25">
      <c r="A260" s="26">
        <v>18</v>
      </c>
      <c r="B260" s="5"/>
      <c r="C260" s="5">
        <v>7</v>
      </c>
      <c r="D260" s="5"/>
      <c r="E260" s="5"/>
      <c r="F260" s="5">
        <v>3</v>
      </c>
      <c r="G260" s="5">
        <v>1</v>
      </c>
      <c r="H260" s="2">
        <f t="shared" si="12"/>
        <v>10</v>
      </c>
    </row>
    <row r="261" spans="1:8" x14ac:dyDescent="0.25">
      <c r="A261" s="26">
        <v>19</v>
      </c>
      <c r="B261" s="5">
        <v>1</v>
      </c>
      <c r="C261" s="5">
        <v>4</v>
      </c>
      <c r="D261" s="5"/>
      <c r="E261" s="5"/>
      <c r="F261" s="5">
        <v>1</v>
      </c>
      <c r="G261" s="5">
        <v>1</v>
      </c>
      <c r="H261" s="2">
        <f t="shared" si="12"/>
        <v>7</v>
      </c>
    </row>
    <row r="262" spans="1:8" x14ac:dyDescent="0.25">
      <c r="A262" s="26">
        <v>20</v>
      </c>
      <c r="B262" s="5">
        <v>2</v>
      </c>
      <c r="C262" s="5">
        <v>2</v>
      </c>
      <c r="D262" s="5"/>
      <c r="E262" s="5"/>
      <c r="F262" s="5">
        <v>3</v>
      </c>
      <c r="G262" s="5"/>
      <c r="H262" s="2">
        <f t="shared" si="12"/>
        <v>10</v>
      </c>
    </row>
    <row r="263" spans="1:8" x14ac:dyDescent="0.25">
      <c r="A263" s="26">
        <v>21</v>
      </c>
      <c r="B263" s="5">
        <v>7</v>
      </c>
      <c r="C263" s="5">
        <v>1</v>
      </c>
      <c r="D263" s="5"/>
      <c r="E263" s="5"/>
      <c r="F263" s="5">
        <v>2</v>
      </c>
      <c r="G263" s="5"/>
      <c r="H263" s="2">
        <f t="shared" si="12"/>
        <v>18</v>
      </c>
    </row>
    <row r="264" spans="1:8" x14ac:dyDescent="0.25">
      <c r="A264" s="26">
        <v>22</v>
      </c>
      <c r="B264" s="5">
        <v>1</v>
      </c>
      <c r="C264" s="5">
        <v>5</v>
      </c>
      <c r="D264" s="5"/>
      <c r="E264" s="5"/>
      <c r="F264" s="5">
        <v>2</v>
      </c>
      <c r="G264" s="5">
        <v>1</v>
      </c>
      <c r="H264" s="2">
        <f t="shared" si="12"/>
        <v>15</v>
      </c>
    </row>
    <row r="265" spans="1:8" x14ac:dyDescent="0.25">
      <c r="A265" s="26">
        <v>23</v>
      </c>
      <c r="B265" s="5">
        <v>2</v>
      </c>
      <c r="C265" s="5">
        <v>2</v>
      </c>
      <c r="D265" s="5"/>
      <c r="E265" s="5"/>
      <c r="F265" s="5">
        <v>3</v>
      </c>
      <c r="G265" s="5"/>
      <c r="H265" s="2">
        <f t="shared" si="12"/>
        <v>18</v>
      </c>
    </row>
    <row r="266" spans="1:8" x14ac:dyDescent="0.25">
      <c r="A266" s="26">
        <v>24</v>
      </c>
      <c r="B266" s="5">
        <v>2</v>
      </c>
      <c r="C266" s="5">
        <v>5</v>
      </c>
      <c r="D266" s="5"/>
      <c r="E266" s="5"/>
      <c r="F266" s="5"/>
      <c r="G266" s="5">
        <v>1</v>
      </c>
      <c r="H266" s="2">
        <f t="shared" si="12"/>
        <v>14</v>
      </c>
    </row>
    <row r="267" spans="1:8" x14ac:dyDescent="0.25">
      <c r="A267" s="26">
        <v>25</v>
      </c>
      <c r="B267" s="5">
        <v>1</v>
      </c>
      <c r="C267" s="5">
        <v>6</v>
      </c>
      <c r="D267" s="5"/>
      <c r="E267" s="5"/>
      <c r="F267" s="5">
        <v>1</v>
      </c>
      <c r="G267" s="5"/>
      <c r="H267" s="2">
        <f t="shared" si="12"/>
        <v>10</v>
      </c>
    </row>
    <row r="268" spans="1:8" x14ac:dyDescent="0.25">
      <c r="A268" s="26">
        <v>26</v>
      </c>
      <c r="B268" s="5"/>
      <c r="C268" s="5">
        <v>4</v>
      </c>
      <c r="D268" s="5"/>
      <c r="E268" s="5"/>
      <c r="F268" s="5">
        <v>2</v>
      </c>
      <c r="G268" s="5">
        <v>1</v>
      </c>
      <c r="H268" s="2">
        <f t="shared" si="12"/>
        <v>7</v>
      </c>
    </row>
    <row r="269" spans="1:8" x14ac:dyDescent="0.25">
      <c r="A269" s="26">
        <v>27</v>
      </c>
      <c r="B269" s="5">
        <v>2</v>
      </c>
      <c r="C269" s="5"/>
      <c r="D269" s="5"/>
      <c r="E269" s="5"/>
      <c r="F269" s="5"/>
      <c r="G269" s="5"/>
      <c r="H269" s="2">
        <f t="shared" si="12"/>
        <v>9</v>
      </c>
    </row>
    <row r="270" spans="1:8" x14ac:dyDescent="0.25">
      <c r="A270" s="26">
        <v>28</v>
      </c>
      <c r="B270" s="5">
        <v>6</v>
      </c>
      <c r="C270" s="5">
        <v>3</v>
      </c>
      <c r="D270" s="5"/>
      <c r="E270" s="5"/>
      <c r="F270" s="5"/>
      <c r="G270" s="5"/>
      <c r="H270" s="2">
        <f t="shared" si="12"/>
        <v>12</v>
      </c>
    </row>
    <row r="271" spans="1:8" x14ac:dyDescent="0.25">
      <c r="A271" s="26">
        <v>29</v>
      </c>
      <c r="B271" s="5">
        <v>6</v>
      </c>
      <c r="C271" s="5">
        <v>4</v>
      </c>
      <c r="D271" s="5"/>
      <c r="E271" s="5"/>
      <c r="F271" s="5"/>
      <c r="G271" s="5">
        <v>2</v>
      </c>
      <c r="H271" s="2">
        <f t="shared" si="12"/>
        <v>12</v>
      </c>
    </row>
    <row r="272" spans="1:8" x14ac:dyDescent="0.25">
      <c r="A272" s="11">
        <v>30</v>
      </c>
      <c r="B272" s="5">
        <v>6</v>
      </c>
      <c r="C272" s="5">
        <v>3</v>
      </c>
      <c r="D272" s="5"/>
      <c r="E272" s="5"/>
      <c r="F272" s="5">
        <v>2</v>
      </c>
      <c r="G272" s="5"/>
      <c r="H272" s="5">
        <f t="shared" si="12"/>
        <v>17</v>
      </c>
    </row>
    <row r="273" spans="1:8" ht="15.75" thickBot="1" x14ac:dyDescent="0.3">
      <c r="A273" s="63">
        <v>31</v>
      </c>
      <c r="B273" s="29">
        <v>4</v>
      </c>
      <c r="C273" s="29">
        <v>4</v>
      </c>
      <c r="D273" s="29"/>
      <c r="E273" s="29"/>
      <c r="F273" s="29">
        <v>1</v>
      </c>
      <c r="G273" s="29"/>
      <c r="H273" s="5">
        <f t="shared" si="12"/>
        <v>18</v>
      </c>
    </row>
    <row r="274" spans="1:8" ht="15.75" thickBot="1" x14ac:dyDescent="0.3">
      <c r="A274" s="60" t="s">
        <v>35</v>
      </c>
      <c r="B274" s="58">
        <f>SUM(B243:B273)-E274</f>
        <v>78</v>
      </c>
      <c r="C274" s="58">
        <f t="shared" ref="C274:H274" si="13">SUM(C243:C273)</f>
        <v>100</v>
      </c>
      <c r="D274" s="58">
        <f t="shared" si="13"/>
        <v>0</v>
      </c>
      <c r="E274" s="58">
        <f t="shared" si="13"/>
        <v>0</v>
      </c>
      <c r="F274" s="58">
        <f t="shared" si="13"/>
        <v>51</v>
      </c>
      <c r="G274" s="58">
        <f t="shared" si="13"/>
        <v>21</v>
      </c>
      <c r="H274" s="58">
        <f t="shared" si="13"/>
        <v>412</v>
      </c>
    </row>
    <row r="277" spans="1:8" ht="36" x14ac:dyDescent="0.55000000000000004">
      <c r="A277" s="605" t="s">
        <v>1</v>
      </c>
      <c r="B277" s="605"/>
      <c r="C277" s="605"/>
      <c r="D277" s="605"/>
      <c r="E277" s="605"/>
      <c r="F277" s="605"/>
      <c r="G277" s="605"/>
      <c r="H277" s="605"/>
    </row>
    <row r="278" spans="1:8" ht="27" thickBot="1" x14ac:dyDescent="0.45">
      <c r="A278" s="606" t="s">
        <v>0</v>
      </c>
      <c r="B278" s="606"/>
      <c r="C278" s="606"/>
      <c r="D278" s="606"/>
      <c r="E278" s="606"/>
      <c r="F278" s="606"/>
      <c r="G278" s="606"/>
      <c r="H278" s="606"/>
    </row>
    <row r="279" spans="1:8" ht="15.75" x14ac:dyDescent="0.25">
      <c r="A279" s="39" t="s">
        <v>2</v>
      </c>
      <c r="B279" s="19" t="s">
        <v>3</v>
      </c>
      <c r="C279" s="20"/>
      <c r="D279" s="21" t="s">
        <v>52</v>
      </c>
      <c r="E279" s="607" t="s">
        <v>55</v>
      </c>
      <c r="F279" s="608"/>
      <c r="G279" s="19" t="s">
        <v>16</v>
      </c>
      <c r="H279" s="32" t="s">
        <v>62</v>
      </c>
    </row>
    <row r="280" spans="1:8" ht="15.75" x14ac:dyDescent="0.25">
      <c r="A280" s="609" t="s">
        <v>6</v>
      </c>
      <c r="B280" s="610"/>
      <c r="C280" s="610"/>
      <c r="D280" s="610"/>
      <c r="E280" s="610"/>
      <c r="F280" s="611"/>
      <c r="G280" s="1"/>
      <c r="H280" s="2">
        <f>H273</f>
        <v>18</v>
      </c>
    </row>
    <row r="281" spans="1:8" ht="15.75" x14ac:dyDescent="0.25">
      <c r="A281" s="3" t="s">
        <v>7</v>
      </c>
      <c r="B281" s="1"/>
      <c r="C281" s="1"/>
      <c r="D281" s="1"/>
      <c r="E281" s="1"/>
      <c r="F281" s="1"/>
      <c r="G281" s="1"/>
      <c r="H281" s="2">
        <v>22</v>
      </c>
    </row>
    <row r="282" spans="1:8" ht="51.75" thickBot="1" x14ac:dyDescent="0.3">
      <c r="A282" s="40" t="s">
        <v>8</v>
      </c>
      <c r="B282" s="41" t="s">
        <v>9</v>
      </c>
      <c r="C282" s="41" t="s">
        <v>10</v>
      </c>
      <c r="D282" s="41" t="s">
        <v>11</v>
      </c>
      <c r="E282" s="41" t="s">
        <v>12</v>
      </c>
      <c r="F282" s="41" t="s">
        <v>13</v>
      </c>
      <c r="G282" s="41" t="s">
        <v>14</v>
      </c>
      <c r="H282" s="42" t="s">
        <v>15</v>
      </c>
    </row>
    <row r="283" spans="1:8" x14ac:dyDescent="0.25">
      <c r="A283" s="36">
        <v>1</v>
      </c>
      <c r="B283" s="37">
        <v>1</v>
      </c>
      <c r="C283" s="37">
        <v>6</v>
      </c>
      <c r="D283" s="37"/>
      <c r="E283" s="37"/>
      <c r="F283" s="37">
        <v>2</v>
      </c>
      <c r="G283" s="37">
        <v>2</v>
      </c>
      <c r="H283" s="38">
        <f>H280+B283+F283-(C283+D283+G283)-E283</f>
        <v>13</v>
      </c>
    </row>
    <row r="284" spans="1:8" x14ac:dyDescent="0.25">
      <c r="A284" s="26">
        <v>2</v>
      </c>
      <c r="B284" s="5">
        <v>2</v>
      </c>
      <c r="C284" s="5">
        <v>5</v>
      </c>
      <c r="D284" s="5"/>
      <c r="E284" s="5"/>
      <c r="F284" s="5">
        <v>1</v>
      </c>
      <c r="G284" s="5">
        <v>2</v>
      </c>
      <c r="H284" s="2">
        <f>H283+B284+F284-(C284+D284+G284)-E284</f>
        <v>9</v>
      </c>
    </row>
    <row r="285" spans="1:8" x14ac:dyDescent="0.25">
      <c r="A285" s="26">
        <v>3</v>
      </c>
      <c r="B285" s="5">
        <v>2</v>
      </c>
      <c r="C285" s="5">
        <v>5</v>
      </c>
      <c r="D285" s="5"/>
      <c r="E285" s="5"/>
      <c r="F285" s="5">
        <v>1</v>
      </c>
      <c r="G285" s="5"/>
      <c r="H285" s="2">
        <f>H284+B285+F285-(C285+D285+G285)-E285</f>
        <v>7</v>
      </c>
    </row>
    <row r="286" spans="1:8" x14ac:dyDescent="0.25">
      <c r="A286" s="26">
        <v>4</v>
      </c>
      <c r="B286" s="5">
        <v>7</v>
      </c>
      <c r="C286" s="5"/>
      <c r="D286" s="5"/>
      <c r="E286" s="5"/>
      <c r="F286" s="5">
        <v>2</v>
      </c>
      <c r="G286" s="5">
        <v>1</v>
      </c>
      <c r="H286" s="2">
        <f t="shared" ref="H286:H313" si="14">H285+B286+F286-(C286+D286+G286)-E286</f>
        <v>15</v>
      </c>
    </row>
    <row r="287" spans="1:8" x14ac:dyDescent="0.25">
      <c r="A287" s="26">
        <v>5</v>
      </c>
      <c r="B287" s="5">
        <v>2</v>
      </c>
      <c r="C287" s="5">
        <v>1</v>
      </c>
      <c r="D287" s="5"/>
      <c r="E287" s="5"/>
      <c r="F287" s="5">
        <v>1</v>
      </c>
      <c r="G287" s="5">
        <v>4</v>
      </c>
      <c r="H287" s="2">
        <f t="shared" si="14"/>
        <v>13</v>
      </c>
    </row>
    <row r="288" spans="1:8" x14ac:dyDescent="0.25">
      <c r="A288" s="26">
        <v>6</v>
      </c>
      <c r="B288" s="5">
        <v>4</v>
      </c>
      <c r="C288" s="5">
        <v>5</v>
      </c>
      <c r="D288" s="5"/>
      <c r="E288" s="5"/>
      <c r="F288" s="5">
        <v>4</v>
      </c>
      <c r="G288" s="5">
        <v>2</v>
      </c>
      <c r="H288" s="2">
        <f t="shared" si="14"/>
        <v>14</v>
      </c>
    </row>
    <row r="289" spans="1:8" x14ac:dyDescent="0.25">
      <c r="A289" s="26">
        <v>7</v>
      </c>
      <c r="B289" s="5">
        <v>1</v>
      </c>
      <c r="C289" s="5">
        <v>6</v>
      </c>
      <c r="D289" s="5"/>
      <c r="E289" s="5"/>
      <c r="F289" s="5">
        <v>4</v>
      </c>
      <c r="G289" s="5">
        <v>2</v>
      </c>
      <c r="H289" s="2">
        <f t="shared" si="14"/>
        <v>11</v>
      </c>
    </row>
    <row r="290" spans="1:8" x14ac:dyDescent="0.25">
      <c r="A290" s="26">
        <v>8</v>
      </c>
      <c r="B290" s="5"/>
      <c r="C290" s="5">
        <v>4</v>
      </c>
      <c r="D290" s="5"/>
      <c r="E290" s="5"/>
      <c r="F290" s="5">
        <v>3</v>
      </c>
      <c r="G290" s="5"/>
      <c r="H290" s="2">
        <f t="shared" si="14"/>
        <v>10</v>
      </c>
    </row>
    <row r="291" spans="1:8" x14ac:dyDescent="0.25">
      <c r="A291" s="26">
        <v>9</v>
      </c>
      <c r="B291" s="5">
        <v>5</v>
      </c>
      <c r="C291" s="5">
        <v>1</v>
      </c>
      <c r="D291" s="5"/>
      <c r="E291" s="5"/>
      <c r="F291" s="5">
        <v>4</v>
      </c>
      <c r="G291" s="5">
        <v>1</v>
      </c>
      <c r="H291" s="2">
        <f t="shared" si="14"/>
        <v>17</v>
      </c>
    </row>
    <row r="292" spans="1:8" x14ac:dyDescent="0.25">
      <c r="A292" s="26">
        <v>10</v>
      </c>
      <c r="B292" s="5">
        <v>2</v>
      </c>
      <c r="C292" s="5">
        <v>6</v>
      </c>
      <c r="D292" s="5"/>
      <c r="E292" s="5"/>
      <c r="F292" s="5">
        <v>1</v>
      </c>
      <c r="G292" s="5">
        <v>1</v>
      </c>
      <c r="H292" s="2">
        <f t="shared" si="14"/>
        <v>13</v>
      </c>
    </row>
    <row r="293" spans="1:8" x14ac:dyDescent="0.25">
      <c r="A293" s="26">
        <v>11</v>
      </c>
      <c r="B293" s="5">
        <v>7</v>
      </c>
      <c r="C293" s="5">
        <v>4</v>
      </c>
      <c r="D293" s="5"/>
      <c r="E293" s="5"/>
      <c r="F293" s="5">
        <v>1</v>
      </c>
      <c r="G293" s="5">
        <v>2</v>
      </c>
      <c r="H293" s="2">
        <f t="shared" si="14"/>
        <v>15</v>
      </c>
    </row>
    <row r="294" spans="1:8" x14ac:dyDescent="0.25">
      <c r="A294" s="26">
        <v>12</v>
      </c>
      <c r="B294" s="5">
        <v>4</v>
      </c>
      <c r="C294" s="5">
        <v>4</v>
      </c>
      <c r="D294" s="5"/>
      <c r="E294" s="5"/>
      <c r="F294" s="5">
        <v>1</v>
      </c>
      <c r="G294" s="5">
        <v>2</v>
      </c>
      <c r="H294" s="2">
        <f t="shared" si="14"/>
        <v>14</v>
      </c>
    </row>
    <row r="295" spans="1:8" x14ac:dyDescent="0.25">
      <c r="A295" s="26">
        <v>13</v>
      </c>
      <c r="B295" s="5">
        <v>7</v>
      </c>
      <c r="C295" s="5">
        <v>1</v>
      </c>
      <c r="D295" s="5"/>
      <c r="E295" s="5"/>
      <c r="F295" s="5">
        <v>1</v>
      </c>
      <c r="G295" s="5">
        <v>1</v>
      </c>
      <c r="H295" s="2">
        <f t="shared" si="14"/>
        <v>20</v>
      </c>
    </row>
    <row r="296" spans="1:8" x14ac:dyDescent="0.25">
      <c r="A296" s="26">
        <v>14</v>
      </c>
      <c r="B296" s="5">
        <v>1</v>
      </c>
      <c r="C296" s="5">
        <v>6</v>
      </c>
      <c r="D296" s="5"/>
      <c r="E296" s="5"/>
      <c r="F296" s="5">
        <v>3</v>
      </c>
      <c r="G296" s="5"/>
      <c r="H296" s="2">
        <f t="shared" si="14"/>
        <v>18</v>
      </c>
    </row>
    <row r="297" spans="1:8" x14ac:dyDescent="0.25">
      <c r="A297" s="26">
        <v>15</v>
      </c>
      <c r="B297" s="5">
        <v>1</v>
      </c>
      <c r="C297" s="5">
        <v>1</v>
      </c>
      <c r="D297" s="5"/>
      <c r="E297" s="5"/>
      <c r="F297" s="5">
        <v>2</v>
      </c>
      <c r="G297" s="5">
        <v>3</v>
      </c>
      <c r="H297" s="2">
        <f t="shared" si="14"/>
        <v>17</v>
      </c>
    </row>
    <row r="298" spans="1:8" x14ac:dyDescent="0.25">
      <c r="A298" s="26">
        <v>16</v>
      </c>
      <c r="B298" s="5">
        <v>2</v>
      </c>
      <c r="C298" s="5">
        <v>6</v>
      </c>
      <c r="D298" s="5"/>
      <c r="E298" s="5"/>
      <c r="F298" s="5">
        <v>4</v>
      </c>
      <c r="G298" s="5">
        <v>1</v>
      </c>
      <c r="H298" s="2">
        <f t="shared" si="14"/>
        <v>16</v>
      </c>
    </row>
    <row r="299" spans="1:8" x14ac:dyDescent="0.25">
      <c r="A299" s="26">
        <v>17</v>
      </c>
      <c r="B299" s="5">
        <v>1</v>
      </c>
      <c r="C299" s="5">
        <v>4</v>
      </c>
      <c r="D299" s="5"/>
      <c r="E299" s="5"/>
      <c r="F299" s="5">
        <v>2</v>
      </c>
      <c r="G299" s="5">
        <v>1</v>
      </c>
      <c r="H299" s="2">
        <f t="shared" si="14"/>
        <v>14</v>
      </c>
    </row>
    <row r="300" spans="1:8" x14ac:dyDescent="0.25">
      <c r="A300" s="26">
        <v>18</v>
      </c>
      <c r="B300" s="5">
        <v>5</v>
      </c>
      <c r="C300" s="5">
        <v>3</v>
      </c>
      <c r="D300" s="5"/>
      <c r="E300" s="5"/>
      <c r="F300" s="5">
        <v>1</v>
      </c>
      <c r="G300" s="5">
        <v>1</v>
      </c>
      <c r="H300" s="2">
        <f t="shared" si="14"/>
        <v>16</v>
      </c>
    </row>
    <row r="301" spans="1:8" x14ac:dyDescent="0.25">
      <c r="A301" s="26">
        <v>19</v>
      </c>
      <c r="B301" s="5">
        <v>4</v>
      </c>
      <c r="C301" s="5">
        <v>2</v>
      </c>
      <c r="D301" s="5"/>
      <c r="E301" s="5"/>
      <c r="F301" s="5">
        <v>2</v>
      </c>
      <c r="G301" s="5"/>
      <c r="H301" s="2">
        <f t="shared" si="14"/>
        <v>20</v>
      </c>
    </row>
    <row r="302" spans="1:8" x14ac:dyDescent="0.25">
      <c r="A302" s="26">
        <v>20</v>
      </c>
      <c r="B302" s="5">
        <v>6</v>
      </c>
      <c r="C302" s="5">
        <v>4</v>
      </c>
      <c r="D302" s="5"/>
      <c r="E302" s="5"/>
      <c r="F302" s="5">
        <v>2</v>
      </c>
      <c r="G302" s="5">
        <v>1</v>
      </c>
      <c r="H302" s="2">
        <f t="shared" si="14"/>
        <v>23</v>
      </c>
    </row>
    <row r="303" spans="1:8" x14ac:dyDescent="0.25">
      <c r="A303" s="26">
        <v>21</v>
      </c>
      <c r="B303" s="5">
        <v>2</v>
      </c>
      <c r="C303" s="5">
        <v>3</v>
      </c>
      <c r="D303" s="5"/>
      <c r="E303" s="5"/>
      <c r="F303" s="5"/>
      <c r="G303" s="5">
        <v>1</v>
      </c>
      <c r="H303" s="2">
        <f t="shared" si="14"/>
        <v>21</v>
      </c>
    </row>
    <row r="304" spans="1:8" x14ac:dyDescent="0.25">
      <c r="A304" s="26">
        <v>22</v>
      </c>
      <c r="B304" s="5">
        <v>4</v>
      </c>
      <c r="C304" s="5">
        <v>2</v>
      </c>
      <c r="D304" s="5"/>
      <c r="E304" s="5"/>
      <c r="F304" s="5">
        <v>1</v>
      </c>
      <c r="G304" s="5">
        <v>3</v>
      </c>
      <c r="H304" s="2">
        <f t="shared" si="14"/>
        <v>21</v>
      </c>
    </row>
    <row r="305" spans="1:8" x14ac:dyDescent="0.25">
      <c r="A305" s="26">
        <v>23</v>
      </c>
      <c r="B305" s="5"/>
      <c r="C305" s="5">
        <v>6</v>
      </c>
      <c r="D305" s="5"/>
      <c r="E305" s="5"/>
      <c r="F305" s="5">
        <v>1</v>
      </c>
      <c r="G305" s="5"/>
      <c r="H305" s="2">
        <f t="shared" si="14"/>
        <v>16</v>
      </c>
    </row>
    <row r="306" spans="1:8" x14ac:dyDescent="0.25">
      <c r="A306" s="26">
        <v>24</v>
      </c>
      <c r="B306" s="5">
        <v>2</v>
      </c>
      <c r="C306" s="5">
        <v>5</v>
      </c>
      <c r="D306" s="5"/>
      <c r="E306" s="5"/>
      <c r="F306" s="5">
        <v>3</v>
      </c>
      <c r="G306" s="5">
        <v>1</v>
      </c>
      <c r="H306" s="2">
        <f t="shared" si="14"/>
        <v>15</v>
      </c>
    </row>
    <row r="307" spans="1:8" x14ac:dyDescent="0.25">
      <c r="A307" s="26">
        <v>25</v>
      </c>
      <c r="B307" s="5">
        <v>5</v>
      </c>
      <c r="C307" s="5">
        <v>3</v>
      </c>
      <c r="D307" s="5"/>
      <c r="E307" s="5"/>
      <c r="F307" s="5">
        <v>2</v>
      </c>
      <c r="G307" s="5"/>
      <c r="H307" s="2">
        <f t="shared" si="14"/>
        <v>19</v>
      </c>
    </row>
    <row r="308" spans="1:8" x14ac:dyDescent="0.25">
      <c r="A308" s="26">
        <v>26</v>
      </c>
      <c r="B308" s="5">
        <v>2</v>
      </c>
      <c r="C308" s="5">
        <v>1</v>
      </c>
      <c r="D308" s="5"/>
      <c r="E308" s="5"/>
      <c r="F308" s="5">
        <v>3</v>
      </c>
      <c r="G308" s="5"/>
      <c r="H308" s="2">
        <f t="shared" si="14"/>
        <v>23</v>
      </c>
    </row>
    <row r="309" spans="1:8" x14ac:dyDescent="0.25">
      <c r="A309" s="26">
        <v>27</v>
      </c>
      <c r="B309" s="5">
        <v>5</v>
      </c>
      <c r="C309" s="5">
        <v>5</v>
      </c>
      <c r="D309" s="5"/>
      <c r="E309" s="5"/>
      <c r="F309" s="5">
        <v>1</v>
      </c>
      <c r="G309" s="5">
        <v>1</v>
      </c>
      <c r="H309" s="2">
        <f t="shared" si="14"/>
        <v>23</v>
      </c>
    </row>
    <row r="310" spans="1:8" x14ac:dyDescent="0.25">
      <c r="A310" s="26">
        <v>28</v>
      </c>
      <c r="B310" s="5">
        <v>2</v>
      </c>
      <c r="C310" s="5">
        <v>9</v>
      </c>
      <c r="D310" s="5"/>
      <c r="E310" s="5"/>
      <c r="F310" s="5">
        <v>3</v>
      </c>
      <c r="G310" s="5">
        <v>1</v>
      </c>
      <c r="H310" s="2">
        <f t="shared" si="14"/>
        <v>18</v>
      </c>
    </row>
    <row r="311" spans="1:8" x14ac:dyDescent="0.25">
      <c r="A311" s="26">
        <v>29</v>
      </c>
      <c r="B311" s="5">
        <v>1</v>
      </c>
      <c r="C311" s="5">
        <v>3</v>
      </c>
      <c r="D311" s="5"/>
      <c r="E311" s="5"/>
      <c r="F311" s="5">
        <v>3</v>
      </c>
      <c r="G311" s="5">
        <v>3</v>
      </c>
      <c r="H311" s="2">
        <f t="shared" si="14"/>
        <v>16</v>
      </c>
    </row>
    <row r="312" spans="1:8" x14ac:dyDescent="0.25">
      <c r="A312" s="11">
        <v>30</v>
      </c>
      <c r="B312" s="5">
        <v>1</v>
      </c>
      <c r="C312" s="5">
        <v>5</v>
      </c>
      <c r="D312" s="5"/>
      <c r="E312" s="5"/>
      <c r="F312" s="5"/>
      <c r="G312" s="5"/>
      <c r="H312" s="5">
        <f t="shared" si="14"/>
        <v>12</v>
      </c>
    </row>
    <row r="313" spans="1:8" ht="15.75" thickBot="1" x14ac:dyDescent="0.3">
      <c r="A313" s="63">
        <v>31</v>
      </c>
      <c r="B313" s="29"/>
      <c r="C313" s="29">
        <v>2</v>
      </c>
      <c r="D313" s="29"/>
      <c r="E313" s="29"/>
      <c r="F313" s="29">
        <v>1</v>
      </c>
      <c r="G313" s="29"/>
      <c r="H313" s="5">
        <f t="shared" si="14"/>
        <v>11</v>
      </c>
    </row>
    <row r="314" spans="1:8" ht="15.75" thickBot="1" x14ac:dyDescent="0.3">
      <c r="A314" s="60" t="s">
        <v>35</v>
      </c>
      <c r="B314" s="58">
        <f>SUM(B283:B313)-E283</f>
        <v>88</v>
      </c>
      <c r="C314" s="58">
        <f t="shared" ref="C314:H314" si="15">SUM(C283:C313)</f>
        <v>118</v>
      </c>
      <c r="D314" s="58">
        <f t="shared" si="15"/>
        <v>0</v>
      </c>
      <c r="E314" s="58">
        <f t="shared" si="15"/>
        <v>0</v>
      </c>
      <c r="F314" s="58">
        <f t="shared" si="15"/>
        <v>60</v>
      </c>
      <c r="G314" s="58">
        <f t="shared" si="15"/>
        <v>37</v>
      </c>
      <c r="H314" s="58">
        <f t="shared" si="15"/>
        <v>490</v>
      </c>
    </row>
    <row r="317" spans="1:8" ht="36" x14ac:dyDescent="0.55000000000000004">
      <c r="A317" s="605" t="s">
        <v>1</v>
      </c>
      <c r="B317" s="605"/>
      <c r="C317" s="605"/>
      <c r="D317" s="605"/>
      <c r="E317" s="605"/>
      <c r="F317" s="605"/>
      <c r="G317" s="605"/>
      <c r="H317" s="605"/>
    </row>
    <row r="318" spans="1:8" ht="27" thickBot="1" x14ac:dyDescent="0.45">
      <c r="A318" s="606" t="s">
        <v>0</v>
      </c>
      <c r="B318" s="606"/>
      <c r="C318" s="606"/>
      <c r="D318" s="606"/>
      <c r="E318" s="606"/>
      <c r="F318" s="606"/>
      <c r="G318" s="606"/>
      <c r="H318" s="606"/>
    </row>
    <row r="319" spans="1:8" ht="15.75" x14ac:dyDescent="0.25">
      <c r="A319" s="39" t="s">
        <v>2</v>
      </c>
      <c r="B319" s="19" t="s">
        <v>3</v>
      </c>
      <c r="C319" s="20"/>
      <c r="D319" s="21" t="s">
        <v>52</v>
      </c>
      <c r="E319" s="607" t="s">
        <v>55</v>
      </c>
      <c r="F319" s="608"/>
      <c r="G319" s="19" t="s">
        <v>16</v>
      </c>
      <c r="H319" s="32" t="s">
        <v>63</v>
      </c>
    </row>
    <row r="320" spans="1:8" ht="15.75" x14ac:dyDescent="0.25">
      <c r="A320" s="609" t="s">
        <v>6</v>
      </c>
      <c r="B320" s="610"/>
      <c r="C320" s="610"/>
      <c r="D320" s="610"/>
      <c r="E320" s="610"/>
      <c r="F320" s="611"/>
      <c r="G320" s="1"/>
      <c r="H320" s="2">
        <f>H313</f>
        <v>11</v>
      </c>
    </row>
    <row r="321" spans="1:8" ht="15.75" x14ac:dyDescent="0.25">
      <c r="A321" s="3" t="s">
        <v>7</v>
      </c>
      <c r="B321" s="1"/>
      <c r="C321" s="1"/>
      <c r="D321" s="1"/>
      <c r="E321" s="1"/>
      <c r="F321" s="1"/>
      <c r="G321" s="1"/>
      <c r="H321" s="2">
        <v>22</v>
      </c>
    </row>
    <row r="322" spans="1:8" ht="51.75" thickBot="1" x14ac:dyDescent="0.3">
      <c r="A322" s="40" t="s">
        <v>8</v>
      </c>
      <c r="B322" s="41" t="s">
        <v>9</v>
      </c>
      <c r="C322" s="41" t="s">
        <v>10</v>
      </c>
      <c r="D322" s="41" t="s">
        <v>11</v>
      </c>
      <c r="E322" s="41" t="s">
        <v>12</v>
      </c>
      <c r="F322" s="41" t="s">
        <v>13</v>
      </c>
      <c r="G322" s="41" t="s">
        <v>14</v>
      </c>
      <c r="H322" s="42" t="s">
        <v>15</v>
      </c>
    </row>
    <row r="323" spans="1:8" x14ac:dyDescent="0.25">
      <c r="A323" s="36">
        <v>1</v>
      </c>
      <c r="B323" s="37">
        <v>6</v>
      </c>
      <c r="C323" s="37">
        <v>3</v>
      </c>
      <c r="D323" s="37"/>
      <c r="E323" s="37"/>
      <c r="F323" s="37"/>
      <c r="G323" s="37"/>
      <c r="H323" s="38">
        <f>H320+B323+F323-(C323+D323+G323)-E323</f>
        <v>14</v>
      </c>
    </row>
    <row r="324" spans="1:8" x14ac:dyDescent="0.25">
      <c r="A324" s="26">
        <v>2</v>
      </c>
      <c r="B324" s="5">
        <v>2</v>
      </c>
      <c r="C324" s="5">
        <v>3</v>
      </c>
      <c r="D324" s="5"/>
      <c r="E324" s="5"/>
      <c r="F324" s="5">
        <v>3</v>
      </c>
      <c r="G324" s="5">
        <v>1</v>
      </c>
      <c r="H324" s="2">
        <f>H323+B324+F324-(C324+D324+G324)-E324</f>
        <v>15</v>
      </c>
    </row>
    <row r="325" spans="1:8" x14ac:dyDescent="0.25">
      <c r="A325" s="26">
        <v>3</v>
      </c>
      <c r="B325" s="5">
        <v>3</v>
      </c>
      <c r="C325" s="5">
        <v>4</v>
      </c>
      <c r="D325" s="5"/>
      <c r="E325" s="5"/>
      <c r="F325" s="5">
        <v>1</v>
      </c>
      <c r="G325" s="5">
        <v>3</v>
      </c>
      <c r="H325" s="2">
        <f>H324+B325+F325-(C325+D325+G325)-E325</f>
        <v>12</v>
      </c>
    </row>
    <row r="326" spans="1:8" x14ac:dyDescent="0.25">
      <c r="A326" s="26">
        <v>4</v>
      </c>
      <c r="B326" s="5">
        <v>6</v>
      </c>
      <c r="C326" s="5">
        <v>3</v>
      </c>
      <c r="D326" s="5"/>
      <c r="E326" s="5"/>
      <c r="F326" s="5"/>
      <c r="G326" s="5">
        <v>2</v>
      </c>
      <c r="H326" s="2">
        <f t="shared" ref="H326:H352" si="16">H325+B326+F326-(C326+D326+G326)-E326</f>
        <v>13</v>
      </c>
    </row>
    <row r="327" spans="1:8" x14ac:dyDescent="0.25">
      <c r="A327" s="26">
        <v>5</v>
      </c>
      <c r="B327" s="5">
        <v>3</v>
      </c>
      <c r="C327" s="5">
        <v>5</v>
      </c>
      <c r="D327" s="5"/>
      <c r="E327" s="5"/>
      <c r="F327" s="5">
        <v>1</v>
      </c>
      <c r="G327" s="5"/>
      <c r="H327" s="2">
        <f t="shared" si="16"/>
        <v>12</v>
      </c>
    </row>
    <row r="328" spans="1:8" x14ac:dyDescent="0.25">
      <c r="A328" s="26">
        <v>6</v>
      </c>
      <c r="B328" s="5"/>
      <c r="C328" s="5">
        <v>2</v>
      </c>
      <c r="D328" s="5"/>
      <c r="E328" s="5"/>
      <c r="F328" s="5"/>
      <c r="G328" s="5"/>
      <c r="H328" s="2">
        <f t="shared" si="16"/>
        <v>10</v>
      </c>
    </row>
    <row r="329" spans="1:8" x14ac:dyDescent="0.25">
      <c r="A329" s="26">
        <v>7</v>
      </c>
      <c r="B329" s="5">
        <v>3</v>
      </c>
      <c r="C329" s="5">
        <v>2</v>
      </c>
      <c r="D329" s="5"/>
      <c r="E329" s="5"/>
      <c r="F329" s="5">
        <v>2</v>
      </c>
      <c r="G329" s="5">
        <v>1</v>
      </c>
      <c r="H329" s="2">
        <f t="shared" si="16"/>
        <v>12</v>
      </c>
    </row>
    <row r="330" spans="1:8" x14ac:dyDescent="0.25">
      <c r="A330" s="26">
        <v>8</v>
      </c>
      <c r="B330" s="5">
        <v>7</v>
      </c>
      <c r="C330" s="5">
        <v>1</v>
      </c>
      <c r="D330" s="5"/>
      <c r="E330" s="5"/>
      <c r="F330" s="5"/>
      <c r="G330" s="5">
        <v>1</v>
      </c>
      <c r="H330" s="2">
        <f t="shared" si="16"/>
        <v>17</v>
      </c>
    </row>
    <row r="331" spans="1:8" x14ac:dyDescent="0.25">
      <c r="A331" s="26">
        <v>9</v>
      </c>
      <c r="B331" s="5">
        <v>3</v>
      </c>
      <c r="C331" s="5">
        <v>2</v>
      </c>
      <c r="D331" s="5"/>
      <c r="E331" s="5"/>
      <c r="F331" s="5">
        <v>3</v>
      </c>
      <c r="G331" s="5">
        <v>2</v>
      </c>
      <c r="H331" s="2">
        <f t="shared" si="16"/>
        <v>19</v>
      </c>
    </row>
    <row r="332" spans="1:8" x14ac:dyDescent="0.25">
      <c r="A332" s="26">
        <v>10</v>
      </c>
      <c r="B332" s="5">
        <v>2</v>
      </c>
      <c r="C332" s="5">
        <v>3</v>
      </c>
      <c r="D332" s="5"/>
      <c r="E332" s="5"/>
      <c r="F332" s="5">
        <v>2</v>
      </c>
      <c r="G332" s="5">
        <v>3</v>
      </c>
      <c r="H332" s="2">
        <f t="shared" si="16"/>
        <v>17</v>
      </c>
    </row>
    <row r="333" spans="1:8" x14ac:dyDescent="0.25">
      <c r="A333" s="26">
        <v>11</v>
      </c>
      <c r="B333" s="5"/>
      <c r="C333" s="5">
        <v>8</v>
      </c>
      <c r="D333" s="5"/>
      <c r="E333" s="5"/>
      <c r="F333" s="5">
        <v>4</v>
      </c>
      <c r="G333" s="5"/>
      <c r="H333" s="2">
        <f t="shared" si="16"/>
        <v>13</v>
      </c>
    </row>
    <row r="334" spans="1:8" x14ac:dyDescent="0.25">
      <c r="A334" s="26">
        <v>12</v>
      </c>
      <c r="B334" s="5"/>
      <c r="C334" s="5">
        <v>4</v>
      </c>
      <c r="D334" s="5"/>
      <c r="E334" s="5"/>
      <c r="F334" s="5"/>
      <c r="G334" s="5"/>
      <c r="H334" s="2">
        <f t="shared" si="16"/>
        <v>9</v>
      </c>
    </row>
    <row r="335" spans="1:8" x14ac:dyDescent="0.25">
      <c r="A335" s="26">
        <v>13</v>
      </c>
      <c r="B335" s="5">
        <v>3</v>
      </c>
      <c r="C335" s="5">
        <v>3</v>
      </c>
      <c r="D335" s="5"/>
      <c r="E335" s="5"/>
      <c r="F335" s="5">
        <v>1</v>
      </c>
      <c r="G335" s="5"/>
      <c r="H335" s="2">
        <f t="shared" si="16"/>
        <v>10</v>
      </c>
    </row>
    <row r="336" spans="1:8" x14ac:dyDescent="0.25">
      <c r="A336" s="26">
        <v>14</v>
      </c>
      <c r="B336" s="5">
        <v>4</v>
      </c>
      <c r="C336" s="5">
        <v>2</v>
      </c>
      <c r="D336" s="5"/>
      <c r="E336" s="5"/>
      <c r="F336" s="5">
        <v>2</v>
      </c>
      <c r="G336" s="5">
        <v>2</v>
      </c>
      <c r="H336" s="2">
        <f t="shared" si="16"/>
        <v>12</v>
      </c>
    </row>
    <row r="337" spans="1:8" x14ac:dyDescent="0.25">
      <c r="A337" s="26">
        <v>15</v>
      </c>
      <c r="B337" s="5">
        <v>2</v>
      </c>
      <c r="C337" s="5">
        <v>1</v>
      </c>
      <c r="D337" s="5"/>
      <c r="E337" s="5"/>
      <c r="F337" s="5">
        <v>1</v>
      </c>
      <c r="G337" s="5"/>
      <c r="H337" s="2">
        <f t="shared" si="16"/>
        <v>14</v>
      </c>
    </row>
    <row r="338" spans="1:8" x14ac:dyDescent="0.25">
      <c r="A338" s="26">
        <v>16</v>
      </c>
      <c r="B338" s="5">
        <v>5</v>
      </c>
      <c r="C338" s="5">
        <v>4</v>
      </c>
      <c r="D338" s="5"/>
      <c r="E338" s="5"/>
      <c r="F338" s="5">
        <v>3</v>
      </c>
      <c r="G338" s="5">
        <v>3</v>
      </c>
      <c r="H338" s="2">
        <f t="shared" si="16"/>
        <v>15</v>
      </c>
    </row>
    <row r="339" spans="1:8" x14ac:dyDescent="0.25">
      <c r="A339" s="26">
        <v>17</v>
      </c>
      <c r="B339" s="5">
        <v>5</v>
      </c>
      <c r="C339" s="5">
        <v>4</v>
      </c>
      <c r="D339" s="5"/>
      <c r="E339" s="5"/>
      <c r="F339" s="5">
        <v>1</v>
      </c>
      <c r="G339" s="5">
        <v>1</v>
      </c>
      <c r="H339" s="2">
        <f t="shared" si="16"/>
        <v>16</v>
      </c>
    </row>
    <row r="340" spans="1:8" x14ac:dyDescent="0.25">
      <c r="A340" s="26">
        <v>18</v>
      </c>
      <c r="B340" s="5">
        <v>4</v>
      </c>
      <c r="C340" s="5">
        <v>2</v>
      </c>
      <c r="D340" s="5"/>
      <c r="E340" s="5"/>
      <c r="F340" s="5">
        <v>2</v>
      </c>
      <c r="G340" s="5">
        <v>1</v>
      </c>
      <c r="H340" s="2">
        <f t="shared" si="16"/>
        <v>19</v>
      </c>
    </row>
    <row r="341" spans="1:8" x14ac:dyDescent="0.25">
      <c r="A341" s="26">
        <v>19</v>
      </c>
      <c r="B341" s="5"/>
      <c r="C341" s="5">
        <v>2</v>
      </c>
      <c r="D341" s="5"/>
      <c r="E341" s="5"/>
      <c r="F341" s="5">
        <v>3</v>
      </c>
      <c r="G341" s="5">
        <v>4</v>
      </c>
      <c r="H341" s="2">
        <f t="shared" si="16"/>
        <v>16</v>
      </c>
    </row>
    <row r="342" spans="1:8" x14ac:dyDescent="0.25">
      <c r="A342" s="26">
        <v>20</v>
      </c>
      <c r="B342" s="5"/>
      <c r="C342" s="5">
        <v>4</v>
      </c>
      <c r="D342" s="5"/>
      <c r="E342" s="5"/>
      <c r="F342" s="5">
        <v>1</v>
      </c>
      <c r="G342" s="5"/>
      <c r="H342" s="2">
        <f t="shared" si="16"/>
        <v>13</v>
      </c>
    </row>
    <row r="343" spans="1:8" x14ac:dyDescent="0.25">
      <c r="A343" s="26">
        <v>21</v>
      </c>
      <c r="B343" s="5">
        <v>1</v>
      </c>
      <c r="C343" s="5">
        <v>3</v>
      </c>
      <c r="D343" s="5"/>
      <c r="E343" s="5"/>
      <c r="F343" s="5"/>
      <c r="G343" s="5"/>
      <c r="H343" s="2">
        <f t="shared" si="16"/>
        <v>11</v>
      </c>
    </row>
    <row r="344" spans="1:8" x14ac:dyDescent="0.25">
      <c r="A344" s="26">
        <v>22</v>
      </c>
      <c r="B344" s="5">
        <v>1</v>
      </c>
      <c r="C344" s="5">
        <v>4</v>
      </c>
      <c r="D344" s="5"/>
      <c r="E344" s="5"/>
      <c r="F344" s="5"/>
      <c r="G344" s="5"/>
      <c r="H344" s="2">
        <f t="shared" si="16"/>
        <v>8</v>
      </c>
    </row>
    <row r="345" spans="1:8" x14ac:dyDescent="0.25">
      <c r="A345" s="26">
        <v>23</v>
      </c>
      <c r="B345" s="5">
        <v>4</v>
      </c>
      <c r="C345" s="5">
        <v>4</v>
      </c>
      <c r="D345" s="5"/>
      <c r="E345" s="5"/>
      <c r="F345" s="5">
        <v>1</v>
      </c>
      <c r="G345" s="5"/>
      <c r="H345" s="2">
        <f t="shared" si="16"/>
        <v>9</v>
      </c>
    </row>
    <row r="346" spans="1:8" x14ac:dyDescent="0.25">
      <c r="A346" s="26">
        <v>24</v>
      </c>
      <c r="B346" s="5">
        <v>3</v>
      </c>
      <c r="C346" s="5"/>
      <c r="D346" s="5"/>
      <c r="E346" s="5"/>
      <c r="F346" s="5">
        <v>2</v>
      </c>
      <c r="G346" s="5"/>
      <c r="H346" s="2">
        <f t="shared" si="16"/>
        <v>14</v>
      </c>
    </row>
    <row r="347" spans="1:8" x14ac:dyDescent="0.25">
      <c r="A347" s="26">
        <v>25</v>
      </c>
      <c r="B347" s="5">
        <v>1</v>
      </c>
      <c r="C347" s="5">
        <v>1</v>
      </c>
      <c r="D347" s="5"/>
      <c r="E347" s="5"/>
      <c r="F347" s="5">
        <v>2</v>
      </c>
      <c r="G347" s="5"/>
      <c r="H347" s="2">
        <f t="shared" si="16"/>
        <v>16</v>
      </c>
    </row>
    <row r="348" spans="1:8" x14ac:dyDescent="0.25">
      <c r="A348" s="26">
        <v>26</v>
      </c>
      <c r="B348" s="5">
        <v>4</v>
      </c>
      <c r="C348" s="5">
        <v>2</v>
      </c>
      <c r="D348" s="5"/>
      <c r="E348" s="5"/>
      <c r="F348" s="5"/>
      <c r="G348" s="5">
        <v>2</v>
      </c>
      <c r="H348" s="2">
        <f t="shared" si="16"/>
        <v>16</v>
      </c>
    </row>
    <row r="349" spans="1:8" x14ac:dyDescent="0.25">
      <c r="A349" s="26">
        <v>27</v>
      </c>
      <c r="B349" s="5">
        <v>1</v>
      </c>
      <c r="C349" s="5">
        <v>6</v>
      </c>
      <c r="D349" s="5"/>
      <c r="E349" s="5"/>
      <c r="F349" s="5">
        <v>2</v>
      </c>
      <c r="G349" s="5">
        <v>1</v>
      </c>
      <c r="H349" s="2">
        <f t="shared" si="16"/>
        <v>12</v>
      </c>
    </row>
    <row r="350" spans="1:8" x14ac:dyDescent="0.25">
      <c r="A350" s="26">
        <v>28</v>
      </c>
      <c r="B350" s="5">
        <v>2</v>
      </c>
      <c r="C350" s="5">
        <v>2</v>
      </c>
      <c r="D350" s="5"/>
      <c r="E350" s="5"/>
      <c r="F350" s="5"/>
      <c r="G350" s="5"/>
      <c r="H350" s="2">
        <f t="shared" si="16"/>
        <v>12</v>
      </c>
    </row>
    <row r="351" spans="1:8" x14ac:dyDescent="0.25">
      <c r="A351" s="26">
        <v>29</v>
      </c>
      <c r="B351" s="5">
        <v>4</v>
      </c>
      <c r="C351" s="5">
        <v>4</v>
      </c>
      <c r="D351" s="5"/>
      <c r="E351" s="5"/>
      <c r="F351" s="5"/>
      <c r="G351" s="5">
        <v>2</v>
      </c>
      <c r="H351" s="2">
        <f t="shared" si="16"/>
        <v>10</v>
      </c>
    </row>
    <row r="352" spans="1:8" ht="15.75" thickBot="1" x14ac:dyDescent="0.3">
      <c r="A352" s="11">
        <v>30</v>
      </c>
      <c r="B352" s="5">
        <v>1</v>
      </c>
      <c r="C352" s="5">
        <v>3</v>
      </c>
      <c r="D352" s="5"/>
      <c r="E352" s="5"/>
      <c r="F352" s="5">
        <v>2</v>
      </c>
      <c r="G352" s="5"/>
      <c r="H352" s="5">
        <f t="shared" si="16"/>
        <v>10</v>
      </c>
    </row>
    <row r="353" spans="1:8" ht="15.75" thickBot="1" x14ac:dyDescent="0.3">
      <c r="A353" s="60" t="s">
        <v>35</v>
      </c>
      <c r="B353" s="58">
        <f>SUM(B323:B352)-E353</f>
        <v>80</v>
      </c>
      <c r="C353" s="58">
        <f t="shared" ref="C353:H353" si="17">SUM(C323:C352)</f>
        <v>91</v>
      </c>
      <c r="D353" s="58">
        <f t="shared" si="17"/>
        <v>0</v>
      </c>
      <c r="E353" s="58">
        <f t="shared" si="17"/>
        <v>0</v>
      </c>
      <c r="F353" s="58">
        <f t="shared" si="17"/>
        <v>39</v>
      </c>
      <c r="G353" s="58">
        <f t="shared" si="17"/>
        <v>29</v>
      </c>
      <c r="H353" s="58">
        <f t="shared" si="17"/>
        <v>396</v>
      </c>
    </row>
    <row r="356" spans="1:8" ht="36" x14ac:dyDescent="0.55000000000000004">
      <c r="A356" s="605" t="s">
        <v>1</v>
      </c>
      <c r="B356" s="605"/>
      <c r="C356" s="605"/>
      <c r="D356" s="605"/>
      <c r="E356" s="605"/>
      <c r="F356" s="605"/>
      <c r="G356" s="605"/>
      <c r="H356" s="605"/>
    </row>
    <row r="357" spans="1:8" ht="27" thickBot="1" x14ac:dyDescent="0.45">
      <c r="A357" s="606" t="s">
        <v>0</v>
      </c>
      <c r="B357" s="606"/>
      <c r="C357" s="606"/>
      <c r="D357" s="606"/>
      <c r="E357" s="606"/>
      <c r="F357" s="606"/>
      <c r="G357" s="606"/>
      <c r="H357" s="606"/>
    </row>
    <row r="358" spans="1:8" ht="15.75" x14ac:dyDescent="0.25">
      <c r="A358" s="39" t="s">
        <v>2</v>
      </c>
      <c r="B358" s="19" t="s">
        <v>3</v>
      </c>
      <c r="C358" s="20"/>
      <c r="D358" s="21" t="s">
        <v>52</v>
      </c>
      <c r="E358" s="607" t="s">
        <v>55</v>
      </c>
      <c r="F358" s="608"/>
      <c r="G358" s="19" t="s">
        <v>16</v>
      </c>
      <c r="H358" s="32" t="s">
        <v>64</v>
      </c>
    </row>
    <row r="359" spans="1:8" ht="15.75" x14ac:dyDescent="0.25">
      <c r="A359" s="609" t="s">
        <v>6</v>
      </c>
      <c r="B359" s="610"/>
      <c r="C359" s="610"/>
      <c r="D359" s="610"/>
      <c r="E359" s="610"/>
      <c r="F359" s="611"/>
      <c r="G359" s="1"/>
      <c r="H359" s="2">
        <f>H352</f>
        <v>10</v>
      </c>
    </row>
    <row r="360" spans="1:8" ht="15.75" x14ac:dyDescent="0.25">
      <c r="A360" s="3" t="s">
        <v>7</v>
      </c>
      <c r="B360" s="1"/>
      <c r="C360" s="1"/>
      <c r="D360" s="1"/>
      <c r="E360" s="1"/>
      <c r="F360" s="1"/>
      <c r="G360" s="1"/>
      <c r="H360" s="2">
        <v>22</v>
      </c>
    </row>
    <row r="361" spans="1:8" ht="51.75" thickBot="1" x14ac:dyDescent="0.3">
      <c r="A361" s="40" t="s">
        <v>8</v>
      </c>
      <c r="B361" s="41" t="s">
        <v>9</v>
      </c>
      <c r="C361" s="41" t="s">
        <v>10</v>
      </c>
      <c r="D361" s="41" t="s">
        <v>11</v>
      </c>
      <c r="E361" s="41" t="s">
        <v>12</v>
      </c>
      <c r="F361" s="41" t="s">
        <v>13</v>
      </c>
      <c r="G361" s="41" t="s">
        <v>14</v>
      </c>
      <c r="H361" s="42" t="s">
        <v>15</v>
      </c>
    </row>
    <row r="362" spans="1:8" x14ac:dyDescent="0.25">
      <c r="A362" s="36">
        <v>1</v>
      </c>
      <c r="B362" s="527">
        <v>1</v>
      </c>
      <c r="C362" s="527">
        <v>2</v>
      </c>
      <c r="D362" s="527"/>
      <c r="E362" s="527"/>
      <c r="F362" s="527">
        <v>2</v>
      </c>
      <c r="G362" s="527"/>
      <c r="H362" s="38">
        <f>H359+B362+F362-(C362+D362+G362)-E362</f>
        <v>11</v>
      </c>
    </row>
    <row r="363" spans="1:8" x14ac:dyDescent="0.25">
      <c r="A363" s="26">
        <v>2</v>
      </c>
      <c r="B363" s="268">
        <v>1</v>
      </c>
      <c r="C363" s="268">
        <v>1</v>
      </c>
      <c r="D363" s="268"/>
      <c r="E363" s="268"/>
      <c r="F363" s="268">
        <v>1</v>
      </c>
      <c r="G363" s="268"/>
      <c r="H363" s="2">
        <f>H362+B363+F363-(C363+D363+G363)-E363</f>
        <v>12</v>
      </c>
    </row>
    <row r="364" spans="1:8" x14ac:dyDescent="0.25">
      <c r="A364" s="26">
        <v>3</v>
      </c>
      <c r="B364" s="268">
        <v>3</v>
      </c>
      <c r="C364" s="268">
        <v>2</v>
      </c>
      <c r="D364" s="268"/>
      <c r="E364" s="268"/>
      <c r="F364" s="268"/>
      <c r="G364" s="268">
        <v>2</v>
      </c>
      <c r="H364" s="2">
        <f>H363+B364+F364-(C364+D364+G364)-E364</f>
        <v>11</v>
      </c>
    </row>
    <row r="365" spans="1:8" x14ac:dyDescent="0.25">
      <c r="A365" s="26">
        <v>4</v>
      </c>
      <c r="B365" s="268">
        <v>3</v>
      </c>
      <c r="C365" s="268">
        <v>3</v>
      </c>
      <c r="D365" s="268"/>
      <c r="E365" s="268"/>
      <c r="F365" s="268"/>
      <c r="G365" s="268">
        <v>3</v>
      </c>
      <c r="H365" s="2">
        <f t="shared" ref="H365:H392" si="18">H364+B365+F365-(C365+D365+G365)-E365</f>
        <v>8</v>
      </c>
    </row>
    <row r="366" spans="1:8" x14ac:dyDescent="0.25">
      <c r="A366" s="26">
        <v>5</v>
      </c>
      <c r="B366" s="268">
        <v>2</v>
      </c>
      <c r="C366" s="268">
        <v>1</v>
      </c>
      <c r="D366" s="268"/>
      <c r="E366" s="268"/>
      <c r="F366" s="268">
        <v>5</v>
      </c>
      <c r="G366" s="268">
        <v>2</v>
      </c>
      <c r="H366" s="2">
        <f t="shared" si="18"/>
        <v>12</v>
      </c>
    </row>
    <row r="367" spans="1:8" x14ac:dyDescent="0.25">
      <c r="A367" s="26">
        <v>6</v>
      </c>
      <c r="B367" s="268">
        <v>2</v>
      </c>
      <c r="C367" s="268"/>
      <c r="D367" s="268"/>
      <c r="E367" s="268"/>
      <c r="F367" s="268"/>
      <c r="G367" s="268"/>
      <c r="H367" s="2">
        <f t="shared" si="18"/>
        <v>14</v>
      </c>
    </row>
    <row r="368" spans="1:8" x14ac:dyDescent="0.25">
      <c r="A368" s="26">
        <v>7</v>
      </c>
      <c r="B368" s="268">
        <v>7</v>
      </c>
      <c r="C368" s="268">
        <v>4</v>
      </c>
      <c r="D368" s="268"/>
      <c r="E368" s="268"/>
      <c r="F368" s="268"/>
      <c r="G368" s="268">
        <v>4</v>
      </c>
      <c r="H368" s="2">
        <f t="shared" si="18"/>
        <v>13</v>
      </c>
    </row>
    <row r="369" spans="1:8" x14ac:dyDescent="0.25">
      <c r="A369" s="26">
        <v>8</v>
      </c>
      <c r="B369" s="268">
        <v>5</v>
      </c>
      <c r="C369" s="268"/>
      <c r="D369" s="268"/>
      <c r="E369" s="268"/>
      <c r="F369" s="268">
        <v>1</v>
      </c>
      <c r="G369" s="268">
        <v>2</v>
      </c>
      <c r="H369" s="2">
        <f t="shared" si="18"/>
        <v>17</v>
      </c>
    </row>
    <row r="370" spans="1:8" x14ac:dyDescent="0.25">
      <c r="A370" s="26">
        <v>9</v>
      </c>
      <c r="B370" s="268">
        <v>1</v>
      </c>
      <c r="C370" s="268">
        <v>2</v>
      </c>
      <c r="D370" s="268"/>
      <c r="E370" s="268"/>
      <c r="F370" s="268">
        <v>2</v>
      </c>
      <c r="G370" s="268">
        <v>2</v>
      </c>
      <c r="H370" s="2">
        <f t="shared" si="18"/>
        <v>16</v>
      </c>
    </row>
    <row r="371" spans="1:8" x14ac:dyDescent="0.25">
      <c r="A371" s="26">
        <v>10</v>
      </c>
      <c r="B371" s="268">
        <v>2</v>
      </c>
      <c r="C371" s="268">
        <v>2</v>
      </c>
      <c r="D371" s="268"/>
      <c r="E371" s="268"/>
      <c r="F371" s="268">
        <v>1</v>
      </c>
      <c r="G371" s="268"/>
      <c r="H371" s="2">
        <f t="shared" si="18"/>
        <v>17</v>
      </c>
    </row>
    <row r="372" spans="1:8" x14ac:dyDescent="0.25">
      <c r="A372" s="26">
        <v>11</v>
      </c>
      <c r="B372" s="268"/>
      <c r="C372" s="268">
        <v>6</v>
      </c>
      <c r="D372" s="268"/>
      <c r="E372" s="268"/>
      <c r="F372" s="268"/>
      <c r="G372" s="268">
        <v>2</v>
      </c>
      <c r="H372" s="2">
        <f t="shared" si="18"/>
        <v>9</v>
      </c>
    </row>
    <row r="373" spans="1:8" x14ac:dyDescent="0.25">
      <c r="A373" s="26">
        <v>12</v>
      </c>
      <c r="B373" s="268">
        <v>4</v>
      </c>
      <c r="C373" s="268">
        <v>1</v>
      </c>
      <c r="D373" s="268"/>
      <c r="E373" s="268"/>
      <c r="F373" s="268">
        <v>2</v>
      </c>
      <c r="G373" s="268">
        <v>1</v>
      </c>
      <c r="H373" s="2">
        <f t="shared" si="18"/>
        <v>13</v>
      </c>
    </row>
    <row r="374" spans="1:8" x14ac:dyDescent="0.25">
      <c r="A374" s="26">
        <v>13</v>
      </c>
      <c r="B374" s="268">
        <v>6</v>
      </c>
      <c r="C374" s="268">
        <v>5</v>
      </c>
      <c r="D374" s="268"/>
      <c r="E374" s="268"/>
      <c r="F374" s="268"/>
      <c r="G374" s="268">
        <v>1</v>
      </c>
      <c r="H374" s="2">
        <f t="shared" si="18"/>
        <v>13</v>
      </c>
    </row>
    <row r="375" spans="1:8" x14ac:dyDescent="0.25">
      <c r="A375" s="26">
        <v>14</v>
      </c>
      <c r="B375" s="268">
        <v>1</v>
      </c>
      <c r="C375" s="268">
        <v>1</v>
      </c>
      <c r="D375" s="268"/>
      <c r="E375" s="268"/>
      <c r="F375" s="268">
        <v>1</v>
      </c>
      <c r="G375" s="268">
        <v>2</v>
      </c>
      <c r="H375" s="2">
        <f t="shared" si="18"/>
        <v>12</v>
      </c>
    </row>
    <row r="376" spans="1:8" x14ac:dyDescent="0.25">
      <c r="A376" s="26">
        <v>15</v>
      </c>
      <c r="B376" s="268">
        <v>7</v>
      </c>
      <c r="C376" s="268">
        <v>1</v>
      </c>
      <c r="D376" s="268"/>
      <c r="E376" s="268"/>
      <c r="F376" s="268"/>
      <c r="G376" s="268">
        <v>1</v>
      </c>
      <c r="H376" s="2">
        <f t="shared" si="18"/>
        <v>17</v>
      </c>
    </row>
    <row r="377" spans="1:8" x14ac:dyDescent="0.25">
      <c r="A377" s="26">
        <v>16</v>
      </c>
      <c r="B377" s="268">
        <v>1</v>
      </c>
      <c r="C377" s="268">
        <v>5</v>
      </c>
      <c r="D377" s="268"/>
      <c r="E377" s="268"/>
      <c r="F377" s="268"/>
      <c r="G377" s="268">
        <v>1</v>
      </c>
      <c r="H377" s="2">
        <f t="shared" si="18"/>
        <v>12</v>
      </c>
    </row>
    <row r="378" spans="1:8" x14ac:dyDescent="0.25">
      <c r="A378" s="26">
        <v>17</v>
      </c>
      <c r="B378" s="268">
        <v>3</v>
      </c>
      <c r="C378" s="268">
        <v>2</v>
      </c>
      <c r="D378" s="268"/>
      <c r="E378" s="268"/>
      <c r="F378" s="268">
        <v>2</v>
      </c>
      <c r="G378" s="268">
        <v>1</v>
      </c>
      <c r="H378" s="2">
        <f t="shared" si="18"/>
        <v>14</v>
      </c>
    </row>
    <row r="379" spans="1:8" x14ac:dyDescent="0.25">
      <c r="A379" s="26">
        <v>18</v>
      </c>
      <c r="B379" s="268">
        <v>4</v>
      </c>
      <c r="C379" s="268">
        <v>2</v>
      </c>
      <c r="D379" s="268"/>
      <c r="E379" s="268"/>
      <c r="F379" s="268"/>
      <c r="G379" s="268">
        <v>2</v>
      </c>
      <c r="H379" s="2">
        <f t="shared" si="18"/>
        <v>14</v>
      </c>
    </row>
    <row r="380" spans="1:8" x14ac:dyDescent="0.25">
      <c r="A380" s="26">
        <v>19</v>
      </c>
      <c r="B380" s="268"/>
      <c r="C380" s="268">
        <v>2</v>
      </c>
      <c r="D380" s="268"/>
      <c r="E380" s="268"/>
      <c r="F380" s="268">
        <v>1</v>
      </c>
      <c r="G380" s="268">
        <v>1</v>
      </c>
      <c r="H380" s="2">
        <f t="shared" si="18"/>
        <v>12</v>
      </c>
    </row>
    <row r="381" spans="1:8" x14ac:dyDescent="0.25">
      <c r="A381" s="26">
        <v>20</v>
      </c>
      <c r="B381" s="268">
        <v>4</v>
      </c>
      <c r="C381" s="268">
        <v>4</v>
      </c>
      <c r="D381" s="268"/>
      <c r="E381" s="268"/>
      <c r="F381" s="268">
        <v>1</v>
      </c>
      <c r="G381" s="268"/>
      <c r="H381" s="2">
        <f t="shared" si="18"/>
        <v>13</v>
      </c>
    </row>
    <row r="382" spans="1:8" x14ac:dyDescent="0.25">
      <c r="A382" s="26">
        <v>21</v>
      </c>
      <c r="B382" s="268">
        <v>2</v>
      </c>
      <c r="C382" s="268">
        <v>2</v>
      </c>
      <c r="D382" s="268"/>
      <c r="E382" s="268"/>
      <c r="F382" s="268">
        <v>2</v>
      </c>
      <c r="G382" s="268"/>
      <c r="H382" s="2">
        <f t="shared" si="18"/>
        <v>15</v>
      </c>
    </row>
    <row r="383" spans="1:8" x14ac:dyDescent="0.25">
      <c r="A383" s="26">
        <v>22</v>
      </c>
      <c r="B383" s="268">
        <v>6</v>
      </c>
      <c r="C383" s="268">
        <v>2</v>
      </c>
      <c r="D383" s="268"/>
      <c r="E383" s="268"/>
      <c r="F383" s="268">
        <v>1</v>
      </c>
      <c r="G383" s="268">
        <v>1</v>
      </c>
      <c r="H383" s="2">
        <f t="shared" si="18"/>
        <v>19</v>
      </c>
    </row>
    <row r="384" spans="1:8" x14ac:dyDescent="0.25">
      <c r="A384" s="26">
        <v>23</v>
      </c>
      <c r="B384" s="268">
        <v>1</v>
      </c>
      <c r="C384" s="268">
        <v>4</v>
      </c>
      <c r="D384" s="268"/>
      <c r="E384" s="268"/>
      <c r="F384" s="268">
        <v>2</v>
      </c>
      <c r="G384" s="268">
        <v>2</v>
      </c>
      <c r="H384" s="2">
        <f t="shared" si="18"/>
        <v>16</v>
      </c>
    </row>
    <row r="385" spans="1:8" x14ac:dyDescent="0.25">
      <c r="A385" s="26">
        <v>24</v>
      </c>
      <c r="B385" s="268">
        <v>2</v>
      </c>
      <c r="C385" s="268">
        <v>2</v>
      </c>
      <c r="D385" s="268"/>
      <c r="E385" s="268"/>
      <c r="F385" s="268">
        <v>3</v>
      </c>
      <c r="G385" s="268"/>
      <c r="H385" s="2">
        <f t="shared" si="18"/>
        <v>19</v>
      </c>
    </row>
    <row r="386" spans="1:8" x14ac:dyDescent="0.25">
      <c r="A386" s="26">
        <v>25</v>
      </c>
      <c r="B386" s="268">
        <v>1</v>
      </c>
      <c r="C386" s="268">
        <v>4</v>
      </c>
      <c r="D386" s="268"/>
      <c r="E386" s="268"/>
      <c r="F386" s="268">
        <v>2</v>
      </c>
      <c r="G386" s="268">
        <v>2</v>
      </c>
      <c r="H386" s="2">
        <f t="shared" si="18"/>
        <v>16</v>
      </c>
    </row>
    <row r="387" spans="1:8" x14ac:dyDescent="0.25">
      <c r="A387" s="26">
        <v>26</v>
      </c>
      <c r="B387" s="268">
        <v>2</v>
      </c>
      <c r="C387" s="268">
        <v>3</v>
      </c>
      <c r="D387" s="268"/>
      <c r="E387" s="268"/>
      <c r="F387" s="268">
        <v>2</v>
      </c>
      <c r="G387" s="268"/>
      <c r="H387" s="2">
        <f t="shared" si="18"/>
        <v>17</v>
      </c>
    </row>
    <row r="388" spans="1:8" x14ac:dyDescent="0.25">
      <c r="A388" s="26">
        <v>27</v>
      </c>
      <c r="B388" s="268">
        <v>8</v>
      </c>
      <c r="C388" s="268">
        <v>5</v>
      </c>
      <c r="D388" s="268"/>
      <c r="E388" s="268"/>
      <c r="F388" s="268">
        <v>1</v>
      </c>
      <c r="G388" s="268">
        <v>1</v>
      </c>
      <c r="H388" s="2">
        <f t="shared" si="18"/>
        <v>20</v>
      </c>
    </row>
    <row r="389" spans="1:8" x14ac:dyDescent="0.25">
      <c r="A389" s="26">
        <v>28</v>
      </c>
      <c r="B389" s="268">
        <v>6</v>
      </c>
      <c r="C389" s="268">
        <v>4</v>
      </c>
      <c r="D389" s="268"/>
      <c r="E389" s="268"/>
      <c r="F389" s="268">
        <v>4</v>
      </c>
      <c r="G389" s="268">
        <v>3</v>
      </c>
      <c r="H389" s="2">
        <f t="shared" si="18"/>
        <v>23</v>
      </c>
    </row>
    <row r="390" spans="1:8" x14ac:dyDescent="0.25">
      <c r="A390" s="26">
        <v>29</v>
      </c>
      <c r="B390" s="268">
        <v>3</v>
      </c>
      <c r="C390" s="268">
        <v>5</v>
      </c>
      <c r="D390" s="268"/>
      <c r="E390" s="268"/>
      <c r="F390" s="268"/>
      <c r="G390" s="268">
        <v>1</v>
      </c>
      <c r="H390" s="2">
        <f t="shared" si="18"/>
        <v>20</v>
      </c>
    </row>
    <row r="391" spans="1:8" x14ac:dyDescent="0.25">
      <c r="A391" s="26">
        <v>30</v>
      </c>
      <c r="B391" s="268"/>
      <c r="C391" s="268">
        <v>5</v>
      </c>
      <c r="D391" s="268"/>
      <c r="E391" s="268"/>
      <c r="F391" s="268">
        <v>1</v>
      </c>
      <c r="G391" s="268"/>
      <c r="H391" s="2">
        <f t="shared" si="18"/>
        <v>16</v>
      </c>
    </row>
    <row r="392" spans="1:8" ht="15.75" thickBot="1" x14ac:dyDescent="0.3">
      <c r="A392" s="64">
        <v>31</v>
      </c>
      <c r="B392" s="528"/>
      <c r="C392" s="528">
        <v>5</v>
      </c>
      <c r="D392" s="528"/>
      <c r="E392" s="528"/>
      <c r="F392" s="528">
        <v>3</v>
      </c>
      <c r="G392" s="528">
        <v>1</v>
      </c>
      <c r="H392" s="2">
        <f t="shared" si="18"/>
        <v>13</v>
      </c>
    </row>
    <row r="393" spans="1:8" ht="15.75" thickBot="1" x14ac:dyDescent="0.3">
      <c r="A393" s="60" t="s">
        <v>35</v>
      </c>
      <c r="B393" s="58">
        <f>SUM(B362:B392)-E393</f>
        <v>88</v>
      </c>
      <c r="C393" s="58">
        <f t="shared" ref="C393:H393" si="19">SUM(C362:C392)</f>
        <v>87</v>
      </c>
      <c r="D393" s="58">
        <f t="shared" si="19"/>
        <v>0</v>
      </c>
      <c r="E393" s="58">
        <f t="shared" si="19"/>
        <v>0</v>
      </c>
      <c r="F393" s="58">
        <f t="shared" si="19"/>
        <v>40</v>
      </c>
      <c r="G393" s="58">
        <f t="shared" si="19"/>
        <v>38</v>
      </c>
      <c r="H393" s="59">
        <f t="shared" si="19"/>
        <v>454</v>
      </c>
    </row>
    <row r="396" spans="1:8" ht="36" x14ac:dyDescent="0.55000000000000004">
      <c r="A396" s="605" t="s">
        <v>1</v>
      </c>
      <c r="B396" s="605"/>
      <c r="C396" s="605"/>
      <c r="D396" s="605"/>
      <c r="E396" s="605"/>
      <c r="F396" s="605"/>
      <c r="G396" s="605"/>
      <c r="H396" s="605"/>
    </row>
    <row r="397" spans="1:8" ht="27" thickBot="1" x14ac:dyDescent="0.45">
      <c r="A397" s="606" t="s">
        <v>0</v>
      </c>
      <c r="B397" s="606"/>
      <c r="C397" s="606"/>
      <c r="D397" s="606"/>
      <c r="E397" s="606"/>
      <c r="F397" s="606"/>
      <c r="G397" s="606"/>
      <c r="H397" s="606"/>
    </row>
    <row r="398" spans="1:8" ht="15.75" x14ac:dyDescent="0.25">
      <c r="A398" s="39" t="s">
        <v>2</v>
      </c>
      <c r="B398" s="19" t="s">
        <v>3</v>
      </c>
      <c r="C398" s="20"/>
      <c r="D398" s="21" t="s">
        <v>52</v>
      </c>
      <c r="E398" s="607" t="s">
        <v>55</v>
      </c>
      <c r="F398" s="608"/>
      <c r="G398" s="19" t="s">
        <v>16</v>
      </c>
      <c r="H398" s="32" t="s">
        <v>66</v>
      </c>
    </row>
    <row r="399" spans="1:8" ht="15.75" x14ac:dyDescent="0.25">
      <c r="A399" s="609" t="s">
        <v>6</v>
      </c>
      <c r="B399" s="610"/>
      <c r="C399" s="610"/>
      <c r="D399" s="610"/>
      <c r="E399" s="610"/>
      <c r="F399" s="611"/>
      <c r="G399" s="1"/>
      <c r="H399" s="2">
        <f>H392</f>
        <v>13</v>
      </c>
    </row>
    <row r="400" spans="1:8" ht="15.75" x14ac:dyDescent="0.25">
      <c r="A400" s="3" t="s">
        <v>7</v>
      </c>
      <c r="B400" s="1"/>
      <c r="C400" s="1"/>
      <c r="D400" s="1"/>
      <c r="E400" s="1"/>
      <c r="F400" s="1"/>
      <c r="G400" s="1"/>
      <c r="H400" s="2">
        <v>22</v>
      </c>
    </row>
    <row r="401" spans="1:8" ht="51.75" thickBot="1" x14ac:dyDescent="0.3">
      <c r="A401" s="40" t="s">
        <v>8</v>
      </c>
      <c r="B401" s="41" t="s">
        <v>9</v>
      </c>
      <c r="C401" s="41" t="s">
        <v>10</v>
      </c>
      <c r="D401" s="41" t="s">
        <v>11</v>
      </c>
      <c r="E401" s="41" t="s">
        <v>12</v>
      </c>
      <c r="F401" s="41" t="s">
        <v>13</v>
      </c>
      <c r="G401" s="41" t="s">
        <v>14</v>
      </c>
      <c r="H401" s="42" t="s">
        <v>15</v>
      </c>
    </row>
    <row r="402" spans="1:8" x14ac:dyDescent="0.25">
      <c r="A402" s="36">
        <v>1</v>
      </c>
      <c r="B402" s="527">
        <v>2</v>
      </c>
      <c r="C402" s="527">
        <v>3</v>
      </c>
      <c r="D402" s="527"/>
      <c r="E402" s="527"/>
      <c r="F402" s="527">
        <v>2</v>
      </c>
      <c r="G402" s="527">
        <v>1</v>
      </c>
      <c r="H402" s="38">
        <f>H399+B402+F402-(C402+D402+G402)-E402</f>
        <v>13</v>
      </c>
    </row>
    <row r="403" spans="1:8" x14ac:dyDescent="0.25">
      <c r="A403" s="26">
        <v>2</v>
      </c>
      <c r="B403" s="268">
        <v>3</v>
      </c>
      <c r="C403" s="268">
        <v>2</v>
      </c>
      <c r="D403" s="268"/>
      <c r="E403" s="268"/>
      <c r="F403" s="268">
        <v>1</v>
      </c>
      <c r="G403" s="268"/>
      <c r="H403" s="2">
        <f>H402+B403+F403-(C403+D403+G403)-E403</f>
        <v>15</v>
      </c>
    </row>
    <row r="404" spans="1:8" x14ac:dyDescent="0.25">
      <c r="A404" s="26">
        <v>3</v>
      </c>
      <c r="B404" s="268">
        <v>8</v>
      </c>
      <c r="C404" s="268">
        <v>1</v>
      </c>
      <c r="D404" s="268"/>
      <c r="E404" s="268"/>
      <c r="F404" s="268"/>
      <c r="G404" s="268">
        <v>1</v>
      </c>
      <c r="H404" s="2">
        <f>H403+B404+F404-(C404+D404+G404)-E404</f>
        <v>21</v>
      </c>
    </row>
    <row r="405" spans="1:8" x14ac:dyDescent="0.25">
      <c r="A405" s="26">
        <v>4</v>
      </c>
      <c r="B405" s="268">
        <v>3</v>
      </c>
      <c r="C405" s="268">
        <v>1</v>
      </c>
      <c r="D405" s="268"/>
      <c r="E405" s="268"/>
      <c r="F405" s="268">
        <v>3</v>
      </c>
      <c r="G405" s="268">
        <v>2</v>
      </c>
      <c r="H405" s="2">
        <f t="shared" ref="H405:H431" si="20">H404+B405+F405-(C405+D405+G405)-E405</f>
        <v>24</v>
      </c>
    </row>
    <row r="406" spans="1:8" x14ac:dyDescent="0.25">
      <c r="A406" s="26">
        <v>5</v>
      </c>
      <c r="B406" s="268">
        <v>1</v>
      </c>
      <c r="C406" s="268">
        <v>5</v>
      </c>
      <c r="D406" s="268"/>
      <c r="E406" s="268"/>
      <c r="F406" s="268">
        <v>1</v>
      </c>
      <c r="G406" s="268"/>
      <c r="H406" s="2">
        <f t="shared" si="20"/>
        <v>21</v>
      </c>
    </row>
    <row r="407" spans="1:8" x14ac:dyDescent="0.25">
      <c r="A407" s="26">
        <v>6</v>
      </c>
      <c r="B407" s="268">
        <v>2</v>
      </c>
      <c r="C407" s="268">
        <v>3</v>
      </c>
      <c r="D407" s="268"/>
      <c r="E407" s="268"/>
      <c r="F407" s="268">
        <v>2</v>
      </c>
      <c r="G407" s="268"/>
      <c r="H407" s="2">
        <f t="shared" si="20"/>
        <v>22</v>
      </c>
    </row>
    <row r="408" spans="1:8" x14ac:dyDescent="0.25">
      <c r="A408" s="26">
        <v>7</v>
      </c>
      <c r="B408" s="268">
        <v>4</v>
      </c>
      <c r="C408" s="268">
        <v>3</v>
      </c>
      <c r="D408" s="268"/>
      <c r="E408" s="268"/>
      <c r="F408" s="268"/>
      <c r="G408" s="268">
        <v>2</v>
      </c>
      <c r="H408" s="2">
        <f t="shared" si="20"/>
        <v>21</v>
      </c>
    </row>
    <row r="409" spans="1:8" x14ac:dyDescent="0.25">
      <c r="A409" s="26">
        <v>8</v>
      </c>
      <c r="B409" s="268">
        <v>2</v>
      </c>
      <c r="C409" s="268">
        <v>5</v>
      </c>
      <c r="D409" s="268"/>
      <c r="E409" s="268"/>
      <c r="F409" s="268">
        <v>2</v>
      </c>
      <c r="G409" s="268"/>
      <c r="H409" s="2">
        <f t="shared" si="20"/>
        <v>20</v>
      </c>
    </row>
    <row r="410" spans="1:8" x14ac:dyDescent="0.25">
      <c r="A410" s="26">
        <v>9</v>
      </c>
      <c r="B410" s="268">
        <v>1</v>
      </c>
      <c r="C410" s="268">
        <v>1</v>
      </c>
      <c r="D410" s="268"/>
      <c r="E410" s="268"/>
      <c r="F410" s="268">
        <v>2</v>
      </c>
      <c r="G410" s="268"/>
      <c r="H410" s="2">
        <f t="shared" si="20"/>
        <v>22</v>
      </c>
    </row>
    <row r="411" spans="1:8" x14ac:dyDescent="0.25">
      <c r="A411" s="26">
        <v>10</v>
      </c>
      <c r="B411" s="268">
        <v>7</v>
      </c>
      <c r="C411" s="268">
        <v>5</v>
      </c>
      <c r="D411" s="268"/>
      <c r="E411" s="268"/>
      <c r="F411" s="268"/>
      <c r="G411" s="268">
        <v>2</v>
      </c>
      <c r="H411" s="2">
        <f t="shared" si="20"/>
        <v>22</v>
      </c>
    </row>
    <row r="412" spans="1:8" x14ac:dyDescent="0.25">
      <c r="A412" s="26">
        <v>11</v>
      </c>
      <c r="B412" s="268">
        <v>2</v>
      </c>
      <c r="C412" s="268">
        <v>5</v>
      </c>
      <c r="D412" s="268"/>
      <c r="E412" s="268"/>
      <c r="F412" s="268">
        <v>4</v>
      </c>
      <c r="G412" s="268">
        <v>2</v>
      </c>
      <c r="H412" s="2">
        <f t="shared" si="20"/>
        <v>21</v>
      </c>
    </row>
    <row r="413" spans="1:8" x14ac:dyDescent="0.25">
      <c r="A413" s="26">
        <v>12</v>
      </c>
      <c r="B413" s="268">
        <v>2</v>
      </c>
      <c r="C413" s="268">
        <v>6</v>
      </c>
      <c r="D413" s="268"/>
      <c r="E413" s="268"/>
      <c r="F413" s="268">
        <v>4</v>
      </c>
      <c r="G413" s="268">
        <v>2</v>
      </c>
      <c r="H413" s="2">
        <f t="shared" si="20"/>
        <v>19</v>
      </c>
    </row>
    <row r="414" spans="1:8" x14ac:dyDescent="0.25">
      <c r="A414" s="26">
        <v>13</v>
      </c>
      <c r="B414" s="268">
        <v>2</v>
      </c>
      <c r="C414" s="268">
        <v>1</v>
      </c>
      <c r="D414" s="268"/>
      <c r="E414" s="268"/>
      <c r="F414" s="268">
        <v>2</v>
      </c>
      <c r="G414" s="268">
        <v>2</v>
      </c>
      <c r="H414" s="2">
        <f t="shared" si="20"/>
        <v>20</v>
      </c>
    </row>
    <row r="415" spans="1:8" x14ac:dyDescent="0.25">
      <c r="A415" s="26">
        <v>14</v>
      </c>
      <c r="B415" s="268">
        <v>2</v>
      </c>
      <c r="C415" s="268">
        <v>5</v>
      </c>
      <c r="D415" s="268"/>
      <c r="E415" s="268"/>
      <c r="F415" s="268"/>
      <c r="G415" s="268"/>
      <c r="H415" s="2">
        <f t="shared" si="20"/>
        <v>17</v>
      </c>
    </row>
    <row r="416" spans="1:8" x14ac:dyDescent="0.25">
      <c r="A416" s="26">
        <v>15</v>
      </c>
      <c r="B416" s="268">
        <v>2</v>
      </c>
      <c r="C416" s="268">
        <v>5</v>
      </c>
      <c r="D416" s="268"/>
      <c r="E416" s="268"/>
      <c r="F416" s="268">
        <v>4</v>
      </c>
      <c r="G416" s="268">
        <v>3</v>
      </c>
      <c r="H416" s="2">
        <f t="shared" si="20"/>
        <v>15</v>
      </c>
    </row>
    <row r="417" spans="1:8" x14ac:dyDescent="0.25">
      <c r="A417" s="84">
        <v>16</v>
      </c>
      <c r="B417" s="529">
        <v>2</v>
      </c>
      <c r="C417" s="529">
        <v>5</v>
      </c>
      <c r="D417" s="529"/>
      <c r="E417" s="529"/>
      <c r="F417" s="529">
        <v>3</v>
      </c>
      <c r="G417" s="529">
        <v>1</v>
      </c>
      <c r="H417" s="2">
        <f t="shared" si="20"/>
        <v>14</v>
      </c>
    </row>
    <row r="418" spans="1:8" x14ac:dyDescent="0.25">
      <c r="A418" s="26">
        <v>17</v>
      </c>
      <c r="B418" s="268">
        <v>3</v>
      </c>
      <c r="C418" s="268">
        <v>5</v>
      </c>
      <c r="D418" s="268"/>
      <c r="E418" s="268"/>
      <c r="F418" s="268">
        <v>2</v>
      </c>
      <c r="G418" s="268">
        <v>1</v>
      </c>
      <c r="H418" s="2">
        <f t="shared" si="20"/>
        <v>13</v>
      </c>
    </row>
    <row r="419" spans="1:8" x14ac:dyDescent="0.25">
      <c r="A419" s="26">
        <v>18</v>
      </c>
      <c r="B419" s="268">
        <v>3</v>
      </c>
      <c r="C419" s="268">
        <v>6</v>
      </c>
      <c r="D419" s="268"/>
      <c r="E419" s="268"/>
      <c r="F419" s="268">
        <v>4</v>
      </c>
      <c r="G419" s="268">
        <v>2</v>
      </c>
      <c r="H419" s="2">
        <f t="shared" si="20"/>
        <v>12</v>
      </c>
    </row>
    <row r="420" spans="1:8" x14ac:dyDescent="0.25">
      <c r="A420" s="26">
        <v>19</v>
      </c>
      <c r="B420" s="268">
        <v>1</v>
      </c>
      <c r="C420" s="268">
        <v>1</v>
      </c>
      <c r="D420" s="268"/>
      <c r="E420" s="268"/>
      <c r="F420" s="268"/>
      <c r="G420" s="268"/>
      <c r="H420" s="2">
        <f t="shared" si="20"/>
        <v>12</v>
      </c>
    </row>
    <row r="421" spans="1:8" x14ac:dyDescent="0.25">
      <c r="A421" s="26">
        <v>20</v>
      </c>
      <c r="B421" s="268">
        <v>3</v>
      </c>
      <c r="C421" s="268">
        <v>3</v>
      </c>
      <c r="D421" s="268"/>
      <c r="E421" s="268"/>
      <c r="F421" s="268">
        <v>1</v>
      </c>
      <c r="G421" s="268"/>
      <c r="H421" s="2">
        <f t="shared" si="20"/>
        <v>13</v>
      </c>
    </row>
    <row r="422" spans="1:8" x14ac:dyDescent="0.25">
      <c r="A422" s="26">
        <v>21</v>
      </c>
      <c r="B422" s="268">
        <v>1</v>
      </c>
      <c r="C422" s="268">
        <v>1</v>
      </c>
      <c r="D422" s="268"/>
      <c r="E422" s="268"/>
      <c r="F422" s="268">
        <v>2</v>
      </c>
      <c r="G422" s="268"/>
      <c r="H422" s="2">
        <f t="shared" si="20"/>
        <v>15</v>
      </c>
    </row>
    <row r="423" spans="1:8" x14ac:dyDescent="0.25">
      <c r="A423" s="26">
        <v>22</v>
      </c>
      <c r="B423" s="268">
        <v>3</v>
      </c>
      <c r="C423" s="268">
        <v>2</v>
      </c>
      <c r="D423" s="268"/>
      <c r="E423" s="268"/>
      <c r="F423" s="268">
        <v>1</v>
      </c>
      <c r="G423" s="268">
        <v>1</v>
      </c>
      <c r="H423" s="2">
        <f t="shared" si="20"/>
        <v>16</v>
      </c>
    </row>
    <row r="424" spans="1:8" x14ac:dyDescent="0.25">
      <c r="A424" s="26">
        <v>23</v>
      </c>
      <c r="B424" s="268">
        <v>5</v>
      </c>
      <c r="C424" s="268">
        <v>1</v>
      </c>
      <c r="D424" s="268"/>
      <c r="E424" s="268"/>
      <c r="F424" s="268">
        <v>2</v>
      </c>
      <c r="G424" s="268">
        <v>4</v>
      </c>
      <c r="H424" s="2">
        <f t="shared" si="20"/>
        <v>18</v>
      </c>
    </row>
    <row r="425" spans="1:8" x14ac:dyDescent="0.25">
      <c r="A425" s="26">
        <v>24</v>
      </c>
      <c r="B425" s="268">
        <v>7</v>
      </c>
      <c r="C425" s="268">
        <v>7</v>
      </c>
      <c r="D425" s="268"/>
      <c r="E425" s="268"/>
      <c r="F425" s="268"/>
      <c r="G425" s="268">
        <v>1</v>
      </c>
      <c r="H425" s="2">
        <f t="shared" si="20"/>
        <v>17</v>
      </c>
    </row>
    <row r="426" spans="1:8" x14ac:dyDescent="0.25">
      <c r="A426" s="26">
        <v>25</v>
      </c>
      <c r="B426" s="268">
        <v>2</v>
      </c>
      <c r="C426" s="268">
        <v>3</v>
      </c>
      <c r="D426" s="268"/>
      <c r="E426" s="268"/>
      <c r="F426" s="268">
        <v>1</v>
      </c>
      <c r="G426" s="268">
        <v>1</v>
      </c>
      <c r="H426" s="2">
        <f t="shared" si="20"/>
        <v>16</v>
      </c>
    </row>
    <row r="427" spans="1:8" x14ac:dyDescent="0.25">
      <c r="A427" s="26">
        <v>26</v>
      </c>
      <c r="B427" s="268">
        <v>7</v>
      </c>
      <c r="C427" s="268">
        <v>2</v>
      </c>
      <c r="D427" s="268"/>
      <c r="E427" s="268"/>
      <c r="F427" s="268">
        <v>1</v>
      </c>
      <c r="G427" s="268"/>
      <c r="H427" s="2">
        <f t="shared" si="20"/>
        <v>22</v>
      </c>
    </row>
    <row r="428" spans="1:8" x14ac:dyDescent="0.25">
      <c r="A428" s="26">
        <v>27</v>
      </c>
      <c r="B428" s="268">
        <v>4</v>
      </c>
      <c r="C428" s="268">
        <v>6</v>
      </c>
      <c r="D428" s="268"/>
      <c r="E428" s="268"/>
      <c r="F428" s="268">
        <v>1</v>
      </c>
      <c r="G428" s="268"/>
      <c r="H428" s="2">
        <f t="shared" si="20"/>
        <v>21</v>
      </c>
    </row>
    <row r="429" spans="1:8" x14ac:dyDescent="0.25">
      <c r="A429" s="26">
        <v>28</v>
      </c>
      <c r="B429" s="268"/>
      <c r="C429" s="268">
        <v>3</v>
      </c>
      <c r="D429" s="268"/>
      <c r="E429" s="268"/>
      <c r="F429" s="268">
        <v>4</v>
      </c>
      <c r="G429" s="268">
        <v>1</v>
      </c>
      <c r="H429" s="2">
        <f t="shared" si="20"/>
        <v>21</v>
      </c>
    </row>
    <row r="430" spans="1:8" x14ac:dyDescent="0.25">
      <c r="A430" s="26">
        <v>29</v>
      </c>
      <c r="B430" s="268">
        <v>1</v>
      </c>
      <c r="C430" s="268">
        <v>7</v>
      </c>
      <c r="D430" s="268"/>
      <c r="E430" s="268"/>
      <c r="F430" s="268"/>
      <c r="G430" s="268"/>
      <c r="H430" s="2">
        <f t="shared" si="20"/>
        <v>15</v>
      </c>
    </row>
    <row r="431" spans="1:8" ht="15.75" thickBot="1" x14ac:dyDescent="0.3">
      <c r="A431" s="26">
        <v>30</v>
      </c>
      <c r="B431" s="268"/>
      <c r="C431" s="268">
        <v>1</v>
      </c>
      <c r="D431" s="268"/>
      <c r="E431" s="268"/>
      <c r="F431" s="268"/>
      <c r="G431" s="268">
        <v>1</v>
      </c>
      <c r="H431" s="2">
        <f t="shared" si="20"/>
        <v>13</v>
      </c>
    </row>
    <row r="432" spans="1:8" ht="15.75" thickBot="1" x14ac:dyDescent="0.3">
      <c r="A432" s="60" t="s">
        <v>35</v>
      </c>
      <c r="B432" s="58">
        <f>SUM(B402:B431)-E432</f>
        <v>85</v>
      </c>
      <c r="C432" s="58">
        <f t="shared" ref="C432:H432" si="21">SUM(C402:C431)</f>
        <v>104</v>
      </c>
      <c r="D432" s="58">
        <f t="shared" si="21"/>
        <v>0</v>
      </c>
      <c r="E432" s="58">
        <f t="shared" si="21"/>
        <v>0</v>
      </c>
      <c r="F432" s="58">
        <f t="shared" si="21"/>
        <v>49</v>
      </c>
      <c r="G432" s="58">
        <f t="shared" si="21"/>
        <v>30</v>
      </c>
      <c r="H432" s="59">
        <f t="shared" si="21"/>
        <v>531</v>
      </c>
    </row>
    <row r="435" spans="1:8" ht="36" x14ac:dyDescent="0.55000000000000004">
      <c r="A435" s="605" t="s">
        <v>1</v>
      </c>
      <c r="B435" s="605"/>
      <c r="C435" s="605"/>
      <c r="D435" s="605"/>
      <c r="E435" s="605"/>
      <c r="F435" s="605"/>
      <c r="G435" s="605"/>
      <c r="H435" s="605"/>
    </row>
    <row r="436" spans="1:8" ht="27" thickBot="1" x14ac:dyDescent="0.45">
      <c r="A436" s="606" t="s">
        <v>0</v>
      </c>
      <c r="B436" s="606"/>
      <c r="C436" s="606"/>
      <c r="D436" s="606"/>
      <c r="E436" s="606"/>
      <c r="F436" s="606"/>
      <c r="G436" s="606"/>
      <c r="H436" s="606"/>
    </row>
    <row r="437" spans="1:8" ht="15.75" x14ac:dyDescent="0.25">
      <c r="A437" s="39" t="s">
        <v>2</v>
      </c>
      <c r="B437" s="19" t="s">
        <v>3</v>
      </c>
      <c r="C437" s="20"/>
      <c r="D437" s="21" t="s">
        <v>52</v>
      </c>
      <c r="E437" s="607" t="s">
        <v>55</v>
      </c>
      <c r="F437" s="608"/>
      <c r="G437" s="19" t="s">
        <v>16</v>
      </c>
      <c r="H437" s="32" t="s">
        <v>67</v>
      </c>
    </row>
    <row r="438" spans="1:8" ht="15.75" x14ac:dyDescent="0.25">
      <c r="A438" s="609" t="s">
        <v>6</v>
      </c>
      <c r="B438" s="610"/>
      <c r="C438" s="610"/>
      <c r="D438" s="610"/>
      <c r="E438" s="610"/>
      <c r="F438" s="611"/>
      <c r="G438" s="1"/>
      <c r="H438" s="2">
        <f>H431</f>
        <v>13</v>
      </c>
    </row>
    <row r="439" spans="1:8" ht="15.75" x14ac:dyDescent="0.25">
      <c r="A439" s="3" t="s">
        <v>7</v>
      </c>
      <c r="B439" s="1"/>
      <c r="C439" s="1"/>
      <c r="D439" s="1"/>
      <c r="E439" s="1"/>
      <c r="F439" s="1"/>
      <c r="G439" s="1"/>
      <c r="H439" s="2">
        <v>22</v>
      </c>
    </row>
    <row r="440" spans="1:8" ht="51.75" thickBot="1" x14ac:dyDescent="0.3">
      <c r="A440" s="40" t="s">
        <v>8</v>
      </c>
      <c r="B440" s="41" t="s">
        <v>9</v>
      </c>
      <c r="C440" s="41" t="s">
        <v>10</v>
      </c>
      <c r="D440" s="41" t="s">
        <v>11</v>
      </c>
      <c r="E440" s="41" t="s">
        <v>12</v>
      </c>
      <c r="F440" s="41" t="s">
        <v>13</v>
      </c>
      <c r="G440" s="41" t="s">
        <v>14</v>
      </c>
      <c r="H440" s="42" t="s">
        <v>15</v>
      </c>
    </row>
    <row r="441" spans="1:8" x14ac:dyDescent="0.25">
      <c r="A441" s="36">
        <v>1</v>
      </c>
      <c r="B441" s="527">
        <v>4</v>
      </c>
      <c r="C441" s="527">
        <v>4</v>
      </c>
      <c r="D441" s="527"/>
      <c r="E441" s="527"/>
      <c r="F441" s="527">
        <v>2</v>
      </c>
      <c r="G441" s="527">
        <v>1</v>
      </c>
      <c r="H441" s="38">
        <f>H438+B441+F441-(C441+D441+G441)-E441</f>
        <v>14</v>
      </c>
    </row>
    <row r="442" spans="1:8" x14ac:dyDescent="0.25">
      <c r="A442" s="26">
        <v>2</v>
      </c>
      <c r="B442" s="268">
        <v>4</v>
      </c>
      <c r="C442" s="268">
        <v>1</v>
      </c>
      <c r="D442" s="268"/>
      <c r="E442" s="268"/>
      <c r="F442" s="268">
        <v>2</v>
      </c>
      <c r="G442" s="268">
        <v>1</v>
      </c>
      <c r="H442" s="2">
        <f>H441+B442+F442-(C442+D442+G442)-E442</f>
        <v>18</v>
      </c>
    </row>
    <row r="443" spans="1:8" x14ac:dyDescent="0.25">
      <c r="A443" s="26">
        <v>3</v>
      </c>
      <c r="B443" s="268">
        <v>3</v>
      </c>
      <c r="C443" s="268">
        <v>2</v>
      </c>
      <c r="D443" s="268"/>
      <c r="E443" s="268"/>
      <c r="F443" s="268">
        <v>2</v>
      </c>
      <c r="G443" s="268">
        <v>1</v>
      </c>
      <c r="H443" s="2">
        <f>H442+B443+F443-(C443+D443+G443)-E443</f>
        <v>20</v>
      </c>
    </row>
    <row r="444" spans="1:8" x14ac:dyDescent="0.25">
      <c r="A444" s="26">
        <v>4</v>
      </c>
      <c r="B444" s="268">
        <v>5</v>
      </c>
      <c r="C444" s="268">
        <v>3</v>
      </c>
      <c r="D444" s="268"/>
      <c r="E444" s="268"/>
      <c r="F444" s="268"/>
      <c r="G444" s="268"/>
      <c r="H444" s="2">
        <f t="shared" ref="H444:H471" si="22">H443+B444+F444-(C444+D444+G444)-E444</f>
        <v>22</v>
      </c>
    </row>
    <row r="445" spans="1:8" x14ac:dyDescent="0.25">
      <c r="A445" s="26">
        <v>5</v>
      </c>
      <c r="B445" s="268">
        <v>2</v>
      </c>
      <c r="C445" s="268">
        <v>4</v>
      </c>
      <c r="D445" s="268"/>
      <c r="E445" s="268"/>
      <c r="F445" s="268"/>
      <c r="G445" s="268">
        <v>2</v>
      </c>
      <c r="H445" s="2">
        <f t="shared" si="22"/>
        <v>18</v>
      </c>
    </row>
    <row r="446" spans="1:8" x14ac:dyDescent="0.25">
      <c r="A446" s="26">
        <v>6</v>
      </c>
      <c r="B446" s="268">
        <v>2</v>
      </c>
      <c r="C446" s="268">
        <v>5</v>
      </c>
      <c r="D446" s="268"/>
      <c r="E446" s="268"/>
      <c r="F446" s="268">
        <v>3</v>
      </c>
      <c r="G446" s="268">
        <v>1</v>
      </c>
      <c r="H446" s="2">
        <f t="shared" si="22"/>
        <v>17</v>
      </c>
    </row>
    <row r="447" spans="1:8" x14ac:dyDescent="0.25">
      <c r="A447" s="26">
        <v>7</v>
      </c>
      <c r="B447" s="268"/>
      <c r="C447" s="268">
        <v>1</v>
      </c>
      <c r="D447" s="268"/>
      <c r="E447" s="268"/>
      <c r="F447" s="268">
        <v>3</v>
      </c>
      <c r="G447" s="268">
        <v>1</v>
      </c>
      <c r="H447" s="2">
        <f t="shared" si="22"/>
        <v>18</v>
      </c>
    </row>
    <row r="448" spans="1:8" x14ac:dyDescent="0.25">
      <c r="A448" s="26">
        <v>8</v>
      </c>
      <c r="B448" s="268"/>
      <c r="C448" s="268">
        <v>1</v>
      </c>
      <c r="D448" s="268"/>
      <c r="E448" s="268"/>
      <c r="F448" s="268">
        <v>1</v>
      </c>
      <c r="G448" s="268"/>
      <c r="H448" s="2">
        <f t="shared" si="22"/>
        <v>18</v>
      </c>
    </row>
    <row r="449" spans="1:8" x14ac:dyDescent="0.25">
      <c r="A449" s="26">
        <v>9</v>
      </c>
      <c r="B449" s="268">
        <v>1</v>
      </c>
      <c r="C449" s="268">
        <v>2</v>
      </c>
      <c r="D449" s="268"/>
      <c r="E449" s="268"/>
      <c r="F449" s="268"/>
      <c r="G449" s="268"/>
      <c r="H449" s="2">
        <f t="shared" si="22"/>
        <v>17</v>
      </c>
    </row>
    <row r="450" spans="1:8" x14ac:dyDescent="0.25">
      <c r="A450" s="26">
        <v>10</v>
      </c>
      <c r="B450" s="268">
        <v>6</v>
      </c>
      <c r="C450" s="268">
        <v>4</v>
      </c>
      <c r="D450" s="268"/>
      <c r="E450" s="268"/>
      <c r="F450" s="268">
        <v>1</v>
      </c>
      <c r="G450" s="268">
        <v>1</v>
      </c>
      <c r="H450" s="2">
        <f t="shared" si="22"/>
        <v>19</v>
      </c>
    </row>
    <row r="451" spans="1:8" x14ac:dyDescent="0.25">
      <c r="A451" s="26">
        <v>11</v>
      </c>
      <c r="B451" s="268">
        <v>1</v>
      </c>
      <c r="C451" s="268">
        <v>3</v>
      </c>
      <c r="D451" s="268"/>
      <c r="E451" s="268"/>
      <c r="F451" s="268">
        <v>1</v>
      </c>
      <c r="G451" s="268">
        <v>1</v>
      </c>
      <c r="H451" s="2">
        <f t="shared" si="22"/>
        <v>17</v>
      </c>
    </row>
    <row r="452" spans="1:8" x14ac:dyDescent="0.25">
      <c r="A452" s="26">
        <v>12</v>
      </c>
      <c r="B452" s="268"/>
      <c r="C452" s="268">
        <v>4</v>
      </c>
      <c r="D452" s="268"/>
      <c r="E452" s="268"/>
      <c r="F452" s="268">
        <v>3</v>
      </c>
      <c r="G452" s="268"/>
      <c r="H452" s="2">
        <f t="shared" si="22"/>
        <v>16</v>
      </c>
    </row>
    <row r="453" spans="1:8" x14ac:dyDescent="0.25">
      <c r="A453" s="26">
        <v>13</v>
      </c>
      <c r="B453" s="268">
        <v>1</v>
      </c>
      <c r="C453" s="268">
        <v>7</v>
      </c>
      <c r="D453" s="268"/>
      <c r="E453" s="268"/>
      <c r="F453" s="268"/>
      <c r="G453" s="268">
        <v>2</v>
      </c>
      <c r="H453" s="2">
        <f t="shared" si="22"/>
        <v>8</v>
      </c>
    </row>
    <row r="454" spans="1:8" x14ac:dyDescent="0.25">
      <c r="A454" s="26">
        <v>14</v>
      </c>
      <c r="B454" s="268">
        <v>1</v>
      </c>
      <c r="C454" s="268"/>
      <c r="D454" s="268"/>
      <c r="E454" s="268"/>
      <c r="F454" s="268"/>
      <c r="G454" s="268">
        <v>1</v>
      </c>
      <c r="H454" s="2">
        <f t="shared" si="22"/>
        <v>8</v>
      </c>
    </row>
    <row r="455" spans="1:8" x14ac:dyDescent="0.25">
      <c r="A455" s="26">
        <v>15</v>
      </c>
      <c r="B455" s="268">
        <v>6</v>
      </c>
      <c r="C455" s="268">
        <v>2</v>
      </c>
      <c r="D455" s="268"/>
      <c r="E455" s="268"/>
      <c r="F455" s="268">
        <v>2</v>
      </c>
      <c r="G455" s="268">
        <v>2</v>
      </c>
      <c r="H455" s="2">
        <f t="shared" si="22"/>
        <v>12</v>
      </c>
    </row>
    <row r="456" spans="1:8" x14ac:dyDescent="0.25">
      <c r="A456" s="26">
        <v>16</v>
      </c>
      <c r="B456" s="268">
        <v>2</v>
      </c>
      <c r="C456" s="268">
        <v>1</v>
      </c>
      <c r="D456" s="268"/>
      <c r="E456" s="268"/>
      <c r="F456" s="268"/>
      <c r="G456" s="268"/>
      <c r="H456" s="2">
        <f t="shared" si="22"/>
        <v>13</v>
      </c>
    </row>
    <row r="457" spans="1:8" x14ac:dyDescent="0.25">
      <c r="A457" s="26">
        <v>17</v>
      </c>
      <c r="B457" s="268">
        <v>1</v>
      </c>
      <c r="C457" s="268">
        <v>4</v>
      </c>
      <c r="D457" s="268"/>
      <c r="E457" s="268"/>
      <c r="F457" s="268">
        <v>1</v>
      </c>
      <c r="G457" s="268">
        <v>2</v>
      </c>
      <c r="H457" s="2">
        <f t="shared" si="22"/>
        <v>9</v>
      </c>
    </row>
    <row r="458" spans="1:8" x14ac:dyDescent="0.25">
      <c r="A458" s="26">
        <v>18</v>
      </c>
      <c r="B458" s="268">
        <v>2</v>
      </c>
      <c r="C458" s="268">
        <v>3</v>
      </c>
      <c r="D458" s="268"/>
      <c r="E458" s="268"/>
      <c r="F458" s="268">
        <v>2</v>
      </c>
      <c r="G458" s="268">
        <v>1</v>
      </c>
      <c r="H458" s="2">
        <f t="shared" si="22"/>
        <v>9</v>
      </c>
    </row>
    <row r="459" spans="1:8" x14ac:dyDescent="0.25">
      <c r="A459" s="26">
        <v>19</v>
      </c>
      <c r="B459" s="268"/>
      <c r="C459" s="268"/>
      <c r="D459" s="268"/>
      <c r="E459" s="268"/>
      <c r="F459" s="268"/>
      <c r="G459" s="268"/>
      <c r="H459" s="2">
        <f t="shared" si="22"/>
        <v>9</v>
      </c>
    </row>
    <row r="460" spans="1:8" x14ac:dyDescent="0.25">
      <c r="A460" s="26">
        <v>20</v>
      </c>
      <c r="B460" s="268">
        <v>3</v>
      </c>
      <c r="C460" s="268">
        <v>2</v>
      </c>
      <c r="D460" s="268"/>
      <c r="E460" s="268"/>
      <c r="F460" s="268">
        <v>2</v>
      </c>
      <c r="G460" s="268"/>
      <c r="H460" s="2">
        <f t="shared" si="22"/>
        <v>12</v>
      </c>
    </row>
    <row r="461" spans="1:8" x14ac:dyDescent="0.25">
      <c r="A461" s="26">
        <v>21</v>
      </c>
      <c r="B461" s="268"/>
      <c r="C461" s="268"/>
      <c r="D461" s="268"/>
      <c r="E461" s="268"/>
      <c r="F461" s="268">
        <v>2</v>
      </c>
      <c r="G461" s="268">
        <v>1</v>
      </c>
      <c r="H461" s="2">
        <f t="shared" si="22"/>
        <v>13</v>
      </c>
    </row>
    <row r="462" spans="1:8" x14ac:dyDescent="0.25">
      <c r="A462" s="26">
        <v>22</v>
      </c>
      <c r="B462" s="268">
        <v>2</v>
      </c>
      <c r="C462" s="268">
        <v>6</v>
      </c>
      <c r="D462" s="268"/>
      <c r="E462" s="268"/>
      <c r="F462" s="268">
        <v>1</v>
      </c>
      <c r="G462" s="268">
        <v>1</v>
      </c>
      <c r="H462" s="2">
        <f t="shared" si="22"/>
        <v>9</v>
      </c>
    </row>
    <row r="463" spans="1:8" x14ac:dyDescent="0.25">
      <c r="A463" s="26">
        <v>23</v>
      </c>
      <c r="B463" s="268">
        <v>2</v>
      </c>
      <c r="C463" s="268">
        <v>1</v>
      </c>
      <c r="D463" s="268"/>
      <c r="E463" s="268"/>
      <c r="F463" s="268">
        <v>2</v>
      </c>
      <c r="G463" s="268"/>
      <c r="H463" s="2">
        <f t="shared" si="22"/>
        <v>12</v>
      </c>
    </row>
    <row r="464" spans="1:8" x14ac:dyDescent="0.25">
      <c r="A464" s="26">
        <v>24</v>
      </c>
      <c r="B464" s="268">
        <v>2</v>
      </c>
      <c r="C464" s="268">
        <v>2</v>
      </c>
      <c r="D464" s="268"/>
      <c r="E464" s="268"/>
      <c r="F464" s="268">
        <v>2</v>
      </c>
      <c r="G464" s="268"/>
      <c r="H464" s="2">
        <f t="shared" si="22"/>
        <v>14</v>
      </c>
    </row>
    <row r="465" spans="1:8" x14ac:dyDescent="0.25">
      <c r="A465" s="26">
        <v>25</v>
      </c>
      <c r="B465" s="268">
        <v>2</v>
      </c>
      <c r="C465" s="268">
        <v>5</v>
      </c>
      <c r="D465" s="268"/>
      <c r="E465" s="268"/>
      <c r="F465" s="268">
        <v>2</v>
      </c>
      <c r="G465" s="268">
        <v>2</v>
      </c>
      <c r="H465" s="2">
        <f t="shared" si="22"/>
        <v>11</v>
      </c>
    </row>
    <row r="466" spans="1:8" x14ac:dyDescent="0.25">
      <c r="A466" s="26">
        <v>26</v>
      </c>
      <c r="B466" s="268">
        <v>2</v>
      </c>
      <c r="C466" s="268"/>
      <c r="D466" s="268"/>
      <c r="E466" s="268"/>
      <c r="F466" s="268">
        <v>2</v>
      </c>
      <c r="G466" s="268">
        <v>1</v>
      </c>
      <c r="H466" s="2">
        <f t="shared" si="22"/>
        <v>14</v>
      </c>
    </row>
    <row r="467" spans="1:8" x14ac:dyDescent="0.25">
      <c r="A467" s="26">
        <v>27</v>
      </c>
      <c r="B467" s="268">
        <v>1</v>
      </c>
      <c r="C467" s="268">
        <v>5</v>
      </c>
      <c r="D467" s="268"/>
      <c r="E467" s="268"/>
      <c r="F467" s="268">
        <v>3</v>
      </c>
      <c r="G467" s="268">
        <v>1</v>
      </c>
      <c r="H467" s="2">
        <f t="shared" si="22"/>
        <v>12</v>
      </c>
    </row>
    <row r="468" spans="1:8" x14ac:dyDescent="0.25">
      <c r="A468" s="26">
        <v>28</v>
      </c>
      <c r="B468" s="268"/>
      <c r="C468" s="268">
        <v>2</v>
      </c>
      <c r="D468" s="268"/>
      <c r="E468" s="268"/>
      <c r="F468" s="268">
        <v>1</v>
      </c>
      <c r="G468" s="268"/>
      <c r="H468" s="2">
        <f t="shared" si="22"/>
        <v>11</v>
      </c>
    </row>
    <row r="469" spans="1:8" x14ac:dyDescent="0.25">
      <c r="A469" s="26">
        <v>29</v>
      </c>
      <c r="B469" s="268">
        <v>4</v>
      </c>
      <c r="C469" s="268">
        <v>3</v>
      </c>
      <c r="D469" s="268"/>
      <c r="E469" s="268"/>
      <c r="F469" s="268">
        <v>1</v>
      </c>
      <c r="G469" s="268"/>
      <c r="H469" s="2">
        <f t="shared" si="22"/>
        <v>13</v>
      </c>
    </row>
    <row r="470" spans="1:8" x14ac:dyDescent="0.25">
      <c r="A470" s="26">
        <v>30</v>
      </c>
      <c r="B470" s="268">
        <v>1</v>
      </c>
      <c r="C470" s="268"/>
      <c r="D470" s="268"/>
      <c r="E470" s="268"/>
      <c r="F470" s="268"/>
      <c r="G470" s="268"/>
      <c r="H470" s="2">
        <f t="shared" si="22"/>
        <v>14</v>
      </c>
    </row>
    <row r="471" spans="1:8" ht="15.75" thickBot="1" x14ac:dyDescent="0.3">
      <c r="A471" s="64">
        <v>31</v>
      </c>
      <c r="B471" s="528">
        <v>1</v>
      </c>
      <c r="C471" s="528">
        <v>4</v>
      </c>
      <c r="D471" s="528"/>
      <c r="E471" s="528"/>
      <c r="F471" s="528">
        <v>1</v>
      </c>
      <c r="G471" s="528"/>
      <c r="H471" s="2">
        <f t="shared" si="22"/>
        <v>12</v>
      </c>
    </row>
    <row r="472" spans="1:8" ht="15.75" thickBot="1" x14ac:dyDescent="0.3">
      <c r="A472" s="60" t="s">
        <v>35</v>
      </c>
      <c r="B472" s="58">
        <f>SUM(B441:B471)-E472</f>
        <v>61</v>
      </c>
      <c r="C472" s="58">
        <f t="shared" ref="C472:H472" si="23">SUM(C441:C471)</f>
        <v>81</v>
      </c>
      <c r="D472" s="58">
        <f t="shared" si="23"/>
        <v>0</v>
      </c>
      <c r="E472" s="58">
        <f t="shared" si="23"/>
        <v>0</v>
      </c>
      <c r="F472" s="58">
        <f t="shared" si="23"/>
        <v>42</v>
      </c>
      <c r="G472" s="58">
        <f t="shared" si="23"/>
        <v>23</v>
      </c>
      <c r="H472" s="59">
        <f t="shared" si="23"/>
        <v>429</v>
      </c>
    </row>
  </sheetData>
  <mergeCells count="48">
    <mergeCell ref="A436:H436"/>
    <mergeCell ref="E437:F437"/>
    <mergeCell ref="A438:F438"/>
    <mergeCell ref="A396:H396"/>
    <mergeCell ref="A397:H397"/>
    <mergeCell ref="E398:F398"/>
    <mergeCell ref="A399:F399"/>
    <mergeCell ref="A435:H435"/>
    <mergeCell ref="A356:H356"/>
    <mergeCell ref="A357:H357"/>
    <mergeCell ref="E358:F358"/>
    <mergeCell ref="A359:F359"/>
    <mergeCell ref="A317:H317"/>
    <mergeCell ref="A318:H318"/>
    <mergeCell ref="E319:F319"/>
    <mergeCell ref="A320:F320"/>
    <mergeCell ref="A277:H277"/>
    <mergeCell ref="A278:H278"/>
    <mergeCell ref="E279:F279"/>
    <mergeCell ref="A280:F280"/>
    <mergeCell ref="A79:H79"/>
    <mergeCell ref="A80:H80"/>
    <mergeCell ref="E81:F81"/>
    <mergeCell ref="A82:F82"/>
    <mergeCell ref="A237:H237"/>
    <mergeCell ref="A238:H238"/>
    <mergeCell ref="E239:F239"/>
    <mergeCell ref="A240:F240"/>
    <mergeCell ref="A119:H119"/>
    <mergeCell ref="A120:H120"/>
    <mergeCell ref="A122:F122"/>
    <mergeCell ref="E121:F121"/>
    <mergeCell ref="A198:H198"/>
    <mergeCell ref="A199:H199"/>
    <mergeCell ref="E200:F200"/>
    <mergeCell ref="A201:F201"/>
    <mergeCell ref="A158:H158"/>
    <mergeCell ref="A159:H159"/>
    <mergeCell ref="E160:F160"/>
    <mergeCell ref="A161:F161"/>
    <mergeCell ref="A42:H42"/>
    <mergeCell ref="E43:F43"/>
    <mergeCell ref="A44:F44"/>
    <mergeCell ref="A1:H1"/>
    <mergeCell ref="A2:H2"/>
    <mergeCell ref="E3:F3"/>
    <mergeCell ref="A4:F4"/>
    <mergeCell ref="A41:H41"/>
  </mergeCells>
  <pageMargins left="0.25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0"/>
  </sheetPr>
  <dimension ref="A1:H472"/>
  <sheetViews>
    <sheetView topLeftCell="A439" zoomScale="85" zoomScaleNormal="85" workbookViewId="0">
      <selection activeCell="D472" sqref="D472"/>
    </sheetView>
  </sheetViews>
  <sheetFormatPr defaultRowHeight="15" x14ac:dyDescent="0.25"/>
  <cols>
    <col min="2" max="2" width="12.7109375" customWidth="1"/>
    <col min="3" max="3" width="12.85546875" customWidth="1"/>
    <col min="4" max="4" width="8.42578125" customWidth="1"/>
    <col min="6" max="6" width="11.5703125" customWidth="1"/>
    <col min="7" max="7" width="11.28515625" customWidth="1"/>
    <col min="8" max="8" width="11" customWidth="1"/>
  </cols>
  <sheetData>
    <row r="1" spans="1:8" ht="36" x14ac:dyDescent="0.55000000000000004">
      <c r="A1" s="605" t="s">
        <v>1</v>
      </c>
      <c r="B1" s="605"/>
      <c r="C1" s="605"/>
      <c r="D1" s="605"/>
      <c r="E1" s="605"/>
      <c r="F1" s="605"/>
      <c r="G1" s="605"/>
      <c r="H1" s="605"/>
    </row>
    <row r="2" spans="1:8" ht="27" thickBot="1" x14ac:dyDescent="0.45">
      <c r="A2" s="606" t="s">
        <v>0</v>
      </c>
      <c r="B2" s="606"/>
      <c r="C2" s="606"/>
      <c r="D2" s="606"/>
      <c r="E2" s="606"/>
      <c r="F2" s="606"/>
      <c r="G2" s="606"/>
      <c r="H2" s="606"/>
    </row>
    <row r="3" spans="1:8" ht="15.75" x14ac:dyDescent="0.25">
      <c r="A3" s="18" t="s">
        <v>19</v>
      </c>
      <c r="B3" s="19" t="s">
        <v>3</v>
      </c>
      <c r="C3" s="20"/>
      <c r="D3" s="21" t="s">
        <v>18</v>
      </c>
      <c r="E3" s="615" t="s">
        <v>39</v>
      </c>
      <c r="F3" s="616"/>
      <c r="G3" s="19" t="s">
        <v>16</v>
      </c>
      <c r="H3" s="32" t="s">
        <v>17</v>
      </c>
    </row>
    <row r="4" spans="1:8" ht="15.75" x14ac:dyDescent="0.25">
      <c r="A4" s="609" t="s">
        <v>6</v>
      </c>
      <c r="B4" s="610"/>
      <c r="C4" s="610"/>
      <c r="D4" s="610"/>
      <c r="E4" s="610"/>
      <c r="F4" s="611"/>
      <c r="G4" s="1"/>
      <c r="H4" s="2">
        <v>11</v>
      </c>
    </row>
    <row r="5" spans="1:8" ht="16.5" thickBot="1" x14ac:dyDescent="0.3">
      <c r="A5" s="23" t="s">
        <v>7</v>
      </c>
      <c r="B5" s="24"/>
      <c r="C5" s="24"/>
      <c r="D5" s="24"/>
      <c r="E5" s="24"/>
      <c r="F5" s="24"/>
      <c r="G5" s="24"/>
      <c r="H5" s="25">
        <v>15</v>
      </c>
    </row>
    <row r="6" spans="1:8" ht="51.75" thickBot="1" x14ac:dyDescent="0.3">
      <c r="A6" s="15" t="s">
        <v>8</v>
      </c>
      <c r="B6" s="16" t="s">
        <v>9</v>
      </c>
      <c r="C6" s="16" t="s">
        <v>10</v>
      </c>
      <c r="D6" s="16" t="s">
        <v>11</v>
      </c>
      <c r="E6" s="16" t="s">
        <v>12</v>
      </c>
      <c r="F6" s="16" t="s">
        <v>13</v>
      </c>
      <c r="G6" s="16" t="s">
        <v>14</v>
      </c>
      <c r="H6" s="17" t="s">
        <v>15</v>
      </c>
    </row>
    <row r="7" spans="1:8" x14ac:dyDescent="0.25">
      <c r="A7" s="36">
        <v>1</v>
      </c>
      <c r="B7" s="37">
        <v>2</v>
      </c>
      <c r="C7" s="37">
        <v>3</v>
      </c>
      <c r="D7" s="37"/>
      <c r="E7" s="37"/>
      <c r="F7" s="37"/>
      <c r="G7" s="37"/>
      <c r="H7" s="38">
        <f>H4+B7+F7-(C7+D7+G7)-E7</f>
        <v>10</v>
      </c>
    </row>
    <row r="8" spans="1:8" x14ac:dyDescent="0.25">
      <c r="A8" s="26">
        <v>2</v>
      </c>
      <c r="B8" s="5">
        <v>1</v>
      </c>
      <c r="C8" s="5"/>
      <c r="D8" s="5"/>
      <c r="E8" s="5"/>
      <c r="F8" s="5"/>
      <c r="G8" s="5"/>
      <c r="H8" s="2">
        <f>H7+B8+F8-(C8+D8+G8)-E8</f>
        <v>11</v>
      </c>
    </row>
    <row r="9" spans="1:8" x14ac:dyDescent="0.25">
      <c r="A9" s="26">
        <v>3</v>
      </c>
      <c r="B9" s="5">
        <v>2</v>
      </c>
      <c r="C9" s="5">
        <v>2</v>
      </c>
      <c r="D9" s="5"/>
      <c r="E9" s="5"/>
      <c r="F9" s="5"/>
      <c r="G9" s="5"/>
      <c r="H9" s="2">
        <f t="shared" ref="H9:H37" si="0">H8+B9+F9-(C9+D9+G9)-E9</f>
        <v>11</v>
      </c>
    </row>
    <row r="10" spans="1:8" x14ac:dyDescent="0.25">
      <c r="A10" s="26">
        <v>4</v>
      </c>
      <c r="B10" s="5">
        <v>1</v>
      </c>
      <c r="C10" s="5">
        <v>3</v>
      </c>
      <c r="D10" s="5"/>
      <c r="E10" s="5"/>
      <c r="F10" s="5"/>
      <c r="G10" s="5"/>
      <c r="H10" s="2">
        <f t="shared" si="0"/>
        <v>9</v>
      </c>
    </row>
    <row r="11" spans="1:8" x14ac:dyDescent="0.25">
      <c r="A11" s="26">
        <v>5</v>
      </c>
      <c r="B11" s="5">
        <v>1</v>
      </c>
      <c r="C11" s="5">
        <v>1</v>
      </c>
      <c r="D11" s="5"/>
      <c r="E11" s="5"/>
      <c r="F11" s="5"/>
      <c r="G11" s="5"/>
      <c r="H11" s="2">
        <f t="shared" si="0"/>
        <v>9</v>
      </c>
    </row>
    <row r="12" spans="1:8" x14ac:dyDescent="0.25">
      <c r="A12" s="26">
        <v>6</v>
      </c>
      <c r="B12" s="5">
        <v>1</v>
      </c>
      <c r="C12" s="5">
        <v>4</v>
      </c>
      <c r="D12" s="5"/>
      <c r="E12" s="5"/>
      <c r="F12" s="5"/>
      <c r="G12" s="5"/>
      <c r="H12" s="2">
        <f t="shared" si="0"/>
        <v>6</v>
      </c>
    </row>
    <row r="13" spans="1:8" x14ac:dyDescent="0.25">
      <c r="A13" s="26">
        <v>7</v>
      </c>
      <c r="B13" s="5">
        <v>1</v>
      </c>
      <c r="C13" s="5"/>
      <c r="D13" s="5"/>
      <c r="E13" s="5"/>
      <c r="F13" s="5"/>
      <c r="G13" s="5"/>
      <c r="H13" s="2">
        <f t="shared" si="0"/>
        <v>7</v>
      </c>
    </row>
    <row r="14" spans="1:8" x14ac:dyDescent="0.25">
      <c r="A14" s="26">
        <v>8</v>
      </c>
      <c r="B14" s="5"/>
      <c r="C14" s="5">
        <v>1</v>
      </c>
      <c r="D14" s="5"/>
      <c r="E14" s="5"/>
      <c r="F14" s="5"/>
      <c r="G14" s="5"/>
      <c r="H14" s="2">
        <f t="shared" si="0"/>
        <v>6</v>
      </c>
    </row>
    <row r="15" spans="1:8" x14ac:dyDescent="0.25">
      <c r="A15" s="26">
        <v>9</v>
      </c>
      <c r="B15" s="5">
        <v>2</v>
      </c>
      <c r="C15" s="5">
        <v>1</v>
      </c>
      <c r="D15" s="5"/>
      <c r="E15" s="5"/>
      <c r="F15" s="5"/>
      <c r="G15" s="5"/>
      <c r="H15" s="2">
        <f t="shared" si="0"/>
        <v>7</v>
      </c>
    </row>
    <row r="16" spans="1:8" x14ac:dyDescent="0.25">
      <c r="A16" s="26">
        <v>10</v>
      </c>
      <c r="B16" s="5"/>
      <c r="C16" s="5">
        <v>1</v>
      </c>
      <c r="D16" s="5"/>
      <c r="E16" s="5"/>
      <c r="F16" s="5"/>
      <c r="G16" s="5"/>
      <c r="H16" s="2">
        <f t="shared" si="0"/>
        <v>6</v>
      </c>
    </row>
    <row r="17" spans="1:8" x14ac:dyDescent="0.25">
      <c r="A17" s="26">
        <v>11</v>
      </c>
      <c r="B17" s="5">
        <v>1</v>
      </c>
      <c r="C17" s="5">
        <v>2</v>
      </c>
      <c r="D17" s="5"/>
      <c r="E17" s="5"/>
      <c r="F17" s="5"/>
      <c r="G17" s="5"/>
      <c r="H17" s="2">
        <f t="shared" si="0"/>
        <v>5</v>
      </c>
    </row>
    <row r="18" spans="1:8" x14ac:dyDescent="0.25">
      <c r="A18" s="26">
        <v>12</v>
      </c>
      <c r="B18" s="5">
        <v>3</v>
      </c>
      <c r="C18" s="5"/>
      <c r="D18" s="5"/>
      <c r="E18" s="5"/>
      <c r="F18" s="5"/>
      <c r="G18" s="5"/>
      <c r="H18" s="2">
        <f t="shared" si="0"/>
        <v>8</v>
      </c>
    </row>
    <row r="19" spans="1:8" x14ac:dyDescent="0.25">
      <c r="A19" s="26">
        <v>13</v>
      </c>
      <c r="B19" s="5">
        <v>1</v>
      </c>
      <c r="C19" s="5"/>
      <c r="D19" s="5"/>
      <c r="E19" s="5"/>
      <c r="F19" s="5"/>
      <c r="G19" s="5"/>
      <c r="H19" s="2">
        <f t="shared" si="0"/>
        <v>9</v>
      </c>
    </row>
    <row r="20" spans="1:8" x14ac:dyDescent="0.25">
      <c r="A20" s="26">
        <v>14</v>
      </c>
      <c r="B20" s="5">
        <v>3</v>
      </c>
      <c r="C20" s="5"/>
      <c r="D20" s="5"/>
      <c r="E20" s="5"/>
      <c r="F20" s="5"/>
      <c r="G20" s="5"/>
      <c r="H20" s="2">
        <f t="shared" si="0"/>
        <v>12</v>
      </c>
    </row>
    <row r="21" spans="1:8" x14ac:dyDescent="0.25">
      <c r="A21" s="26">
        <v>15</v>
      </c>
      <c r="B21" s="5">
        <v>1</v>
      </c>
      <c r="C21" s="5">
        <v>2</v>
      </c>
      <c r="D21" s="5"/>
      <c r="E21" s="5"/>
      <c r="F21" s="5"/>
      <c r="G21" s="5"/>
      <c r="H21" s="2">
        <f t="shared" si="0"/>
        <v>11</v>
      </c>
    </row>
    <row r="22" spans="1:8" x14ac:dyDescent="0.25">
      <c r="A22" s="26">
        <v>16</v>
      </c>
      <c r="B22" s="5">
        <v>1</v>
      </c>
      <c r="C22" s="5"/>
      <c r="D22" s="5"/>
      <c r="E22" s="5"/>
      <c r="F22" s="5"/>
      <c r="G22" s="5"/>
      <c r="H22" s="2">
        <f t="shared" si="0"/>
        <v>12</v>
      </c>
    </row>
    <row r="23" spans="1:8" x14ac:dyDescent="0.25">
      <c r="A23" s="26">
        <v>17</v>
      </c>
      <c r="B23" s="5">
        <v>2</v>
      </c>
      <c r="C23" s="5"/>
      <c r="D23" s="5">
        <v>1</v>
      </c>
      <c r="E23" s="5"/>
      <c r="F23" s="5"/>
      <c r="G23" s="5"/>
      <c r="H23" s="2">
        <f t="shared" si="0"/>
        <v>13</v>
      </c>
    </row>
    <row r="24" spans="1:8" x14ac:dyDescent="0.25">
      <c r="A24" s="26">
        <v>18</v>
      </c>
      <c r="B24" s="5"/>
      <c r="C24" s="5">
        <v>1</v>
      </c>
      <c r="D24" s="5"/>
      <c r="E24" s="5"/>
      <c r="F24" s="5"/>
      <c r="G24" s="5"/>
      <c r="H24" s="2">
        <f t="shared" si="0"/>
        <v>12</v>
      </c>
    </row>
    <row r="25" spans="1:8" x14ac:dyDescent="0.25">
      <c r="A25" s="26">
        <v>19</v>
      </c>
      <c r="B25" s="5">
        <v>2</v>
      </c>
      <c r="C25" s="5">
        <v>2</v>
      </c>
      <c r="D25" s="5"/>
      <c r="E25" s="5"/>
      <c r="F25" s="5"/>
      <c r="G25" s="5"/>
      <c r="H25" s="2">
        <f t="shared" si="0"/>
        <v>12</v>
      </c>
    </row>
    <row r="26" spans="1:8" x14ac:dyDescent="0.25">
      <c r="A26" s="26">
        <v>20</v>
      </c>
      <c r="B26" s="5">
        <v>1</v>
      </c>
      <c r="C26" s="5">
        <v>1</v>
      </c>
      <c r="D26" s="5"/>
      <c r="E26" s="5"/>
      <c r="F26" s="5"/>
      <c r="G26" s="5"/>
      <c r="H26" s="2">
        <f t="shared" si="0"/>
        <v>12</v>
      </c>
    </row>
    <row r="27" spans="1:8" x14ac:dyDescent="0.25">
      <c r="A27" s="26">
        <v>21</v>
      </c>
      <c r="B27" s="5">
        <v>2</v>
      </c>
      <c r="C27" s="5">
        <v>1</v>
      </c>
      <c r="D27" s="5"/>
      <c r="E27" s="5"/>
      <c r="F27" s="5"/>
      <c r="G27" s="5"/>
      <c r="H27" s="2">
        <f t="shared" si="0"/>
        <v>13</v>
      </c>
    </row>
    <row r="28" spans="1:8" x14ac:dyDescent="0.25">
      <c r="A28" s="26">
        <v>22</v>
      </c>
      <c r="B28" s="5">
        <v>5</v>
      </c>
      <c r="C28" s="5">
        <v>2</v>
      </c>
      <c r="D28" s="5"/>
      <c r="E28" s="5"/>
      <c r="F28" s="5"/>
      <c r="G28" s="5"/>
      <c r="H28" s="2">
        <f t="shared" si="0"/>
        <v>16</v>
      </c>
    </row>
    <row r="29" spans="1:8" x14ac:dyDescent="0.25">
      <c r="A29" s="26">
        <v>23</v>
      </c>
      <c r="B29" s="5"/>
      <c r="C29" s="5">
        <v>2</v>
      </c>
      <c r="D29" s="5"/>
      <c r="E29" s="5"/>
      <c r="F29" s="5"/>
      <c r="G29" s="5"/>
      <c r="H29" s="2">
        <f t="shared" si="0"/>
        <v>14</v>
      </c>
    </row>
    <row r="30" spans="1:8" x14ac:dyDescent="0.25">
      <c r="A30" s="26">
        <v>24</v>
      </c>
      <c r="B30" s="5">
        <v>2</v>
      </c>
      <c r="C30" s="5">
        <v>1</v>
      </c>
      <c r="D30" s="5"/>
      <c r="E30" s="5"/>
      <c r="F30" s="5"/>
      <c r="G30" s="5">
        <v>1</v>
      </c>
      <c r="H30" s="2">
        <f t="shared" si="0"/>
        <v>14</v>
      </c>
    </row>
    <row r="31" spans="1:8" x14ac:dyDescent="0.25">
      <c r="A31" s="26">
        <v>25</v>
      </c>
      <c r="B31" s="5"/>
      <c r="C31" s="5">
        <v>2</v>
      </c>
      <c r="D31" s="5"/>
      <c r="E31" s="5"/>
      <c r="F31" s="5"/>
      <c r="G31" s="5"/>
      <c r="H31" s="2">
        <f t="shared" si="0"/>
        <v>12</v>
      </c>
    </row>
    <row r="32" spans="1:8" x14ac:dyDescent="0.25">
      <c r="A32" s="26">
        <v>26</v>
      </c>
      <c r="B32" s="5"/>
      <c r="C32" s="5">
        <v>2</v>
      </c>
      <c r="D32" s="5"/>
      <c r="E32" s="5"/>
      <c r="F32" s="5"/>
      <c r="G32" s="5"/>
      <c r="H32" s="2">
        <f t="shared" si="0"/>
        <v>10</v>
      </c>
    </row>
    <row r="33" spans="1:8" x14ac:dyDescent="0.25">
      <c r="A33" s="26">
        <v>27</v>
      </c>
      <c r="B33" s="5">
        <v>1</v>
      </c>
      <c r="C33" s="5">
        <v>3</v>
      </c>
      <c r="D33" s="5"/>
      <c r="E33" s="5"/>
      <c r="F33" s="5"/>
      <c r="G33" s="5"/>
      <c r="H33" s="2">
        <f t="shared" si="0"/>
        <v>8</v>
      </c>
    </row>
    <row r="34" spans="1:8" x14ac:dyDescent="0.25">
      <c r="A34" s="26">
        <v>28</v>
      </c>
      <c r="B34" s="5">
        <v>1</v>
      </c>
      <c r="C34" s="5"/>
      <c r="D34" s="5"/>
      <c r="E34" s="5"/>
      <c r="F34" s="5"/>
      <c r="G34" s="5"/>
      <c r="H34" s="2">
        <f t="shared" si="0"/>
        <v>9</v>
      </c>
    </row>
    <row r="35" spans="1:8" x14ac:dyDescent="0.25">
      <c r="A35" s="26">
        <v>29</v>
      </c>
      <c r="B35" s="5">
        <v>3</v>
      </c>
      <c r="C35" s="5">
        <v>2</v>
      </c>
      <c r="D35" s="5"/>
      <c r="E35" s="5"/>
      <c r="F35" s="5"/>
      <c r="G35" s="5"/>
      <c r="H35" s="2">
        <f t="shared" si="0"/>
        <v>10</v>
      </c>
    </row>
    <row r="36" spans="1:8" x14ac:dyDescent="0.25">
      <c r="A36" s="26">
        <v>30</v>
      </c>
      <c r="B36" s="5">
        <v>2</v>
      </c>
      <c r="C36" s="5">
        <v>1</v>
      </c>
      <c r="D36" s="5"/>
      <c r="E36" s="5"/>
      <c r="F36" s="5"/>
      <c r="G36" s="5"/>
      <c r="H36" s="2">
        <f t="shared" si="0"/>
        <v>11</v>
      </c>
    </row>
    <row r="37" spans="1:8" x14ac:dyDescent="0.25">
      <c r="A37" s="26">
        <v>31</v>
      </c>
      <c r="B37" s="5">
        <v>2</v>
      </c>
      <c r="C37" s="5">
        <v>2</v>
      </c>
      <c r="D37" s="5"/>
      <c r="E37" s="5"/>
      <c r="F37" s="5"/>
      <c r="G37" s="5"/>
      <c r="H37" s="2">
        <f t="shared" si="0"/>
        <v>11</v>
      </c>
    </row>
    <row r="38" spans="1:8" ht="15.75" thickBot="1" x14ac:dyDescent="0.3">
      <c r="A38" s="33" t="s">
        <v>35</v>
      </c>
      <c r="B38" s="34">
        <f>SUM(B7:B37)-E38</f>
        <v>44</v>
      </c>
      <c r="C38" s="34">
        <f t="shared" ref="C38:H38" si="1">SUM(C7:C37)</f>
        <v>42</v>
      </c>
      <c r="D38" s="34">
        <f t="shared" si="1"/>
        <v>1</v>
      </c>
      <c r="E38" s="34">
        <f t="shared" si="1"/>
        <v>0</v>
      </c>
      <c r="F38" s="34">
        <f t="shared" si="1"/>
        <v>0</v>
      </c>
      <c r="G38" s="34">
        <f t="shared" si="1"/>
        <v>1</v>
      </c>
      <c r="H38" s="35">
        <f t="shared" si="1"/>
        <v>316</v>
      </c>
    </row>
    <row r="41" spans="1:8" ht="36" x14ac:dyDescent="0.55000000000000004">
      <c r="A41" s="605" t="s">
        <v>1</v>
      </c>
      <c r="B41" s="605"/>
      <c r="C41" s="605"/>
      <c r="D41" s="605"/>
      <c r="E41" s="605"/>
      <c r="F41" s="605"/>
      <c r="G41" s="605"/>
      <c r="H41" s="605"/>
    </row>
    <row r="42" spans="1:8" ht="27" thickBot="1" x14ac:dyDescent="0.45">
      <c r="A42" s="606" t="s">
        <v>0</v>
      </c>
      <c r="B42" s="606"/>
      <c r="C42" s="606"/>
      <c r="D42" s="606"/>
      <c r="E42" s="606"/>
      <c r="F42" s="606"/>
      <c r="G42" s="606"/>
      <c r="H42" s="606"/>
    </row>
    <row r="43" spans="1:8" ht="15.75" x14ac:dyDescent="0.25">
      <c r="A43" s="18" t="s">
        <v>19</v>
      </c>
      <c r="B43" s="19" t="s">
        <v>3</v>
      </c>
      <c r="C43" s="20"/>
      <c r="D43" s="21" t="s">
        <v>18</v>
      </c>
      <c r="E43" s="615" t="s">
        <v>39</v>
      </c>
      <c r="F43" s="616"/>
      <c r="G43" s="19" t="s">
        <v>16</v>
      </c>
      <c r="H43" s="32" t="s">
        <v>41</v>
      </c>
    </row>
    <row r="44" spans="1:8" ht="15.75" x14ac:dyDescent="0.25">
      <c r="A44" s="609" t="s">
        <v>6</v>
      </c>
      <c r="B44" s="610"/>
      <c r="C44" s="610"/>
      <c r="D44" s="610"/>
      <c r="E44" s="610"/>
      <c r="F44" s="610"/>
      <c r="G44" s="611"/>
      <c r="H44" s="2">
        <f>H37</f>
        <v>11</v>
      </c>
    </row>
    <row r="45" spans="1:8" ht="16.5" thickBot="1" x14ac:dyDescent="0.3">
      <c r="A45" s="23" t="s">
        <v>7</v>
      </c>
      <c r="B45" s="24"/>
      <c r="C45" s="24"/>
      <c r="D45" s="24"/>
      <c r="E45" s="24"/>
      <c r="F45" s="24"/>
      <c r="G45" s="24"/>
      <c r="H45" s="25">
        <v>15</v>
      </c>
    </row>
    <row r="46" spans="1:8" ht="51.75" thickBot="1" x14ac:dyDescent="0.3">
      <c r="A46" s="15" t="s">
        <v>8</v>
      </c>
      <c r="B46" s="16" t="s">
        <v>9</v>
      </c>
      <c r="C46" s="16" t="s">
        <v>10</v>
      </c>
      <c r="D46" s="16" t="s">
        <v>11</v>
      </c>
      <c r="E46" s="16" t="s">
        <v>12</v>
      </c>
      <c r="F46" s="16" t="s">
        <v>13</v>
      </c>
      <c r="G46" s="16" t="s">
        <v>14</v>
      </c>
      <c r="H46" s="17" t="s">
        <v>15</v>
      </c>
    </row>
    <row r="47" spans="1:8" x14ac:dyDescent="0.25">
      <c r="A47" s="36">
        <v>1</v>
      </c>
      <c r="B47" s="37">
        <v>1</v>
      </c>
      <c r="C47" s="37"/>
      <c r="D47" s="37"/>
      <c r="E47" s="37"/>
      <c r="F47" s="37"/>
      <c r="G47" s="37"/>
      <c r="H47" s="38">
        <f>H44+B47+F47-(C47+D47+G47)-E47</f>
        <v>12</v>
      </c>
    </row>
    <row r="48" spans="1:8" x14ac:dyDescent="0.25">
      <c r="A48" s="26">
        <v>2</v>
      </c>
      <c r="B48" s="5">
        <v>2</v>
      </c>
      <c r="C48" s="5"/>
      <c r="D48" s="5"/>
      <c r="E48" s="5"/>
      <c r="F48" s="5"/>
      <c r="G48" s="5"/>
      <c r="H48" s="2">
        <f>H47+B48+F48-(C48+D48+G48)-E48</f>
        <v>14</v>
      </c>
    </row>
    <row r="49" spans="1:8" x14ac:dyDescent="0.25">
      <c r="A49" s="26">
        <v>3</v>
      </c>
      <c r="B49" s="5">
        <v>1</v>
      </c>
      <c r="C49" s="5">
        <v>1</v>
      </c>
      <c r="D49" s="5"/>
      <c r="E49" s="5"/>
      <c r="F49" s="5"/>
      <c r="G49" s="5"/>
      <c r="H49" s="2">
        <f t="shared" ref="H49:H75" si="2">H48+B49+F49-(C49+D49+G49)-E49</f>
        <v>14</v>
      </c>
    </row>
    <row r="50" spans="1:8" x14ac:dyDescent="0.25">
      <c r="A50" s="26">
        <v>4</v>
      </c>
      <c r="B50" s="5">
        <v>2</v>
      </c>
      <c r="C50" s="5"/>
      <c r="D50" s="5"/>
      <c r="E50" s="5"/>
      <c r="F50" s="5"/>
      <c r="G50" s="5"/>
      <c r="H50" s="2">
        <f t="shared" si="2"/>
        <v>16</v>
      </c>
    </row>
    <row r="51" spans="1:8" x14ac:dyDescent="0.25">
      <c r="A51" s="26">
        <v>5</v>
      </c>
      <c r="B51" s="5">
        <v>1</v>
      </c>
      <c r="C51" s="5"/>
      <c r="D51" s="5"/>
      <c r="E51" s="5"/>
      <c r="F51" s="5"/>
      <c r="G51" s="5"/>
      <c r="H51" s="2">
        <f t="shared" si="2"/>
        <v>17</v>
      </c>
    </row>
    <row r="52" spans="1:8" x14ac:dyDescent="0.25">
      <c r="A52" s="26">
        <v>6</v>
      </c>
      <c r="B52" s="5">
        <v>4</v>
      </c>
      <c r="C52" s="5">
        <v>3</v>
      </c>
      <c r="D52" s="5"/>
      <c r="E52" s="5"/>
      <c r="F52" s="5"/>
      <c r="G52" s="5"/>
      <c r="H52" s="2">
        <f t="shared" si="2"/>
        <v>18</v>
      </c>
    </row>
    <row r="53" spans="1:8" x14ac:dyDescent="0.25">
      <c r="A53" s="26">
        <v>7</v>
      </c>
      <c r="B53" s="5">
        <v>3</v>
      </c>
      <c r="C53" s="5"/>
      <c r="D53" s="5"/>
      <c r="E53" s="5"/>
      <c r="F53" s="5"/>
      <c r="G53" s="5"/>
      <c r="H53" s="2">
        <f t="shared" si="2"/>
        <v>21</v>
      </c>
    </row>
    <row r="54" spans="1:8" x14ac:dyDescent="0.25">
      <c r="A54" s="26">
        <v>8</v>
      </c>
      <c r="B54" s="5"/>
      <c r="C54" s="5">
        <v>5</v>
      </c>
      <c r="D54" s="5"/>
      <c r="E54" s="5"/>
      <c r="F54" s="5"/>
      <c r="G54" s="5"/>
      <c r="H54" s="2">
        <f t="shared" si="2"/>
        <v>16</v>
      </c>
    </row>
    <row r="55" spans="1:8" x14ac:dyDescent="0.25">
      <c r="A55" s="26">
        <v>9</v>
      </c>
      <c r="B55" s="5">
        <v>2</v>
      </c>
      <c r="C55" s="5">
        <v>2</v>
      </c>
      <c r="D55" s="5">
        <v>1</v>
      </c>
      <c r="E55" s="5"/>
      <c r="F55" s="5"/>
      <c r="G55" s="5"/>
      <c r="H55" s="2">
        <f t="shared" si="2"/>
        <v>15</v>
      </c>
    </row>
    <row r="56" spans="1:8" x14ac:dyDescent="0.25">
      <c r="A56" s="26">
        <v>10</v>
      </c>
      <c r="B56" s="5">
        <v>2</v>
      </c>
      <c r="C56" s="5">
        <v>1</v>
      </c>
      <c r="D56" s="5"/>
      <c r="E56" s="5"/>
      <c r="F56" s="5"/>
      <c r="G56" s="5"/>
      <c r="H56" s="2">
        <f t="shared" si="2"/>
        <v>16</v>
      </c>
    </row>
    <row r="57" spans="1:8" x14ac:dyDescent="0.25">
      <c r="A57" s="26">
        <v>11</v>
      </c>
      <c r="B57" s="5">
        <v>1</v>
      </c>
      <c r="C57" s="5">
        <v>1</v>
      </c>
      <c r="D57" s="5"/>
      <c r="E57" s="5"/>
      <c r="F57" s="5"/>
      <c r="G57" s="5"/>
      <c r="H57" s="2">
        <f t="shared" si="2"/>
        <v>16</v>
      </c>
    </row>
    <row r="58" spans="1:8" x14ac:dyDescent="0.25">
      <c r="A58" s="26">
        <v>12</v>
      </c>
      <c r="B58" s="5"/>
      <c r="C58" s="5">
        <v>2</v>
      </c>
      <c r="D58" s="5"/>
      <c r="E58" s="5"/>
      <c r="F58" s="5"/>
      <c r="G58" s="5"/>
      <c r="H58" s="2">
        <f t="shared" si="2"/>
        <v>14</v>
      </c>
    </row>
    <row r="59" spans="1:8" x14ac:dyDescent="0.25">
      <c r="A59" s="26">
        <v>13</v>
      </c>
      <c r="B59" s="5">
        <v>4</v>
      </c>
      <c r="C59" s="5">
        <v>2</v>
      </c>
      <c r="D59" s="5"/>
      <c r="E59" s="5"/>
      <c r="F59" s="5"/>
      <c r="G59" s="5"/>
      <c r="H59" s="2">
        <f t="shared" si="2"/>
        <v>16</v>
      </c>
    </row>
    <row r="60" spans="1:8" x14ac:dyDescent="0.25">
      <c r="A60" s="26">
        <v>14</v>
      </c>
      <c r="B60" s="5">
        <v>5</v>
      </c>
      <c r="C60" s="5">
        <v>2</v>
      </c>
      <c r="D60" s="5"/>
      <c r="E60" s="5"/>
      <c r="F60" s="5"/>
      <c r="G60" s="5"/>
      <c r="H60" s="2">
        <f t="shared" si="2"/>
        <v>19</v>
      </c>
    </row>
    <row r="61" spans="1:8" x14ac:dyDescent="0.25">
      <c r="A61" s="26">
        <v>15</v>
      </c>
      <c r="B61" s="5"/>
      <c r="C61" s="5">
        <v>2</v>
      </c>
      <c r="D61" s="5"/>
      <c r="E61" s="5"/>
      <c r="F61" s="5"/>
      <c r="G61" s="5"/>
      <c r="H61" s="2">
        <f t="shared" si="2"/>
        <v>17</v>
      </c>
    </row>
    <row r="62" spans="1:8" x14ac:dyDescent="0.25">
      <c r="A62" s="26">
        <v>16</v>
      </c>
      <c r="B62" s="5"/>
      <c r="C62" s="5"/>
      <c r="D62" s="5">
        <v>1</v>
      </c>
      <c r="E62" s="5"/>
      <c r="F62" s="5"/>
      <c r="G62" s="5"/>
      <c r="H62" s="2">
        <f t="shared" si="2"/>
        <v>16</v>
      </c>
    </row>
    <row r="63" spans="1:8" x14ac:dyDescent="0.25">
      <c r="A63" s="26">
        <v>17</v>
      </c>
      <c r="B63" s="5">
        <v>3</v>
      </c>
      <c r="C63" s="5">
        <v>1</v>
      </c>
      <c r="D63" s="5"/>
      <c r="E63" s="5"/>
      <c r="F63" s="5"/>
      <c r="G63" s="5"/>
      <c r="H63" s="2">
        <f t="shared" si="2"/>
        <v>18</v>
      </c>
    </row>
    <row r="64" spans="1:8" x14ac:dyDescent="0.25">
      <c r="A64" s="26">
        <v>18</v>
      </c>
      <c r="B64" s="5">
        <v>4</v>
      </c>
      <c r="C64" s="5">
        <v>3</v>
      </c>
      <c r="D64" s="5"/>
      <c r="E64" s="5"/>
      <c r="F64" s="5"/>
      <c r="G64" s="5"/>
      <c r="H64" s="2">
        <f t="shared" si="2"/>
        <v>19</v>
      </c>
    </row>
    <row r="65" spans="1:8" x14ac:dyDescent="0.25">
      <c r="A65" s="26">
        <v>19</v>
      </c>
      <c r="B65" s="5">
        <v>2</v>
      </c>
      <c r="C65" s="5">
        <v>2</v>
      </c>
      <c r="D65" s="5"/>
      <c r="E65" s="5"/>
      <c r="F65" s="5"/>
      <c r="G65" s="5"/>
      <c r="H65" s="2">
        <f t="shared" si="2"/>
        <v>19</v>
      </c>
    </row>
    <row r="66" spans="1:8" x14ac:dyDescent="0.25">
      <c r="A66" s="26">
        <v>20</v>
      </c>
      <c r="B66" s="5">
        <v>3</v>
      </c>
      <c r="C66" s="5">
        <v>2</v>
      </c>
      <c r="D66" s="5"/>
      <c r="E66" s="5"/>
      <c r="F66" s="5"/>
      <c r="G66" s="5"/>
      <c r="H66" s="2">
        <f t="shared" si="2"/>
        <v>20</v>
      </c>
    </row>
    <row r="67" spans="1:8" x14ac:dyDescent="0.25">
      <c r="A67" s="26">
        <v>21</v>
      </c>
      <c r="B67" s="5">
        <v>2</v>
      </c>
      <c r="C67" s="5">
        <v>2</v>
      </c>
      <c r="D67" s="5"/>
      <c r="E67" s="5"/>
      <c r="F67" s="5"/>
      <c r="G67" s="5"/>
      <c r="H67" s="2">
        <f t="shared" si="2"/>
        <v>20</v>
      </c>
    </row>
    <row r="68" spans="1:8" x14ac:dyDescent="0.25">
      <c r="A68" s="26">
        <v>22</v>
      </c>
      <c r="B68" s="5">
        <v>4</v>
      </c>
      <c r="C68" s="5">
        <v>1</v>
      </c>
      <c r="D68" s="5"/>
      <c r="E68" s="5"/>
      <c r="F68" s="5"/>
      <c r="G68" s="5"/>
      <c r="H68" s="2">
        <f t="shared" si="2"/>
        <v>23</v>
      </c>
    </row>
    <row r="69" spans="1:8" x14ac:dyDescent="0.25">
      <c r="A69" s="26">
        <v>23</v>
      </c>
      <c r="B69" s="5">
        <v>3</v>
      </c>
      <c r="C69" s="5">
        <v>3</v>
      </c>
      <c r="D69" s="5"/>
      <c r="E69" s="5"/>
      <c r="F69" s="5"/>
      <c r="G69" s="5"/>
      <c r="H69" s="2">
        <f t="shared" si="2"/>
        <v>23</v>
      </c>
    </row>
    <row r="70" spans="1:8" x14ac:dyDescent="0.25">
      <c r="A70" s="26">
        <v>24</v>
      </c>
      <c r="B70" s="5">
        <v>1</v>
      </c>
      <c r="C70" s="5">
        <v>2</v>
      </c>
      <c r="D70" s="5"/>
      <c r="E70" s="5"/>
      <c r="F70" s="5"/>
      <c r="G70" s="5"/>
      <c r="H70" s="2">
        <f t="shared" si="2"/>
        <v>22</v>
      </c>
    </row>
    <row r="71" spans="1:8" x14ac:dyDescent="0.25">
      <c r="A71" s="26">
        <v>25</v>
      </c>
      <c r="B71" s="5">
        <v>2</v>
      </c>
      <c r="C71" s="5">
        <v>7</v>
      </c>
      <c r="D71" s="5"/>
      <c r="E71" s="5"/>
      <c r="F71" s="5"/>
      <c r="G71" s="5"/>
      <c r="H71" s="2">
        <f t="shared" si="2"/>
        <v>17</v>
      </c>
    </row>
    <row r="72" spans="1:8" x14ac:dyDescent="0.25">
      <c r="A72" s="26">
        <v>26</v>
      </c>
      <c r="B72" s="5">
        <v>2</v>
      </c>
      <c r="C72" s="5">
        <v>1</v>
      </c>
      <c r="D72" s="5"/>
      <c r="E72" s="5"/>
      <c r="F72" s="5"/>
      <c r="G72" s="5"/>
      <c r="H72" s="2">
        <f t="shared" si="2"/>
        <v>18</v>
      </c>
    </row>
    <row r="73" spans="1:8" x14ac:dyDescent="0.25">
      <c r="A73" s="26">
        <v>27</v>
      </c>
      <c r="B73" s="5">
        <v>4</v>
      </c>
      <c r="C73" s="5"/>
      <c r="D73" s="5"/>
      <c r="E73" s="5"/>
      <c r="F73" s="5"/>
      <c r="G73" s="5"/>
      <c r="H73" s="2">
        <f t="shared" si="2"/>
        <v>22</v>
      </c>
    </row>
    <row r="74" spans="1:8" x14ac:dyDescent="0.25">
      <c r="A74" s="26">
        <v>28</v>
      </c>
      <c r="B74" s="5">
        <v>3</v>
      </c>
      <c r="C74" s="5">
        <v>3</v>
      </c>
      <c r="D74" s="5">
        <v>1</v>
      </c>
      <c r="E74" s="5"/>
      <c r="F74" s="5"/>
      <c r="G74" s="5"/>
      <c r="H74" s="2">
        <f t="shared" si="2"/>
        <v>21</v>
      </c>
    </row>
    <row r="75" spans="1:8" x14ac:dyDescent="0.25">
      <c r="A75" s="26">
        <v>29</v>
      </c>
      <c r="B75" s="5"/>
      <c r="C75" s="5"/>
      <c r="D75" s="5"/>
      <c r="E75" s="5"/>
      <c r="F75" s="5"/>
      <c r="G75" s="5"/>
      <c r="H75" s="2">
        <f t="shared" si="2"/>
        <v>21</v>
      </c>
    </row>
    <row r="76" spans="1:8" ht="15.75" thickBot="1" x14ac:dyDescent="0.3">
      <c r="A76" s="33" t="s">
        <v>35</v>
      </c>
      <c r="B76" s="34">
        <f>SUM(B45:B75)-E76</f>
        <v>61</v>
      </c>
      <c r="C76" s="34">
        <f t="shared" ref="C76:H76" si="3">SUM(C47:C75)</f>
        <v>48</v>
      </c>
      <c r="D76" s="34">
        <f t="shared" si="3"/>
        <v>3</v>
      </c>
      <c r="E76" s="34">
        <f t="shared" si="3"/>
        <v>0</v>
      </c>
      <c r="F76" s="34">
        <f t="shared" si="3"/>
        <v>0</v>
      </c>
      <c r="G76" s="34">
        <f t="shared" si="3"/>
        <v>0</v>
      </c>
      <c r="H76" s="35">
        <f t="shared" si="3"/>
        <v>520</v>
      </c>
    </row>
    <row r="79" spans="1:8" ht="36" x14ac:dyDescent="0.55000000000000004">
      <c r="A79" s="605" t="s">
        <v>1</v>
      </c>
      <c r="B79" s="605"/>
      <c r="C79" s="605"/>
      <c r="D79" s="605"/>
      <c r="E79" s="605"/>
      <c r="F79" s="605"/>
      <c r="G79" s="605"/>
      <c r="H79" s="605"/>
    </row>
    <row r="80" spans="1:8" ht="27" thickBot="1" x14ac:dyDescent="0.45">
      <c r="A80" s="606" t="s">
        <v>0</v>
      </c>
      <c r="B80" s="606"/>
      <c r="C80" s="606"/>
      <c r="D80" s="606"/>
      <c r="E80" s="606"/>
      <c r="F80" s="606"/>
      <c r="G80" s="606"/>
      <c r="H80" s="606"/>
    </row>
    <row r="81" spans="1:8" ht="15.75" x14ac:dyDescent="0.25">
      <c r="A81" s="18" t="s">
        <v>19</v>
      </c>
      <c r="B81" s="19" t="s">
        <v>3</v>
      </c>
      <c r="C81" s="20"/>
      <c r="D81" s="21" t="s">
        <v>18</v>
      </c>
      <c r="E81" s="615" t="s">
        <v>39</v>
      </c>
      <c r="F81" s="616"/>
      <c r="G81" s="19" t="s">
        <v>16</v>
      </c>
      <c r="H81" s="32" t="s">
        <v>42</v>
      </c>
    </row>
    <row r="82" spans="1:8" ht="15.75" x14ac:dyDescent="0.25">
      <c r="A82" s="609" t="s">
        <v>6</v>
      </c>
      <c r="B82" s="610"/>
      <c r="C82" s="610"/>
      <c r="D82" s="610"/>
      <c r="E82" s="610"/>
      <c r="F82" s="610"/>
      <c r="G82" s="611"/>
      <c r="H82" s="2">
        <f>H75</f>
        <v>21</v>
      </c>
    </row>
    <row r="83" spans="1:8" ht="16.5" thickBot="1" x14ac:dyDescent="0.3">
      <c r="A83" s="23" t="s">
        <v>7</v>
      </c>
      <c r="B83" s="24"/>
      <c r="C83" s="24"/>
      <c r="D83" s="24"/>
      <c r="E83" s="24"/>
      <c r="F83" s="24"/>
      <c r="G83" s="24"/>
      <c r="H83" s="25">
        <v>15</v>
      </c>
    </row>
    <row r="84" spans="1:8" ht="51.75" thickBot="1" x14ac:dyDescent="0.3">
      <c r="A84" s="15" t="s">
        <v>8</v>
      </c>
      <c r="B84" s="16" t="s">
        <v>9</v>
      </c>
      <c r="C84" s="16" t="s">
        <v>10</v>
      </c>
      <c r="D84" s="16" t="s">
        <v>11</v>
      </c>
      <c r="E84" s="16" t="s">
        <v>12</v>
      </c>
      <c r="F84" s="16" t="s">
        <v>13</v>
      </c>
      <c r="G84" s="16" t="s">
        <v>14</v>
      </c>
      <c r="H84" s="17" t="s">
        <v>15</v>
      </c>
    </row>
    <row r="85" spans="1:8" x14ac:dyDescent="0.25">
      <c r="A85" s="36">
        <v>1</v>
      </c>
      <c r="B85" s="37">
        <v>3</v>
      </c>
      <c r="C85" s="37">
        <v>1</v>
      </c>
      <c r="D85" s="37"/>
      <c r="E85" s="37"/>
      <c r="F85" s="37"/>
      <c r="G85" s="37"/>
      <c r="H85" s="38">
        <f>H82+B85+F85-(C85+D85+G85)-E85</f>
        <v>23</v>
      </c>
    </row>
    <row r="86" spans="1:8" x14ac:dyDescent="0.25">
      <c r="A86" s="26">
        <v>2</v>
      </c>
      <c r="B86" s="5"/>
      <c r="C86" s="5">
        <v>1</v>
      </c>
      <c r="D86" s="5"/>
      <c r="E86" s="5"/>
      <c r="F86" s="5"/>
      <c r="G86" s="5"/>
      <c r="H86" s="2">
        <f>H85+B86+F86-(C86+D86+G86)-E86</f>
        <v>22</v>
      </c>
    </row>
    <row r="87" spans="1:8" x14ac:dyDescent="0.25">
      <c r="A87" s="26">
        <v>3</v>
      </c>
      <c r="B87" s="5"/>
      <c r="C87" s="5">
        <v>3</v>
      </c>
      <c r="D87" s="5"/>
      <c r="E87" s="5"/>
      <c r="F87" s="5"/>
      <c r="G87" s="5"/>
      <c r="H87" s="2">
        <f t="shared" ref="H87:H115" si="4">H86+B87+F87-(C87+D87+G87)-E87</f>
        <v>19</v>
      </c>
    </row>
    <row r="88" spans="1:8" x14ac:dyDescent="0.25">
      <c r="A88" s="26">
        <v>4</v>
      </c>
      <c r="B88" s="5">
        <v>1</v>
      </c>
      <c r="C88" s="5">
        <v>4</v>
      </c>
      <c r="D88" s="5"/>
      <c r="E88" s="5"/>
      <c r="F88" s="5"/>
      <c r="G88" s="5"/>
      <c r="H88" s="2">
        <f t="shared" si="4"/>
        <v>16</v>
      </c>
    </row>
    <row r="89" spans="1:8" x14ac:dyDescent="0.25">
      <c r="A89" s="26">
        <v>5</v>
      </c>
      <c r="B89" s="5">
        <v>2</v>
      </c>
      <c r="C89" s="5"/>
      <c r="D89" s="5"/>
      <c r="E89" s="5"/>
      <c r="F89" s="5"/>
      <c r="G89" s="5"/>
      <c r="H89" s="2">
        <f t="shared" si="4"/>
        <v>18</v>
      </c>
    </row>
    <row r="90" spans="1:8" x14ac:dyDescent="0.25">
      <c r="A90" s="26">
        <v>6</v>
      </c>
      <c r="B90" s="5"/>
      <c r="C90" s="5">
        <v>1</v>
      </c>
      <c r="D90" s="5"/>
      <c r="E90" s="5"/>
      <c r="F90" s="5"/>
      <c r="G90" s="5"/>
      <c r="H90" s="2">
        <f t="shared" si="4"/>
        <v>17</v>
      </c>
    </row>
    <row r="91" spans="1:8" x14ac:dyDescent="0.25">
      <c r="A91" s="26">
        <v>7</v>
      </c>
      <c r="B91" s="5">
        <v>2</v>
      </c>
      <c r="C91" s="5"/>
      <c r="D91" s="5"/>
      <c r="E91" s="5"/>
      <c r="F91" s="5"/>
      <c r="G91" s="5"/>
      <c r="H91" s="2">
        <f t="shared" si="4"/>
        <v>19</v>
      </c>
    </row>
    <row r="92" spans="1:8" x14ac:dyDescent="0.25">
      <c r="A92" s="26">
        <v>8</v>
      </c>
      <c r="B92" s="5"/>
      <c r="C92" s="5"/>
      <c r="D92" s="5"/>
      <c r="E92" s="5"/>
      <c r="F92" s="5"/>
      <c r="G92" s="5"/>
      <c r="H92" s="2">
        <f t="shared" si="4"/>
        <v>19</v>
      </c>
    </row>
    <row r="93" spans="1:8" x14ac:dyDescent="0.25">
      <c r="A93" s="26">
        <v>9</v>
      </c>
      <c r="B93" s="5">
        <v>1</v>
      </c>
      <c r="C93" s="5"/>
      <c r="D93" s="5"/>
      <c r="E93" s="5"/>
      <c r="F93" s="5"/>
      <c r="G93" s="5"/>
      <c r="H93" s="2">
        <f t="shared" si="4"/>
        <v>20</v>
      </c>
    </row>
    <row r="94" spans="1:8" x14ac:dyDescent="0.25">
      <c r="A94" s="26">
        <v>10</v>
      </c>
      <c r="B94" s="5">
        <v>2</v>
      </c>
      <c r="C94" s="5">
        <v>3</v>
      </c>
      <c r="D94" s="5"/>
      <c r="E94" s="5"/>
      <c r="F94" s="5"/>
      <c r="G94" s="5"/>
      <c r="H94" s="2">
        <f t="shared" si="4"/>
        <v>19</v>
      </c>
    </row>
    <row r="95" spans="1:8" x14ac:dyDescent="0.25">
      <c r="A95" s="26">
        <v>11</v>
      </c>
      <c r="B95" s="5"/>
      <c r="C95" s="5">
        <v>3</v>
      </c>
      <c r="D95" s="5">
        <v>1</v>
      </c>
      <c r="E95" s="5"/>
      <c r="F95" s="5"/>
      <c r="G95" s="5"/>
      <c r="H95" s="2">
        <f t="shared" si="4"/>
        <v>15</v>
      </c>
    </row>
    <row r="96" spans="1:8" x14ac:dyDescent="0.25">
      <c r="A96" s="26">
        <v>12</v>
      </c>
      <c r="B96" s="5">
        <v>1</v>
      </c>
      <c r="C96" s="5">
        <v>2</v>
      </c>
      <c r="D96" s="5"/>
      <c r="E96" s="5"/>
      <c r="F96" s="5"/>
      <c r="G96" s="5"/>
      <c r="H96" s="2">
        <f t="shared" si="4"/>
        <v>14</v>
      </c>
    </row>
    <row r="97" spans="1:8" x14ac:dyDescent="0.25">
      <c r="A97" s="26">
        <v>13</v>
      </c>
      <c r="B97" s="5">
        <v>1</v>
      </c>
      <c r="C97" s="5">
        <v>5</v>
      </c>
      <c r="D97" s="5"/>
      <c r="E97" s="5"/>
      <c r="F97" s="5"/>
      <c r="G97" s="5"/>
      <c r="H97" s="2">
        <f t="shared" si="4"/>
        <v>10</v>
      </c>
    </row>
    <row r="98" spans="1:8" x14ac:dyDescent="0.25">
      <c r="A98" s="26">
        <v>14</v>
      </c>
      <c r="B98" s="5">
        <v>1</v>
      </c>
      <c r="C98" s="5"/>
      <c r="D98" s="5"/>
      <c r="E98" s="5"/>
      <c r="F98" s="5"/>
      <c r="G98" s="5"/>
      <c r="H98" s="2">
        <f t="shared" si="4"/>
        <v>11</v>
      </c>
    </row>
    <row r="99" spans="1:8" x14ac:dyDescent="0.25">
      <c r="A99" s="26">
        <v>15</v>
      </c>
      <c r="B99" s="5">
        <v>1</v>
      </c>
      <c r="C99" s="5">
        <v>1</v>
      </c>
      <c r="D99" s="5"/>
      <c r="E99" s="5"/>
      <c r="F99" s="5"/>
      <c r="G99" s="5"/>
      <c r="H99" s="2">
        <f t="shared" si="4"/>
        <v>11</v>
      </c>
    </row>
    <row r="100" spans="1:8" x14ac:dyDescent="0.25">
      <c r="A100" s="26">
        <v>16</v>
      </c>
      <c r="B100" s="5"/>
      <c r="C100" s="5">
        <v>1</v>
      </c>
      <c r="D100" s="5"/>
      <c r="E100" s="5"/>
      <c r="F100" s="5"/>
      <c r="G100" s="5"/>
      <c r="H100" s="2">
        <f t="shared" si="4"/>
        <v>10</v>
      </c>
    </row>
    <row r="101" spans="1:8" x14ac:dyDescent="0.25">
      <c r="A101" s="26">
        <v>17</v>
      </c>
      <c r="B101" s="5">
        <v>1</v>
      </c>
      <c r="C101" s="5">
        <v>2</v>
      </c>
      <c r="D101" s="5"/>
      <c r="E101" s="5"/>
      <c r="F101" s="5"/>
      <c r="G101" s="5"/>
      <c r="H101" s="2">
        <f t="shared" si="4"/>
        <v>9</v>
      </c>
    </row>
    <row r="102" spans="1:8" x14ac:dyDescent="0.25">
      <c r="A102" s="26">
        <v>18</v>
      </c>
      <c r="B102" s="5">
        <v>3</v>
      </c>
      <c r="C102" s="5">
        <v>1</v>
      </c>
      <c r="D102" s="5">
        <v>1</v>
      </c>
      <c r="E102" s="5"/>
      <c r="F102" s="5"/>
      <c r="G102" s="5"/>
      <c r="H102" s="2">
        <f t="shared" si="4"/>
        <v>10</v>
      </c>
    </row>
    <row r="103" spans="1:8" x14ac:dyDescent="0.25">
      <c r="A103" s="26">
        <v>19</v>
      </c>
      <c r="B103" s="5">
        <v>1</v>
      </c>
      <c r="C103" s="5">
        <v>1</v>
      </c>
      <c r="D103" s="5"/>
      <c r="E103" s="5"/>
      <c r="F103" s="5"/>
      <c r="G103" s="5"/>
      <c r="H103" s="2">
        <f t="shared" si="4"/>
        <v>10</v>
      </c>
    </row>
    <row r="104" spans="1:8" x14ac:dyDescent="0.25">
      <c r="A104" s="26">
        <v>20</v>
      </c>
      <c r="B104" s="5"/>
      <c r="C104" s="5">
        <v>2</v>
      </c>
      <c r="D104" s="5"/>
      <c r="E104" s="5"/>
      <c r="F104" s="5"/>
      <c r="G104" s="5"/>
      <c r="H104" s="2">
        <f t="shared" si="4"/>
        <v>8</v>
      </c>
    </row>
    <row r="105" spans="1:8" x14ac:dyDescent="0.25">
      <c r="A105" s="26">
        <v>21</v>
      </c>
      <c r="B105" s="5"/>
      <c r="C105" s="5"/>
      <c r="D105" s="5"/>
      <c r="E105" s="5"/>
      <c r="F105" s="5"/>
      <c r="G105" s="5"/>
      <c r="H105" s="2">
        <f t="shared" si="4"/>
        <v>8</v>
      </c>
    </row>
    <row r="106" spans="1:8" x14ac:dyDescent="0.25">
      <c r="A106" s="26">
        <v>22</v>
      </c>
      <c r="B106" s="5">
        <v>1</v>
      </c>
      <c r="C106" s="5">
        <v>2</v>
      </c>
      <c r="D106" s="5"/>
      <c r="E106" s="5"/>
      <c r="F106" s="5"/>
      <c r="G106" s="5"/>
      <c r="H106" s="2">
        <f t="shared" si="4"/>
        <v>7</v>
      </c>
    </row>
    <row r="107" spans="1:8" x14ac:dyDescent="0.25">
      <c r="A107" s="26">
        <v>23</v>
      </c>
      <c r="B107" s="5">
        <v>2</v>
      </c>
      <c r="C107" s="5"/>
      <c r="D107" s="5"/>
      <c r="E107" s="5"/>
      <c r="F107" s="5"/>
      <c r="G107" s="5"/>
      <c r="H107" s="2">
        <f t="shared" si="4"/>
        <v>9</v>
      </c>
    </row>
    <row r="108" spans="1:8" x14ac:dyDescent="0.25">
      <c r="A108" s="26">
        <v>24</v>
      </c>
      <c r="B108" s="5">
        <v>3</v>
      </c>
      <c r="C108" s="5"/>
      <c r="D108" s="5"/>
      <c r="E108" s="5"/>
      <c r="F108" s="5"/>
      <c r="G108" s="5"/>
      <c r="H108" s="2">
        <f t="shared" si="4"/>
        <v>12</v>
      </c>
    </row>
    <row r="109" spans="1:8" x14ac:dyDescent="0.25">
      <c r="A109" s="26">
        <v>25</v>
      </c>
      <c r="B109" s="5">
        <v>5</v>
      </c>
      <c r="C109" s="5">
        <v>2</v>
      </c>
      <c r="D109" s="5"/>
      <c r="E109" s="5"/>
      <c r="F109" s="5"/>
      <c r="G109" s="5"/>
      <c r="H109" s="2">
        <f t="shared" si="4"/>
        <v>15</v>
      </c>
    </row>
    <row r="110" spans="1:8" x14ac:dyDescent="0.25">
      <c r="A110" s="26">
        <v>26</v>
      </c>
      <c r="B110" s="5">
        <v>1</v>
      </c>
      <c r="C110" s="5">
        <v>2</v>
      </c>
      <c r="D110" s="5"/>
      <c r="E110" s="5"/>
      <c r="F110" s="5"/>
      <c r="G110" s="5"/>
      <c r="H110" s="2">
        <f t="shared" si="4"/>
        <v>14</v>
      </c>
    </row>
    <row r="111" spans="1:8" x14ac:dyDescent="0.25">
      <c r="A111" s="26">
        <v>27</v>
      </c>
      <c r="B111" s="5">
        <v>1</v>
      </c>
      <c r="C111" s="5">
        <v>1</v>
      </c>
      <c r="D111" s="5"/>
      <c r="E111" s="5"/>
      <c r="F111" s="5"/>
      <c r="G111" s="5"/>
      <c r="H111" s="2">
        <f t="shared" si="4"/>
        <v>14</v>
      </c>
    </row>
    <row r="112" spans="1:8" x14ac:dyDescent="0.25">
      <c r="A112" s="26">
        <v>28</v>
      </c>
      <c r="B112" s="5">
        <v>2</v>
      </c>
      <c r="C112" s="5">
        <v>1</v>
      </c>
      <c r="D112" s="5"/>
      <c r="E112" s="5"/>
      <c r="F112" s="5"/>
      <c r="G112" s="5"/>
      <c r="H112" s="2">
        <f t="shared" si="4"/>
        <v>15</v>
      </c>
    </row>
    <row r="113" spans="1:8" x14ac:dyDescent="0.25">
      <c r="A113" s="26">
        <v>29</v>
      </c>
      <c r="B113" s="5">
        <v>4</v>
      </c>
      <c r="C113" s="5">
        <v>1</v>
      </c>
      <c r="D113" s="5"/>
      <c r="E113" s="5"/>
      <c r="F113" s="5"/>
      <c r="G113" s="5"/>
      <c r="H113" s="2">
        <f t="shared" si="4"/>
        <v>18</v>
      </c>
    </row>
    <row r="114" spans="1:8" x14ac:dyDescent="0.25">
      <c r="A114" s="26">
        <v>30</v>
      </c>
      <c r="B114" s="5">
        <v>1</v>
      </c>
      <c r="C114" s="5">
        <v>3</v>
      </c>
      <c r="D114" s="5"/>
      <c r="E114" s="5"/>
      <c r="F114" s="5"/>
      <c r="G114" s="5"/>
      <c r="H114" s="2">
        <f t="shared" si="4"/>
        <v>16</v>
      </c>
    </row>
    <row r="115" spans="1:8" x14ac:dyDescent="0.25">
      <c r="A115" s="26">
        <v>31</v>
      </c>
      <c r="B115" s="5">
        <v>2</v>
      </c>
      <c r="C115" s="5">
        <v>2</v>
      </c>
      <c r="D115" s="5">
        <v>1</v>
      </c>
      <c r="E115" s="5"/>
      <c r="F115" s="5"/>
      <c r="G115" s="5"/>
      <c r="H115" s="2">
        <f t="shared" si="4"/>
        <v>15</v>
      </c>
    </row>
    <row r="116" spans="1:8" ht="15.75" thickBot="1" x14ac:dyDescent="0.3">
      <c r="A116" s="33" t="s">
        <v>35</v>
      </c>
      <c r="B116" s="34">
        <f>SUM(B85:B115)-E116</f>
        <v>42</v>
      </c>
      <c r="C116" s="34">
        <f t="shared" ref="C116:H116" si="5">SUM(C85:C115)</f>
        <v>45</v>
      </c>
      <c r="D116" s="34">
        <f t="shared" si="5"/>
        <v>3</v>
      </c>
      <c r="E116" s="34">
        <f t="shared" si="5"/>
        <v>0</v>
      </c>
      <c r="F116" s="34">
        <f t="shared" si="5"/>
        <v>0</v>
      </c>
      <c r="G116" s="34">
        <f t="shared" si="5"/>
        <v>0</v>
      </c>
      <c r="H116" s="35">
        <f t="shared" si="5"/>
        <v>443</v>
      </c>
    </row>
    <row r="119" spans="1:8" ht="36" x14ac:dyDescent="0.55000000000000004">
      <c r="A119" s="605" t="s">
        <v>1</v>
      </c>
      <c r="B119" s="605"/>
      <c r="C119" s="605"/>
      <c r="D119" s="605"/>
      <c r="E119" s="605"/>
      <c r="F119" s="605"/>
      <c r="G119" s="605"/>
      <c r="H119" s="605"/>
    </row>
    <row r="120" spans="1:8" ht="27" thickBot="1" x14ac:dyDescent="0.45">
      <c r="A120" s="606" t="s">
        <v>0</v>
      </c>
      <c r="B120" s="606"/>
      <c r="C120" s="606"/>
      <c r="D120" s="606"/>
      <c r="E120" s="606"/>
      <c r="F120" s="606"/>
      <c r="G120" s="606"/>
      <c r="H120" s="606"/>
    </row>
    <row r="121" spans="1:8" ht="15.75" x14ac:dyDescent="0.25">
      <c r="A121" s="39" t="s">
        <v>2</v>
      </c>
      <c r="B121" s="19" t="s">
        <v>3</v>
      </c>
      <c r="C121" s="20"/>
      <c r="D121" s="21" t="s">
        <v>18</v>
      </c>
      <c r="E121" s="621" t="s">
        <v>51</v>
      </c>
      <c r="F121" s="622"/>
      <c r="G121" s="19" t="s">
        <v>16</v>
      </c>
      <c r="H121" s="22" t="s">
        <v>50</v>
      </c>
    </row>
    <row r="122" spans="1:8" ht="15.75" x14ac:dyDescent="0.25">
      <c r="A122" s="609" t="s">
        <v>6</v>
      </c>
      <c r="B122" s="610"/>
      <c r="C122" s="610"/>
      <c r="D122" s="610"/>
      <c r="E122" s="610"/>
      <c r="F122" s="610"/>
      <c r="G122" s="611"/>
      <c r="H122" s="2">
        <f>H115</f>
        <v>15</v>
      </c>
    </row>
    <row r="123" spans="1:8" ht="15.75" x14ac:dyDescent="0.25">
      <c r="A123" s="3" t="s">
        <v>7</v>
      </c>
      <c r="B123" s="1"/>
      <c r="C123" s="1"/>
      <c r="D123" s="1"/>
      <c r="E123" s="1"/>
      <c r="F123" s="1"/>
      <c r="G123" s="1"/>
      <c r="H123" s="2">
        <v>15</v>
      </c>
    </row>
    <row r="124" spans="1:8" ht="51.75" thickBot="1" x14ac:dyDescent="0.3">
      <c r="A124" s="40" t="s">
        <v>8</v>
      </c>
      <c r="B124" s="41" t="s">
        <v>9</v>
      </c>
      <c r="C124" s="41" t="s">
        <v>10</v>
      </c>
      <c r="D124" s="41" t="s">
        <v>11</v>
      </c>
      <c r="E124" s="41" t="s">
        <v>12</v>
      </c>
      <c r="F124" s="41" t="s">
        <v>13</v>
      </c>
      <c r="G124" s="41" t="s">
        <v>14</v>
      </c>
      <c r="H124" s="42" t="s">
        <v>15</v>
      </c>
    </row>
    <row r="125" spans="1:8" x14ac:dyDescent="0.25">
      <c r="A125" s="36">
        <v>1</v>
      </c>
      <c r="B125" s="37">
        <v>2</v>
      </c>
      <c r="C125" s="37">
        <v>2</v>
      </c>
      <c r="D125" s="37">
        <v>1</v>
      </c>
      <c r="E125" s="37"/>
      <c r="F125" s="37"/>
      <c r="G125" s="37"/>
      <c r="H125" s="38">
        <f>H122+B125+F125-(C125+D125+G125)-E125</f>
        <v>14</v>
      </c>
    </row>
    <row r="126" spans="1:8" x14ac:dyDescent="0.25">
      <c r="A126" s="26">
        <v>2</v>
      </c>
      <c r="B126" s="5">
        <v>5</v>
      </c>
      <c r="C126" s="5"/>
      <c r="D126" s="5">
        <v>1</v>
      </c>
      <c r="E126" s="5"/>
      <c r="F126" s="5"/>
      <c r="G126" s="5"/>
      <c r="H126" s="2">
        <f>H125+B126+F126-(C126+D126+G126)-E126</f>
        <v>18</v>
      </c>
    </row>
    <row r="127" spans="1:8" x14ac:dyDescent="0.25">
      <c r="A127" s="26">
        <v>3</v>
      </c>
      <c r="B127" s="5">
        <v>2</v>
      </c>
      <c r="C127" s="5">
        <v>2</v>
      </c>
      <c r="D127" s="5"/>
      <c r="E127" s="5"/>
      <c r="F127" s="5"/>
      <c r="G127" s="5"/>
      <c r="H127" s="2">
        <f>H126+B127+F127-(C127+D127+G127)-E127</f>
        <v>18</v>
      </c>
    </row>
    <row r="128" spans="1:8" x14ac:dyDescent="0.25">
      <c r="A128" s="26">
        <v>4</v>
      </c>
      <c r="B128" s="5">
        <v>1</v>
      </c>
      <c r="C128" s="5">
        <v>3</v>
      </c>
      <c r="D128" s="5"/>
      <c r="E128" s="5"/>
      <c r="F128" s="5"/>
      <c r="G128" s="5"/>
      <c r="H128" s="2">
        <f t="shared" ref="H128:H153" si="6">H127+B128+F128-(C128+D128+G128)-E128</f>
        <v>16</v>
      </c>
    </row>
    <row r="129" spans="1:8" x14ac:dyDescent="0.25">
      <c r="A129" s="26">
        <v>5</v>
      </c>
      <c r="B129" s="5">
        <v>2</v>
      </c>
      <c r="C129" s="5">
        <v>1</v>
      </c>
      <c r="D129" s="5"/>
      <c r="E129" s="5"/>
      <c r="F129" s="5"/>
      <c r="G129" s="5"/>
      <c r="H129" s="2">
        <f t="shared" si="6"/>
        <v>17</v>
      </c>
    </row>
    <row r="130" spans="1:8" x14ac:dyDescent="0.25">
      <c r="A130" s="26">
        <v>6</v>
      </c>
      <c r="B130" s="5"/>
      <c r="C130" s="5">
        <v>3</v>
      </c>
      <c r="D130" s="5"/>
      <c r="E130" s="5"/>
      <c r="F130" s="5"/>
      <c r="G130" s="5"/>
      <c r="H130" s="2">
        <f t="shared" si="6"/>
        <v>14</v>
      </c>
    </row>
    <row r="131" spans="1:8" x14ac:dyDescent="0.25">
      <c r="A131" s="26">
        <v>7</v>
      </c>
      <c r="B131" s="5">
        <v>1</v>
      </c>
      <c r="C131" s="5">
        <v>2</v>
      </c>
      <c r="D131" s="5"/>
      <c r="E131" s="5"/>
      <c r="F131" s="5"/>
      <c r="G131" s="5"/>
      <c r="H131" s="2">
        <f t="shared" si="6"/>
        <v>13</v>
      </c>
    </row>
    <row r="132" spans="1:8" x14ac:dyDescent="0.25">
      <c r="A132" s="26">
        <v>8</v>
      </c>
      <c r="B132" s="5">
        <v>1</v>
      </c>
      <c r="C132" s="5">
        <v>3</v>
      </c>
      <c r="D132" s="5"/>
      <c r="E132" s="5"/>
      <c r="F132" s="5"/>
      <c r="G132" s="5"/>
      <c r="H132" s="2">
        <f t="shared" si="6"/>
        <v>11</v>
      </c>
    </row>
    <row r="133" spans="1:8" x14ac:dyDescent="0.25">
      <c r="A133" s="26">
        <v>9</v>
      </c>
      <c r="B133" s="5">
        <v>2</v>
      </c>
      <c r="C133" s="5">
        <v>4</v>
      </c>
      <c r="D133" s="5"/>
      <c r="E133" s="5"/>
      <c r="F133" s="5"/>
      <c r="G133" s="5"/>
      <c r="H133" s="2">
        <f t="shared" si="6"/>
        <v>9</v>
      </c>
    </row>
    <row r="134" spans="1:8" x14ac:dyDescent="0.25">
      <c r="A134" s="26">
        <v>10</v>
      </c>
      <c r="B134" s="5">
        <v>1</v>
      </c>
      <c r="C134" s="5"/>
      <c r="D134" s="5"/>
      <c r="E134" s="5"/>
      <c r="F134" s="5"/>
      <c r="G134" s="5"/>
      <c r="H134" s="2">
        <f t="shared" si="6"/>
        <v>10</v>
      </c>
    </row>
    <row r="135" spans="1:8" x14ac:dyDescent="0.25">
      <c r="A135" s="26">
        <v>11</v>
      </c>
      <c r="B135" s="5">
        <v>2</v>
      </c>
      <c r="C135" s="5"/>
      <c r="D135" s="5"/>
      <c r="E135" s="5"/>
      <c r="F135" s="5"/>
      <c r="G135" s="5"/>
      <c r="H135" s="2">
        <f t="shared" si="6"/>
        <v>12</v>
      </c>
    </row>
    <row r="136" spans="1:8" x14ac:dyDescent="0.25">
      <c r="A136" s="26">
        <v>12</v>
      </c>
      <c r="B136" s="5">
        <v>1</v>
      </c>
      <c r="C136" s="5"/>
      <c r="D136" s="5"/>
      <c r="E136" s="5"/>
      <c r="F136" s="5"/>
      <c r="G136" s="5"/>
      <c r="H136" s="2">
        <f t="shared" si="6"/>
        <v>13</v>
      </c>
    </row>
    <row r="137" spans="1:8" x14ac:dyDescent="0.25">
      <c r="A137" s="26">
        <v>13</v>
      </c>
      <c r="B137" s="5">
        <v>2</v>
      </c>
      <c r="C137" s="5">
        <v>2</v>
      </c>
      <c r="D137" s="5"/>
      <c r="E137" s="5"/>
      <c r="F137" s="5"/>
      <c r="G137" s="5"/>
      <c r="H137" s="2">
        <f t="shared" si="6"/>
        <v>13</v>
      </c>
    </row>
    <row r="138" spans="1:8" x14ac:dyDescent="0.25">
      <c r="A138" s="26">
        <v>14</v>
      </c>
      <c r="B138" s="5">
        <v>1</v>
      </c>
      <c r="C138" s="5">
        <v>3</v>
      </c>
      <c r="D138" s="5"/>
      <c r="E138" s="5"/>
      <c r="F138" s="5"/>
      <c r="G138" s="5"/>
      <c r="H138" s="2">
        <f t="shared" si="6"/>
        <v>11</v>
      </c>
    </row>
    <row r="139" spans="1:8" x14ac:dyDescent="0.25">
      <c r="A139" s="26">
        <v>15</v>
      </c>
      <c r="B139" s="5">
        <v>1</v>
      </c>
      <c r="C139" s="5">
        <v>1</v>
      </c>
      <c r="D139" s="5"/>
      <c r="E139" s="5"/>
      <c r="F139" s="5"/>
      <c r="G139" s="5"/>
      <c r="H139" s="2">
        <f t="shared" si="6"/>
        <v>11</v>
      </c>
    </row>
    <row r="140" spans="1:8" x14ac:dyDescent="0.25">
      <c r="A140" s="26">
        <v>16</v>
      </c>
      <c r="B140" s="5"/>
      <c r="C140" s="5">
        <v>2</v>
      </c>
      <c r="D140" s="5"/>
      <c r="E140" s="5"/>
      <c r="F140" s="5"/>
      <c r="G140" s="5"/>
      <c r="H140" s="2">
        <f t="shared" si="6"/>
        <v>9</v>
      </c>
    </row>
    <row r="141" spans="1:8" x14ac:dyDescent="0.25">
      <c r="A141" s="26">
        <v>17</v>
      </c>
      <c r="B141" s="5">
        <v>4</v>
      </c>
      <c r="C141" s="5"/>
      <c r="D141" s="5"/>
      <c r="E141" s="5"/>
      <c r="F141" s="5"/>
      <c r="G141" s="5"/>
      <c r="H141" s="2">
        <f t="shared" si="6"/>
        <v>13</v>
      </c>
    </row>
    <row r="142" spans="1:8" x14ac:dyDescent="0.25">
      <c r="A142" s="26">
        <v>18</v>
      </c>
      <c r="B142" s="5">
        <v>2</v>
      </c>
      <c r="C142" s="5">
        <v>1</v>
      </c>
      <c r="D142" s="5"/>
      <c r="E142" s="5"/>
      <c r="F142" s="5"/>
      <c r="G142" s="5"/>
      <c r="H142" s="2">
        <f t="shared" si="6"/>
        <v>14</v>
      </c>
    </row>
    <row r="143" spans="1:8" x14ac:dyDescent="0.25">
      <c r="A143" s="26">
        <v>19</v>
      </c>
      <c r="B143" s="5">
        <v>1</v>
      </c>
      <c r="C143" s="5"/>
      <c r="D143" s="5"/>
      <c r="E143" s="5"/>
      <c r="F143" s="5"/>
      <c r="G143" s="5"/>
      <c r="H143" s="2">
        <f t="shared" si="6"/>
        <v>15</v>
      </c>
    </row>
    <row r="144" spans="1:8" x14ac:dyDescent="0.25">
      <c r="A144" s="26">
        <v>20</v>
      </c>
      <c r="B144" s="5"/>
      <c r="C144" s="5">
        <v>1</v>
      </c>
      <c r="D144" s="5"/>
      <c r="E144" s="5"/>
      <c r="F144" s="5"/>
      <c r="G144" s="5"/>
      <c r="H144" s="2">
        <f t="shared" si="6"/>
        <v>14</v>
      </c>
    </row>
    <row r="145" spans="1:8" x14ac:dyDescent="0.25">
      <c r="A145" s="26">
        <v>21</v>
      </c>
      <c r="B145" s="5">
        <v>2</v>
      </c>
      <c r="C145" s="5">
        <v>2</v>
      </c>
      <c r="D145" s="5"/>
      <c r="E145" s="5"/>
      <c r="F145" s="5"/>
      <c r="G145" s="5"/>
      <c r="H145" s="2">
        <f t="shared" si="6"/>
        <v>14</v>
      </c>
    </row>
    <row r="146" spans="1:8" x14ac:dyDescent="0.25">
      <c r="A146" s="26">
        <v>22</v>
      </c>
      <c r="B146" s="5">
        <v>4</v>
      </c>
      <c r="C146" s="5">
        <v>1</v>
      </c>
      <c r="D146" s="5"/>
      <c r="E146" s="5"/>
      <c r="F146" s="5"/>
      <c r="G146" s="5"/>
      <c r="H146" s="2">
        <f t="shared" si="6"/>
        <v>17</v>
      </c>
    </row>
    <row r="147" spans="1:8" x14ac:dyDescent="0.25">
      <c r="A147" s="26">
        <v>23</v>
      </c>
      <c r="B147" s="5">
        <v>2</v>
      </c>
      <c r="C147" s="5">
        <v>3</v>
      </c>
      <c r="D147" s="5"/>
      <c r="E147" s="5"/>
      <c r="F147" s="5"/>
      <c r="G147" s="5"/>
      <c r="H147" s="2">
        <f t="shared" si="6"/>
        <v>16</v>
      </c>
    </row>
    <row r="148" spans="1:8" x14ac:dyDescent="0.25">
      <c r="A148" s="26">
        <v>24</v>
      </c>
      <c r="B148" s="5">
        <v>2</v>
      </c>
      <c r="C148" s="5">
        <v>4</v>
      </c>
      <c r="D148" s="5"/>
      <c r="E148" s="5"/>
      <c r="F148" s="5"/>
      <c r="G148" s="5"/>
      <c r="H148" s="2">
        <f t="shared" si="6"/>
        <v>14</v>
      </c>
    </row>
    <row r="149" spans="1:8" x14ac:dyDescent="0.25">
      <c r="A149" s="26">
        <v>25</v>
      </c>
      <c r="B149" s="5">
        <v>3</v>
      </c>
      <c r="C149" s="5">
        <v>2</v>
      </c>
      <c r="D149" s="5"/>
      <c r="E149" s="5"/>
      <c r="F149" s="5"/>
      <c r="G149" s="5"/>
      <c r="H149" s="2">
        <f t="shared" si="6"/>
        <v>15</v>
      </c>
    </row>
    <row r="150" spans="1:8" x14ac:dyDescent="0.25">
      <c r="A150" s="26">
        <v>26</v>
      </c>
      <c r="B150" s="5">
        <v>2</v>
      </c>
      <c r="C150" s="5"/>
      <c r="D150" s="5"/>
      <c r="E150" s="5"/>
      <c r="F150" s="5"/>
      <c r="G150" s="5"/>
      <c r="H150" s="2">
        <f t="shared" si="6"/>
        <v>17</v>
      </c>
    </row>
    <row r="151" spans="1:8" x14ac:dyDescent="0.25">
      <c r="A151" s="26">
        <v>27</v>
      </c>
      <c r="B151" s="5">
        <v>2</v>
      </c>
      <c r="C151" s="5"/>
      <c r="D151" s="5"/>
      <c r="E151" s="5"/>
      <c r="F151" s="5"/>
      <c r="G151" s="5"/>
      <c r="H151" s="2">
        <f t="shared" si="6"/>
        <v>19</v>
      </c>
    </row>
    <row r="152" spans="1:8" x14ac:dyDescent="0.25">
      <c r="A152" s="26">
        <v>28</v>
      </c>
      <c r="B152" s="5">
        <v>1</v>
      </c>
      <c r="C152" s="5">
        <v>4</v>
      </c>
      <c r="D152" s="5"/>
      <c r="E152" s="5"/>
      <c r="F152" s="5"/>
      <c r="G152" s="5"/>
      <c r="H152" s="2">
        <f t="shared" si="6"/>
        <v>16</v>
      </c>
    </row>
    <row r="153" spans="1:8" x14ac:dyDescent="0.25">
      <c r="A153" s="26">
        <v>29</v>
      </c>
      <c r="B153" s="5">
        <v>5</v>
      </c>
      <c r="C153" s="5">
        <v>4</v>
      </c>
      <c r="D153" s="5"/>
      <c r="E153" s="5"/>
      <c r="F153" s="5"/>
      <c r="G153" s="5"/>
      <c r="H153" s="2">
        <f t="shared" si="6"/>
        <v>17</v>
      </c>
    </row>
    <row r="154" spans="1:8" ht="15.75" thickBot="1" x14ac:dyDescent="0.3">
      <c r="A154" s="28">
        <v>30</v>
      </c>
      <c r="B154" s="29">
        <v>5</v>
      </c>
      <c r="C154" s="29">
        <v>4</v>
      </c>
      <c r="D154" s="29" t="s">
        <v>49</v>
      </c>
      <c r="E154" s="29"/>
      <c r="F154" s="29"/>
      <c r="G154" s="29"/>
      <c r="H154" s="57">
        <v>18</v>
      </c>
    </row>
    <row r="155" spans="1:8" ht="15.75" thickBot="1" x14ac:dyDescent="0.3">
      <c r="A155" s="60" t="s">
        <v>35</v>
      </c>
      <c r="B155" s="58">
        <f>SUM(B125:B154)-E155</f>
        <v>59</v>
      </c>
      <c r="C155" s="58">
        <f t="shared" ref="C155:H155" si="7">SUM(C125:C154)</f>
        <v>54</v>
      </c>
      <c r="D155" s="58">
        <f t="shared" si="7"/>
        <v>2</v>
      </c>
      <c r="E155" s="58">
        <f t="shared" si="7"/>
        <v>0</v>
      </c>
      <c r="F155" s="58">
        <f t="shared" si="7"/>
        <v>0</v>
      </c>
      <c r="G155" s="58">
        <f t="shared" si="7"/>
        <v>0</v>
      </c>
      <c r="H155" s="59">
        <f t="shared" si="7"/>
        <v>428</v>
      </c>
    </row>
    <row r="158" spans="1:8" ht="36" x14ac:dyDescent="0.55000000000000004">
      <c r="A158" s="605" t="s">
        <v>1</v>
      </c>
      <c r="B158" s="605"/>
      <c r="C158" s="605"/>
      <c r="D158" s="605"/>
      <c r="E158" s="605"/>
      <c r="F158" s="605"/>
      <c r="G158" s="605"/>
      <c r="H158" s="605"/>
    </row>
    <row r="159" spans="1:8" ht="27" thickBot="1" x14ac:dyDescent="0.45">
      <c r="A159" s="606" t="s">
        <v>0</v>
      </c>
      <c r="B159" s="606"/>
      <c r="C159" s="606"/>
      <c r="D159" s="606"/>
      <c r="E159" s="606"/>
      <c r="F159" s="606"/>
      <c r="G159" s="606"/>
      <c r="H159" s="606"/>
    </row>
    <row r="160" spans="1:8" ht="15.75" x14ac:dyDescent="0.25">
      <c r="A160" s="39" t="s">
        <v>2</v>
      </c>
      <c r="B160" s="19" t="s">
        <v>3</v>
      </c>
      <c r="C160" s="20"/>
      <c r="D160" s="21" t="s">
        <v>52</v>
      </c>
      <c r="E160" s="607" t="s">
        <v>51</v>
      </c>
      <c r="F160" s="608"/>
      <c r="G160" s="19" t="s">
        <v>16</v>
      </c>
      <c r="H160" s="32" t="s">
        <v>58</v>
      </c>
    </row>
    <row r="161" spans="1:8" ht="15.75" x14ac:dyDescent="0.25">
      <c r="A161" s="609" t="s">
        <v>6</v>
      </c>
      <c r="B161" s="610"/>
      <c r="C161" s="610"/>
      <c r="D161" s="610"/>
      <c r="E161" s="610"/>
      <c r="F161" s="611"/>
      <c r="G161" s="1"/>
      <c r="H161" s="2">
        <f>H154</f>
        <v>18</v>
      </c>
    </row>
    <row r="162" spans="1:8" ht="15.75" x14ac:dyDescent="0.25">
      <c r="A162" s="3" t="s">
        <v>7</v>
      </c>
      <c r="B162" s="1"/>
      <c r="C162" s="1"/>
      <c r="D162" s="1"/>
      <c r="E162" s="1"/>
      <c r="F162" s="1"/>
      <c r="G162" s="1"/>
      <c r="H162" s="2">
        <v>15</v>
      </c>
    </row>
    <row r="163" spans="1:8" ht="51.75" thickBot="1" x14ac:dyDescent="0.3">
      <c r="A163" s="40" t="s">
        <v>8</v>
      </c>
      <c r="B163" s="41" t="s">
        <v>9</v>
      </c>
      <c r="C163" s="41" t="s">
        <v>10</v>
      </c>
      <c r="D163" s="41" t="s">
        <v>11</v>
      </c>
      <c r="E163" s="41" t="s">
        <v>12</v>
      </c>
      <c r="F163" s="41" t="s">
        <v>13</v>
      </c>
      <c r="G163" s="41" t="s">
        <v>14</v>
      </c>
      <c r="H163" s="42" t="s">
        <v>15</v>
      </c>
    </row>
    <row r="164" spans="1:8" x14ac:dyDescent="0.25">
      <c r="A164" s="36">
        <v>1</v>
      </c>
      <c r="B164" s="37">
        <v>3</v>
      </c>
      <c r="C164" s="37">
        <v>1</v>
      </c>
      <c r="D164" s="37"/>
      <c r="E164" s="37"/>
      <c r="F164" s="37"/>
      <c r="G164" s="37"/>
      <c r="H164" s="38">
        <f>H161+B164+F164-(C164+D164+G164)-E164</f>
        <v>20</v>
      </c>
    </row>
    <row r="165" spans="1:8" x14ac:dyDescent="0.25">
      <c r="A165" s="26">
        <v>2</v>
      </c>
      <c r="B165" s="5">
        <v>1</v>
      </c>
      <c r="C165" s="5">
        <v>4</v>
      </c>
      <c r="D165" s="5"/>
      <c r="E165" s="5"/>
      <c r="F165" s="5"/>
      <c r="G165" s="5"/>
      <c r="H165" s="2">
        <f>H164+B165+F165-(C165+D165+G165)-E165</f>
        <v>17</v>
      </c>
    </row>
    <row r="166" spans="1:8" x14ac:dyDescent="0.25">
      <c r="A166" s="26">
        <v>3</v>
      </c>
      <c r="B166" s="5">
        <v>1</v>
      </c>
      <c r="C166" s="5">
        <v>3</v>
      </c>
      <c r="D166" s="5"/>
      <c r="E166" s="5"/>
      <c r="F166" s="5"/>
      <c r="G166" s="5"/>
      <c r="H166" s="2">
        <f>H165+B166+F166-(C166+D166+G166)-E166</f>
        <v>15</v>
      </c>
    </row>
    <row r="167" spans="1:8" x14ac:dyDescent="0.25">
      <c r="A167" s="26">
        <v>4</v>
      </c>
      <c r="B167" s="5">
        <v>6</v>
      </c>
      <c r="C167" s="5">
        <v>3</v>
      </c>
      <c r="D167" s="5"/>
      <c r="E167" s="5"/>
      <c r="F167" s="5"/>
      <c r="G167" s="5"/>
      <c r="H167" s="2">
        <f t="shared" ref="H167:H194" si="8">H166+B167+F167-(C167+D167+G167)-E167</f>
        <v>18</v>
      </c>
    </row>
    <row r="168" spans="1:8" x14ac:dyDescent="0.25">
      <c r="A168" s="26">
        <v>5</v>
      </c>
      <c r="B168" s="5">
        <v>4</v>
      </c>
      <c r="C168" s="5"/>
      <c r="D168" s="5"/>
      <c r="E168" s="5"/>
      <c r="F168" s="5"/>
      <c r="G168" s="5"/>
      <c r="H168" s="2">
        <f t="shared" si="8"/>
        <v>22</v>
      </c>
    </row>
    <row r="169" spans="1:8" x14ac:dyDescent="0.25">
      <c r="A169" s="26">
        <v>6</v>
      </c>
      <c r="B169" s="5">
        <v>5</v>
      </c>
      <c r="C169" s="5"/>
      <c r="D169" s="5"/>
      <c r="E169" s="5"/>
      <c r="F169" s="5"/>
      <c r="G169" s="5"/>
      <c r="H169" s="2">
        <f t="shared" si="8"/>
        <v>27</v>
      </c>
    </row>
    <row r="170" spans="1:8" x14ac:dyDescent="0.25">
      <c r="A170" s="26">
        <v>7</v>
      </c>
      <c r="B170" s="5">
        <v>1</v>
      </c>
      <c r="C170" s="5">
        <v>9</v>
      </c>
      <c r="D170" s="5">
        <v>1</v>
      </c>
      <c r="E170" s="5"/>
      <c r="F170" s="5"/>
      <c r="G170" s="5"/>
      <c r="H170" s="2">
        <f t="shared" si="8"/>
        <v>18</v>
      </c>
    </row>
    <row r="171" spans="1:8" x14ac:dyDescent="0.25">
      <c r="A171" s="26">
        <v>8</v>
      </c>
      <c r="B171" s="5">
        <v>3</v>
      </c>
      <c r="C171" s="5">
        <v>6</v>
      </c>
      <c r="D171" s="5"/>
      <c r="E171" s="5"/>
      <c r="F171" s="5"/>
      <c r="G171" s="5"/>
      <c r="H171" s="2">
        <f t="shared" si="8"/>
        <v>15</v>
      </c>
    </row>
    <row r="172" spans="1:8" x14ac:dyDescent="0.25">
      <c r="A172" s="26">
        <v>9</v>
      </c>
      <c r="B172" s="5"/>
      <c r="C172" s="5">
        <v>1</v>
      </c>
      <c r="D172" s="5"/>
      <c r="E172" s="5"/>
      <c r="F172" s="5"/>
      <c r="G172" s="5"/>
      <c r="H172" s="2">
        <f t="shared" si="8"/>
        <v>14</v>
      </c>
    </row>
    <row r="173" spans="1:8" x14ac:dyDescent="0.25">
      <c r="A173" s="26">
        <v>10</v>
      </c>
      <c r="B173" s="5">
        <v>1</v>
      </c>
      <c r="C173" s="5">
        <v>6</v>
      </c>
      <c r="D173" s="5"/>
      <c r="E173" s="5"/>
      <c r="F173" s="5"/>
      <c r="G173" s="5"/>
      <c r="H173" s="2">
        <f t="shared" si="8"/>
        <v>9</v>
      </c>
    </row>
    <row r="174" spans="1:8" x14ac:dyDescent="0.25">
      <c r="A174" s="26">
        <v>11</v>
      </c>
      <c r="B174" s="5">
        <v>2</v>
      </c>
      <c r="C174" s="5"/>
      <c r="D174" s="5"/>
      <c r="E174" s="5"/>
      <c r="F174" s="5"/>
      <c r="G174" s="5"/>
      <c r="H174" s="2">
        <f t="shared" si="8"/>
        <v>11</v>
      </c>
    </row>
    <row r="175" spans="1:8" x14ac:dyDescent="0.25">
      <c r="A175" s="26">
        <v>12</v>
      </c>
      <c r="B175" s="5">
        <v>5</v>
      </c>
      <c r="C175" s="5">
        <v>1</v>
      </c>
      <c r="D175" s="5"/>
      <c r="E175" s="5"/>
      <c r="F175" s="5"/>
      <c r="G175" s="5"/>
      <c r="H175" s="2">
        <f t="shared" si="8"/>
        <v>15</v>
      </c>
    </row>
    <row r="176" spans="1:8" x14ac:dyDescent="0.25">
      <c r="A176" s="26">
        <v>13</v>
      </c>
      <c r="B176" s="5">
        <v>5</v>
      </c>
      <c r="C176" s="5">
        <v>3</v>
      </c>
      <c r="D176" s="5"/>
      <c r="E176" s="5"/>
      <c r="F176" s="5"/>
      <c r="G176" s="5"/>
      <c r="H176" s="2">
        <f t="shared" si="8"/>
        <v>17</v>
      </c>
    </row>
    <row r="177" spans="1:8" x14ac:dyDescent="0.25">
      <c r="A177" s="26">
        <v>14</v>
      </c>
      <c r="B177" s="5">
        <v>3</v>
      </c>
      <c r="C177" s="5">
        <v>1</v>
      </c>
      <c r="D177" s="5"/>
      <c r="E177" s="5"/>
      <c r="F177" s="5"/>
      <c r="G177" s="5"/>
      <c r="H177" s="2">
        <f t="shared" si="8"/>
        <v>19</v>
      </c>
    </row>
    <row r="178" spans="1:8" x14ac:dyDescent="0.25">
      <c r="A178" s="26">
        <v>15</v>
      </c>
      <c r="B178" s="5"/>
      <c r="C178" s="5">
        <v>5</v>
      </c>
      <c r="D178" s="5"/>
      <c r="E178" s="5"/>
      <c r="F178" s="5"/>
      <c r="G178" s="5"/>
      <c r="H178" s="2">
        <f t="shared" si="8"/>
        <v>14</v>
      </c>
    </row>
    <row r="179" spans="1:8" x14ac:dyDescent="0.25">
      <c r="A179" s="26">
        <v>16</v>
      </c>
      <c r="B179" s="5">
        <v>6</v>
      </c>
      <c r="C179" s="5">
        <v>3</v>
      </c>
      <c r="D179" s="5"/>
      <c r="E179" s="5"/>
      <c r="F179" s="5"/>
      <c r="G179" s="5"/>
      <c r="H179" s="2">
        <f t="shared" si="8"/>
        <v>17</v>
      </c>
    </row>
    <row r="180" spans="1:8" x14ac:dyDescent="0.25">
      <c r="A180" s="26">
        <v>17</v>
      </c>
      <c r="B180" s="5">
        <v>1</v>
      </c>
      <c r="C180" s="5">
        <v>2</v>
      </c>
      <c r="D180" s="5"/>
      <c r="E180" s="5"/>
      <c r="F180" s="5"/>
      <c r="G180" s="5"/>
      <c r="H180" s="2">
        <f t="shared" si="8"/>
        <v>16</v>
      </c>
    </row>
    <row r="181" spans="1:8" x14ac:dyDescent="0.25">
      <c r="A181" s="26">
        <v>18</v>
      </c>
      <c r="B181" s="5">
        <v>1</v>
      </c>
      <c r="C181" s="5"/>
      <c r="D181" s="5"/>
      <c r="E181" s="5"/>
      <c r="F181" s="5"/>
      <c r="G181" s="5"/>
      <c r="H181" s="2">
        <f t="shared" si="8"/>
        <v>17</v>
      </c>
    </row>
    <row r="182" spans="1:8" x14ac:dyDescent="0.25">
      <c r="A182" s="26">
        <v>19</v>
      </c>
      <c r="B182" s="5">
        <v>2</v>
      </c>
      <c r="C182" s="5">
        <v>2</v>
      </c>
      <c r="D182" s="5"/>
      <c r="E182" s="5"/>
      <c r="F182" s="5"/>
      <c r="G182" s="5"/>
      <c r="H182" s="2">
        <f t="shared" si="8"/>
        <v>17</v>
      </c>
    </row>
    <row r="183" spans="1:8" x14ac:dyDescent="0.25">
      <c r="A183" s="26">
        <v>20</v>
      </c>
      <c r="B183" s="5">
        <v>2</v>
      </c>
      <c r="C183" s="5">
        <v>3</v>
      </c>
      <c r="D183" s="5"/>
      <c r="E183" s="5"/>
      <c r="F183" s="5"/>
      <c r="G183" s="5"/>
      <c r="H183" s="2">
        <f t="shared" si="8"/>
        <v>16</v>
      </c>
    </row>
    <row r="184" spans="1:8" x14ac:dyDescent="0.25">
      <c r="A184" s="26">
        <v>21</v>
      </c>
      <c r="B184" s="5"/>
      <c r="C184" s="5">
        <v>5</v>
      </c>
      <c r="D184" s="5"/>
      <c r="E184" s="5"/>
      <c r="F184" s="5"/>
      <c r="G184" s="5"/>
      <c r="H184" s="2">
        <f t="shared" si="8"/>
        <v>11</v>
      </c>
    </row>
    <row r="185" spans="1:8" x14ac:dyDescent="0.25">
      <c r="A185" s="26">
        <v>22</v>
      </c>
      <c r="B185" s="5">
        <v>1</v>
      </c>
      <c r="C185" s="5">
        <v>1</v>
      </c>
      <c r="D185" s="5"/>
      <c r="E185" s="5"/>
      <c r="F185" s="5"/>
      <c r="G185" s="5"/>
      <c r="H185" s="2">
        <f t="shared" si="8"/>
        <v>11</v>
      </c>
    </row>
    <row r="186" spans="1:8" x14ac:dyDescent="0.25">
      <c r="A186" s="26">
        <v>23</v>
      </c>
      <c r="B186" s="5">
        <v>4</v>
      </c>
      <c r="C186" s="5">
        <v>3</v>
      </c>
      <c r="D186" s="5"/>
      <c r="E186" s="5"/>
      <c r="F186" s="5"/>
      <c r="G186" s="5"/>
      <c r="H186" s="2">
        <f t="shared" si="8"/>
        <v>12</v>
      </c>
    </row>
    <row r="187" spans="1:8" x14ac:dyDescent="0.25">
      <c r="A187" s="26">
        <v>24</v>
      </c>
      <c r="B187" s="5">
        <v>1</v>
      </c>
      <c r="C187" s="5">
        <v>2</v>
      </c>
      <c r="D187" s="5"/>
      <c r="E187" s="5"/>
      <c r="F187" s="5"/>
      <c r="G187" s="5"/>
      <c r="H187" s="2">
        <f t="shared" si="8"/>
        <v>11</v>
      </c>
    </row>
    <row r="188" spans="1:8" x14ac:dyDescent="0.25">
      <c r="A188" s="26">
        <v>25</v>
      </c>
      <c r="B188" s="5">
        <v>1</v>
      </c>
      <c r="C188" s="5"/>
      <c r="D188" s="5"/>
      <c r="E188" s="5"/>
      <c r="F188" s="5"/>
      <c r="G188" s="5"/>
      <c r="H188" s="2">
        <f t="shared" si="8"/>
        <v>12</v>
      </c>
    </row>
    <row r="189" spans="1:8" x14ac:dyDescent="0.25">
      <c r="A189" s="26">
        <v>26</v>
      </c>
      <c r="B189" s="5">
        <v>8</v>
      </c>
      <c r="C189" s="5">
        <v>1</v>
      </c>
      <c r="D189" s="5"/>
      <c r="E189" s="5"/>
      <c r="F189" s="5"/>
      <c r="G189" s="5"/>
      <c r="H189" s="2">
        <f t="shared" si="8"/>
        <v>19</v>
      </c>
    </row>
    <row r="190" spans="1:8" x14ac:dyDescent="0.25">
      <c r="A190" s="26">
        <v>27</v>
      </c>
      <c r="B190" s="5">
        <v>1</v>
      </c>
      <c r="C190" s="5">
        <v>2</v>
      </c>
      <c r="D190" s="5"/>
      <c r="E190" s="5"/>
      <c r="F190" s="5"/>
      <c r="G190" s="5"/>
      <c r="H190" s="2">
        <f t="shared" si="8"/>
        <v>18</v>
      </c>
    </row>
    <row r="191" spans="1:8" x14ac:dyDescent="0.25">
      <c r="A191" s="26">
        <v>28</v>
      </c>
      <c r="B191" s="5">
        <v>3</v>
      </c>
      <c r="C191" s="5">
        <v>6</v>
      </c>
      <c r="D191" s="5"/>
      <c r="E191" s="5"/>
      <c r="F191" s="5"/>
      <c r="G191" s="5"/>
      <c r="H191" s="2">
        <f t="shared" si="8"/>
        <v>15</v>
      </c>
    </row>
    <row r="192" spans="1:8" x14ac:dyDescent="0.25">
      <c r="A192" s="26">
        <v>29</v>
      </c>
      <c r="B192" s="5">
        <v>2</v>
      </c>
      <c r="C192" s="5">
        <v>2</v>
      </c>
      <c r="D192" s="5"/>
      <c r="E192" s="5"/>
      <c r="F192" s="5"/>
      <c r="G192" s="5"/>
      <c r="H192" s="2">
        <f t="shared" si="8"/>
        <v>15</v>
      </c>
    </row>
    <row r="193" spans="1:8" x14ac:dyDescent="0.25">
      <c r="A193" s="28">
        <v>30</v>
      </c>
      <c r="B193" s="29">
        <v>3</v>
      </c>
      <c r="C193" s="29">
        <v>2</v>
      </c>
      <c r="D193" s="29"/>
      <c r="E193" s="29"/>
      <c r="F193" s="29"/>
      <c r="G193" s="29"/>
      <c r="H193" s="57">
        <f t="shared" si="8"/>
        <v>16</v>
      </c>
    </row>
    <row r="194" spans="1:8" ht="15.75" thickBot="1" x14ac:dyDescent="0.3">
      <c r="A194" s="63">
        <v>31</v>
      </c>
      <c r="B194" s="29"/>
      <c r="C194" s="29">
        <v>1</v>
      </c>
      <c r="D194" s="29"/>
      <c r="E194" s="29"/>
      <c r="F194" s="29"/>
      <c r="G194" s="29"/>
      <c r="H194" s="29">
        <f t="shared" si="8"/>
        <v>15</v>
      </c>
    </row>
    <row r="195" spans="1:8" ht="15.75" thickBot="1" x14ac:dyDescent="0.3">
      <c r="A195" s="60" t="s">
        <v>35</v>
      </c>
      <c r="B195" s="58">
        <f>SUM(B164:B194)-E195</f>
        <v>76</v>
      </c>
      <c r="C195" s="58">
        <f t="shared" ref="C195:H195" si="9">SUM(C164:C194)</f>
        <v>78</v>
      </c>
      <c r="D195" s="58">
        <f t="shared" si="9"/>
        <v>1</v>
      </c>
      <c r="E195" s="58">
        <f t="shared" si="9"/>
        <v>0</v>
      </c>
      <c r="F195" s="58">
        <f t="shared" si="9"/>
        <v>0</v>
      </c>
      <c r="G195" s="58">
        <f t="shared" si="9"/>
        <v>0</v>
      </c>
      <c r="H195" s="59">
        <f t="shared" si="9"/>
        <v>489</v>
      </c>
    </row>
    <row r="198" spans="1:8" ht="36" x14ac:dyDescent="0.55000000000000004">
      <c r="A198" s="605" t="s">
        <v>1</v>
      </c>
      <c r="B198" s="605"/>
      <c r="C198" s="605"/>
      <c r="D198" s="605"/>
      <c r="E198" s="605"/>
      <c r="F198" s="605"/>
      <c r="G198" s="605"/>
      <c r="H198" s="605"/>
    </row>
    <row r="199" spans="1:8" ht="27" thickBot="1" x14ac:dyDescent="0.45">
      <c r="A199" s="606" t="s">
        <v>0</v>
      </c>
      <c r="B199" s="606"/>
      <c r="C199" s="606"/>
      <c r="D199" s="606"/>
      <c r="E199" s="606"/>
      <c r="F199" s="606"/>
      <c r="G199" s="606"/>
      <c r="H199" s="606"/>
    </row>
    <row r="200" spans="1:8" ht="15.75" x14ac:dyDescent="0.25">
      <c r="A200" s="39" t="s">
        <v>2</v>
      </c>
      <c r="B200" s="19" t="s">
        <v>3</v>
      </c>
      <c r="C200" s="20"/>
      <c r="D200" s="21" t="s">
        <v>52</v>
      </c>
      <c r="E200" s="607" t="s">
        <v>51</v>
      </c>
      <c r="F200" s="608"/>
      <c r="G200" s="19" t="s">
        <v>16</v>
      </c>
      <c r="H200" s="32" t="s">
        <v>60</v>
      </c>
    </row>
    <row r="201" spans="1:8" ht="15.75" x14ac:dyDescent="0.25">
      <c r="A201" s="609" t="s">
        <v>6</v>
      </c>
      <c r="B201" s="610"/>
      <c r="C201" s="610"/>
      <c r="D201" s="610"/>
      <c r="E201" s="610"/>
      <c r="F201" s="611"/>
      <c r="G201" s="1"/>
      <c r="H201" s="2">
        <f>H194</f>
        <v>15</v>
      </c>
    </row>
    <row r="202" spans="1:8" ht="15.75" x14ac:dyDescent="0.25">
      <c r="A202" s="3" t="s">
        <v>7</v>
      </c>
      <c r="B202" s="1"/>
      <c r="C202" s="1"/>
      <c r="D202" s="1"/>
      <c r="E202" s="1"/>
      <c r="F202" s="1"/>
      <c r="G202" s="1"/>
      <c r="H202" s="2">
        <v>15</v>
      </c>
    </row>
    <row r="203" spans="1:8" ht="51.75" thickBot="1" x14ac:dyDescent="0.3">
      <c r="A203" s="40" t="s">
        <v>8</v>
      </c>
      <c r="B203" s="41" t="s">
        <v>9</v>
      </c>
      <c r="C203" s="41" t="s">
        <v>10</v>
      </c>
      <c r="D203" s="41" t="s">
        <v>11</v>
      </c>
      <c r="E203" s="41" t="s">
        <v>12</v>
      </c>
      <c r="F203" s="41" t="s">
        <v>13</v>
      </c>
      <c r="G203" s="41" t="s">
        <v>14</v>
      </c>
      <c r="H203" s="42" t="s">
        <v>15</v>
      </c>
    </row>
    <row r="204" spans="1:8" x14ac:dyDescent="0.25">
      <c r="A204" s="36">
        <v>1</v>
      </c>
      <c r="B204" s="37"/>
      <c r="C204" s="37"/>
      <c r="D204" s="37"/>
      <c r="E204" s="37"/>
      <c r="F204" s="37"/>
      <c r="G204" s="37"/>
      <c r="H204" s="38">
        <f>H201+B204+F204-(C204+D204+G204)-E204</f>
        <v>15</v>
      </c>
    </row>
    <row r="205" spans="1:8" x14ac:dyDescent="0.25">
      <c r="A205" s="26">
        <v>2</v>
      </c>
      <c r="B205" s="5">
        <v>2</v>
      </c>
      <c r="C205" s="5">
        <v>3</v>
      </c>
      <c r="D205" s="5"/>
      <c r="E205" s="5"/>
      <c r="F205" s="5"/>
      <c r="G205" s="5"/>
      <c r="H205" s="2">
        <f>H204+B205+F205-(C205+D205+G205)-E205</f>
        <v>14</v>
      </c>
    </row>
    <row r="206" spans="1:8" x14ac:dyDescent="0.25">
      <c r="A206" s="26">
        <v>3</v>
      </c>
      <c r="B206" s="5">
        <v>4</v>
      </c>
      <c r="C206" s="5">
        <v>3</v>
      </c>
      <c r="D206" s="5"/>
      <c r="E206" s="5"/>
      <c r="F206" s="5"/>
      <c r="G206" s="5"/>
      <c r="H206" s="2">
        <f>H205+B206+F206-(C206+D206+G206)-E206</f>
        <v>15</v>
      </c>
    </row>
    <row r="207" spans="1:8" x14ac:dyDescent="0.25">
      <c r="A207" s="26">
        <v>4</v>
      </c>
      <c r="B207" s="5">
        <v>3</v>
      </c>
      <c r="C207" s="5">
        <v>1</v>
      </c>
      <c r="D207" s="5"/>
      <c r="E207" s="5"/>
      <c r="F207" s="5"/>
      <c r="G207" s="5"/>
      <c r="H207" s="2">
        <f t="shared" ref="H207:H233" si="10">H206+B207+F207-(C207+D207+G207)-E207</f>
        <v>17</v>
      </c>
    </row>
    <row r="208" spans="1:8" x14ac:dyDescent="0.25">
      <c r="A208" s="26">
        <v>5</v>
      </c>
      <c r="B208" s="5"/>
      <c r="C208" s="5">
        <v>7</v>
      </c>
      <c r="D208" s="5"/>
      <c r="E208" s="5"/>
      <c r="F208" s="5"/>
      <c r="G208" s="5"/>
      <c r="H208" s="2">
        <f t="shared" si="10"/>
        <v>10</v>
      </c>
    </row>
    <row r="209" spans="1:8" x14ac:dyDescent="0.25">
      <c r="A209" s="26">
        <v>6</v>
      </c>
      <c r="B209" s="5">
        <v>1</v>
      </c>
      <c r="C209" s="5">
        <v>1</v>
      </c>
      <c r="D209" s="5"/>
      <c r="E209" s="5"/>
      <c r="F209" s="5"/>
      <c r="G209" s="5"/>
      <c r="H209" s="2">
        <f t="shared" si="10"/>
        <v>10</v>
      </c>
    </row>
    <row r="210" spans="1:8" x14ac:dyDescent="0.25">
      <c r="A210" s="26">
        <v>7</v>
      </c>
      <c r="B210" s="5">
        <v>3</v>
      </c>
      <c r="C210" s="5">
        <v>1</v>
      </c>
      <c r="D210" s="5"/>
      <c r="E210" s="5"/>
      <c r="F210" s="5"/>
      <c r="G210" s="5"/>
      <c r="H210" s="2">
        <f t="shared" si="10"/>
        <v>12</v>
      </c>
    </row>
    <row r="211" spans="1:8" x14ac:dyDescent="0.25">
      <c r="A211" s="26">
        <v>8</v>
      </c>
      <c r="B211" s="5"/>
      <c r="C211" s="5">
        <v>2</v>
      </c>
      <c r="D211" s="5"/>
      <c r="E211" s="5"/>
      <c r="F211" s="5"/>
      <c r="G211" s="5"/>
      <c r="H211" s="2">
        <f t="shared" si="10"/>
        <v>10</v>
      </c>
    </row>
    <row r="212" spans="1:8" x14ac:dyDescent="0.25">
      <c r="A212" s="26">
        <v>9</v>
      </c>
      <c r="B212" s="5"/>
      <c r="C212" s="5">
        <v>6</v>
      </c>
      <c r="D212" s="5"/>
      <c r="E212" s="5"/>
      <c r="F212" s="5"/>
      <c r="G212" s="5"/>
      <c r="H212" s="2">
        <f t="shared" si="10"/>
        <v>4</v>
      </c>
    </row>
    <row r="213" spans="1:8" x14ac:dyDescent="0.25">
      <c r="A213" s="26">
        <v>10</v>
      </c>
      <c r="B213" s="5"/>
      <c r="C213" s="5">
        <v>3</v>
      </c>
      <c r="D213" s="5"/>
      <c r="E213" s="5"/>
      <c r="F213" s="5"/>
      <c r="G213" s="5"/>
      <c r="H213" s="2">
        <f t="shared" si="10"/>
        <v>1</v>
      </c>
    </row>
    <row r="214" spans="1:8" x14ac:dyDescent="0.25">
      <c r="A214" s="26">
        <v>11</v>
      </c>
      <c r="B214" s="5"/>
      <c r="C214" s="5"/>
      <c r="D214" s="5"/>
      <c r="E214" s="5"/>
      <c r="F214" s="5"/>
      <c r="G214" s="5"/>
      <c r="H214" s="2">
        <f t="shared" si="10"/>
        <v>1</v>
      </c>
    </row>
    <row r="215" spans="1:8" x14ac:dyDescent="0.25">
      <c r="A215" s="26">
        <v>12</v>
      </c>
      <c r="B215" s="5"/>
      <c r="C215" s="5"/>
      <c r="D215" s="5"/>
      <c r="E215" s="5"/>
      <c r="F215" s="5"/>
      <c r="G215" s="5"/>
      <c r="H215" s="2">
        <f t="shared" si="10"/>
        <v>1</v>
      </c>
    </row>
    <row r="216" spans="1:8" x14ac:dyDescent="0.25">
      <c r="A216" s="26">
        <v>13</v>
      </c>
      <c r="B216" s="5"/>
      <c r="C216" s="5"/>
      <c r="D216" s="5"/>
      <c r="E216" s="5"/>
      <c r="F216" s="5"/>
      <c r="G216" s="5"/>
      <c r="H216" s="2">
        <f t="shared" si="10"/>
        <v>1</v>
      </c>
    </row>
    <row r="217" spans="1:8" x14ac:dyDescent="0.25">
      <c r="A217" s="26">
        <v>14</v>
      </c>
      <c r="B217" s="5">
        <v>1</v>
      </c>
      <c r="C217" s="5"/>
      <c r="D217" s="5"/>
      <c r="E217" s="5"/>
      <c r="F217" s="5"/>
      <c r="G217" s="5"/>
      <c r="H217" s="2">
        <f t="shared" si="10"/>
        <v>2</v>
      </c>
    </row>
    <row r="218" spans="1:8" x14ac:dyDescent="0.25">
      <c r="A218" s="26">
        <v>15</v>
      </c>
      <c r="B218" s="5">
        <v>1</v>
      </c>
      <c r="C218" s="5"/>
      <c r="D218" s="5"/>
      <c r="E218" s="5"/>
      <c r="F218" s="5"/>
      <c r="G218" s="5"/>
      <c r="H218" s="2">
        <f t="shared" si="10"/>
        <v>3</v>
      </c>
    </row>
    <row r="219" spans="1:8" x14ac:dyDescent="0.25">
      <c r="A219" s="26">
        <v>16</v>
      </c>
      <c r="B219" s="5">
        <v>3</v>
      </c>
      <c r="C219" s="5"/>
      <c r="D219" s="5"/>
      <c r="E219" s="5"/>
      <c r="F219" s="5"/>
      <c r="G219" s="5"/>
      <c r="H219" s="2">
        <f t="shared" si="10"/>
        <v>6</v>
      </c>
    </row>
    <row r="220" spans="1:8" x14ac:dyDescent="0.25">
      <c r="A220" s="26">
        <v>17</v>
      </c>
      <c r="B220" s="5">
        <v>2</v>
      </c>
      <c r="C220" s="5"/>
      <c r="D220" s="5"/>
      <c r="E220" s="5"/>
      <c r="F220" s="5"/>
      <c r="G220" s="5"/>
      <c r="H220" s="2">
        <f t="shared" si="10"/>
        <v>8</v>
      </c>
    </row>
    <row r="221" spans="1:8" x14ac:dyDescent="0.25">
      <c r="A221" s="26">
        <v>18</v>
      </c>
      <c r="B221" s="5">
        <v>2</v>
      </c>
      <c r="C221" s="5">
        <v>3</v>
      </c>
      <c r="D221" s="5"/>
      <c r="E221" s="5"/>
      <c r="F221" s="5"/>
      <c r="G221" s="5"/>
      <c r="H221" s="2">
        <f t="shared" si="10"/>
        <v>7</v>
      </c>
    </row>
    <row r="222" spans="1:8" x14ac:dyDescent="0.25">
      <c r="A222" s="26">
        <v>19</v>
      </c>
      <c r="B222" s="5">
        <v>3</v>
      </c>
      <c r="C222" s="5">
        <v>2</v>
      </c>
      <c r="D222" s="5"/>
      <c r="E222" s="5"/>
      <c r="F222" s="5"/>
      <c r="G222" s="5"/>
      <c r="H222" s="2">
        <f t="shared" si="10"/>
        <v>8</v>
      </c>
    </row>
    <row r="223" spans="1:8" x14ac:dyDescent="0.25">
      <c r="A223" s="26">
        <v>20</v>
      </c>
      <c r="B223" s="5">
        <v>2</v>
      </c>
      <c r="C223" s="5"/>
      <c r="D223" s="5"/>
      <c r="E223" s="5"/>
      <c r="F223" s="5"/>
      <c r="G223" s="5"/>
      <c r="H223" s="2">
        <f t="shared" si="10"/>
        <v>10</v>
      </c>
    </row>
    <row r="224" spans="1:8" x14ac:dyDescent="0.25">
      <c r="A224" s="26">
        <v>21</v>
      </c>
      <c r="B224" s="5"/>
      <c r="C224" s="5">
        <v>2</v>
      </c>
      <c r="D224" s="5"/>
      <c r="E224" s="5"/>
      <c r="F224" s="5"/>
      <c r="G224" s="5"/>
      <c r="H224" s="2">
        <f t="shared" si="10"/>
        <v>8</v>
      </c>
    </row>
    <row r="225" spans="1:8" x14ac:dyDescent="0.25">
      <c r="A225" s="26">
        <v>22</v>
      </c>
      <c r="B225" s="5">
        <v>2</v>
      </c>
      <c r="C225" s="5"/>
      <c r="D225" s="5">
        <v>1</v>
      </c>
      <c r="E225" s="5"/>
      <c r="F225" s="5"/>
      <c r="G225" s="5"/>
      <c r="H225" s="2">
        <f t="shared" si="10"/>
        <v>9</v>
      </c>
    </row>
    <row r="226" spans="1:8" x14ac:dyDescent="0.25">
      <c r="A226" s="26">
        <v>23</v>
      </c>
      <c r="B226" s="5">
        <v>1</v>
      </c>
      <c r="C226" s="5">
        <v>4</v>
      </c>
      <c r="D226" s="5"/>
      <c r="E226" s="5"/>
      <c r="F226" s="5"/>
      <c r="G226" s="5"/>
      <c r="H226" s="2">
        <f t="shared" si="10"/>
        <v>6</v>
      </c>
    </row>
    <row r="227" spans="1:8" x14ac:dyDescent="0.25">
      <c r="A227" s="26">
        <v>24</v>
      </c>
      <c r="B227" s="5">
        <v>4</v>
      </c>
      <c r="C227" s="5"/>
      <c r="D227" s="5"/>
      <c r="E227" s="5"/>
      <c r="F227" s="5"/>
      <c r="G227" s="5"/>
      <c r="H227" s="2">
        <f t="shared" si="10"/>
        <v>10</v>
      </c>
    </row>
    <row r="228" spans="1:8" x14ac:dyDescent="0.25">
      <c r="A228" s="26">
        <v>25</v>
      </c>
      <c r="B228" s="5">
        <v>1</v>
      </c>
      <c r="C228" s="5">
        <v>2</v>
      </c>
      <c r="D228" s="5"/>
      <c r="E228" s="5"/>
      <c r="F228" s="5"/>
      <c r="G228" s="5"/>
      <c r="H228" s="2">
        <f t="shared" si="10"/>
        <v>9</v>
      </c>
    </row>
    <row r="229" spans="1:8" x14ac:dyDescent="0.25">
      <c r="A229" s="26">
        <v>26</v>
      </c>
      <c r="B229" s="5">
        <v>2</v>
      </c>
      <c r="C229" s="5">
        <v>4</v>
      </c>
      <c r="D229" s="5"/>
      <c r="E229" s="5"/>
      <c r="F229" s="5"/>
      <c r="G229" s="5"/>
      <c r="H229" s="2">
        <f t="shared" si="10"/>
        <v>7</v>
      </c>
    </row>
    <row r="230" spans="1:8" x14ac:dyDescent="0.25">
      <c r="A230" s="26">
        <v>27</v>
      </c>
      <c r="B230" s="5">
        <v>3</v>
      </c>
      <c r="C230" s="5">
        <v>1</v>
      </c>
      <c r="D230" s="5"/>
      <c r="E230" s="5"/>
      <c r="F230" s="5"/>
      <c r="G230" s="5"/>
      <c r="H230" s="2">
        <f t="shared" si="10"/>
        <v>9</v>
      </c>
    </row>
    <row r="231" spans="1:8" x14ac:dyDescent="0.25">
      <c r="A231" s="26">
        <v>28</v>
      </c>
      <c r="B231" s="5">
        <v>4</v>
      </c>
      <c r="C231" s="5">
        <v>3</v>
      </c>
      <c r="D231" s="5"/>
      <c r="E231" s="5"/>
      <c r="F231" s="5"/>
      <c r="G231" s="5"/>
      <c r="H231" s="2">
        <f t="shared" si="10"/>
        <v>10</v>
      </c>
    </row>
    <row r="232" spans="1:8" x14ac:dyDescent="0.25">
      <c r="A232" s="26">
        <v>29</v>
      </c>
      <c r="B232" s="5">
        <v>2</v>
      </c>
      <c r="C232" s="5"/>
      <c r="D232" s="5"/>
      <c r="E232" s="5"/>
      <c r="F232" s="5"/>
      <c r="G232" s="5"/>
      <c r="H232" s="2">
        <f t="shared" si="10"/>
        <v>12</v>
      </c>
    </row>
    <row r="233" spans="1:8" ht="15.75" thickBot="1" x14ac:dyDescent="0.3">
      <c r="A233" s="28">
        <v>30</v>
      </c>
      <c r="B233" s="29"/>
      <c r="C233" s="29">
        <v>4</v>
      </c>
      <c r="D233" s="29"/>
      <c r="E233" s="29"/>
      <c r="F233" s="29"/>
      <c r="G233" s="29"/>
      <c r="H233" s="57">
        <f t="shared" si="10"/>
        <v>8</v>
      </c>
    </row>
    <row r="234" spans="1:8" ht="15.75" thickBot="1" x14ac:dyDescent="0.3">
      <c r="A234" s="60" t="s">
        <v>35</v>
      </c>
      <c r="B234" s="58">
        <f>SUM(B204:B233)-E234</f>
        <v>46</v>
      </c>
      <c r="C234" s="58">
        <f t="shared" ref="C234:H234" si="11">SUM(C204:C233)</f>
        <v>52</v>
      </c>
      <c r="D234" s="58">
        <f t="shared" si="11"/>
        <v>1</v>
      </c>
      <c r="E234" s="58">
        <f t="shared" si="11"/>
        <v>0</v>
      </c>
      <c r="F234" s="58">
        <f t="shared" si="11"/>
        <v>0</v>
      </c>
      <c r="G234" s="58">
        <f t="shared" si="11"/>
        <v>0</v>
      </c>
      <c r="H234" s="59">
        <f t="shared" si="11"/>
        <v>243</v>
      </c>
    </row>
    <row r="237" spans="1:8" ht="36" x14ac:dyDescent="0.55000000000000004">
      <c r="A237" s="605" t="s">
        <v>1</v>
      </c>
      <c r="B237" s="605"/>
      <c r="C237" s="605"/>
      <c r="D237" s="605"/>
      <c r="E237" s="605"/>
      <c r="F237" s="605"/>
      <c r="G237" s="605"/>
      <c r="H237" s="605"/>
    </row>
    <row r="238" spans="1:8" ht="27" thickBot="1" x14ac:dyDescent="0.45">
      <c r="A238" s="606" t="s">
        <v>0</v>
      </c>
      <c r="B238" s="606"/>
      <c r="C238" s="606"/>
      <c r="D238" s="606"/>
      <c r="E238" s="606"/>
      <c r="F238" s="606"/>
      <c r="G238" s="606"/>
      <c r="H238" s="606"/>
    </row>
    <row r="239" spans="1:8" ht="15.75" x14ac:dyDescent="0.25">
      <c r="A239" s="39" t="s">
        <v>2</v>
      </c>
      <c r="B239" s="19" t="s">
        <v>3</v>
      </c>
      <c r="C239" s="20"/>
      <c r="D239" s="21" t="s">
        <v>52</v>
      </c>
      <c r="E239" s="607" t="s">
        <v>51</v>
      </c>
      <c r="F239" s="608"/>
      <c r="G239" s="19" t="s">
        <v>16</v>
      </c>
      <c r="H239" s="32" t="s">
        <v>61</v>
      </c>
    </row>
    <row r="240" spans="1:8" ht="15.75" x14ac:dyDescent="0.25">
      <c r="A240" s="609" t="s">
        <v>6</v>
      </c>
      <c r="B240" s="610"/>
      <c r="C240" s="610"/>
      <c r="D240" s="610"/>
      <c r="E240" s="610"/>
      <c r="F240" s="610"/>
      <c r="G240" s="611"/>
      <c r="H240" s="2">
        <f>H233</f>
        <v>8</v>
      </c>
    </row>
    <row r="241" spans="1:8" ht="15.75" x14ac:dyDescent="0.25">
      <c r="A241" s="3" t="s">
        <v>7</v>
      </c>
      <c r="B241" s="1"/>
      <c r="C241" s="1"/>
      <c r="D241" s="1"/>
      <c r="E241" s="1"/>
      <c r="F241" s="1"/>
      <c r="G241" s="1"/>
      <c r="H241" s="2">
        <v>15</v>
      </c>
    </row>
    <row r="242" spans="1:8" ht="51.75" thickBot="1" x14ac:dyDescent="0.3">
      <c r="A242" s="40" t="s">
        <v>8</v>
      </c>
      <c r="B242" s="41" t="s">
        <v>9</v>
      </c>
      <c r="C242" s="41" t="s">
        <v>10</v>
      </c>
      <c r="D242" s="41" t="s">
        <v>11</v>
      </c>
      <c r="E242" s="41" t="s">
        <v>12</v>
      </c>
      <c r="F242" s="41" t="s">
        <v>13</v>
      </c>
      <c r="G242" s="41" t="s">
        <v>14</v>
      </c>
      <c r="H242" s="42" t="s">
        <v>15</v>
      </c>
    </row>
    <row r="243" spans="1:8" x14ac:dyDescent="0.25">
      <c r="A243" s="36">
        <v>1</v>
      </c>
      <c r="B243" s="37"/>
      <c r="C243" s="37"/>
      <c r="D243" s="37"/>
      <c r="E243" s="37"/>
      <c r="F243" s="37"/>
      <c r="G243" s="37"/>
      <c r="H243" s="38">
        <f>H240+B243+F243-(C243+D243+G243)-E243</f>
        <v>8</v>
      </c>
    </row>
    <row r="244" spans="1:8" x14ac:dyDescent="0.25">
      <c r="A244" s="26">
        <v>2</v>
      </c>
      <c r="B244" s="5"/>
      <c r="C244" s="5"/>
      <c r="D244" s="5"/>
      <c r="E244" s="5"/>
      <c r="F244" s="5"/>
      <c r="G244" s="5"/>
      <c r="H244" s="2">
        <f>H243+B244+F244-(C244+D244+G244)-E244</f>
        <v>8</v>
      </c>
    </row>
    <row r="245" spans="1:8" x14ac:dyDescent="0.25">
      <c r="A245" s="26">
        <v>3</v>
      </c>
      <c r="B245" s="5">
        <v>5</v>
      </c>
      <c r="C245" s="5"/>
      <c r="D245" s="5"/>
      <c r="E245" s="5"/>
      <c r="F245" s="5"/>
      <c r="G245" s="5"/>
      <c r="H245" s="2">
        <f>H244+B245+F245-(C245+D245+G245)-E245</f>
        <v>13</v>
      </c>
    </row>
    <row r="246" spans="1:8" x14ac:dyDescent="0.25">
      <c r="A246" s="26">
        <v>4</v>
      </c>
      <c r="B246" s="5">
        <v>2</v>
      </c>
      <c r="C246" s="5">
        <v>2</v>
      </c>
      <c r="D246" s="5"/>
      <c r="E246" s="5"/>
      <c r="F246" s="5"/>
      <c r="G246" s="5"/>
      <c r="H246" s="2">
        <f t="shared" ref="H246:H273" si="12">H245+B246+F246-(C246+D246+G246)-E246</f>
        <v>13</v>
      </c>
    </row>
    <row r="247" spans="1:8" x14ac:dyDescent="0.25">
      <c r="A247" s="26">
        <v>5</v>
      </c>
      <c r="B247" s="5">
        <v>1</v>
      </c>
      <c r="C247" s="5">
        <v>1</v>
      </c>
      <c r="D247" s="5"/>
      <c r="E247" s="5"/>
      <c r="F247" s="5"/>
      <c r="G247" s="5"/>
      <c r="H247" s="2">
        <f t="shared" si="12"/>
        <v>13</v>
      </c>
    </row>
    <row r="248" spans="1:8" x14ac:dyDescent="0.25">
      <c r="A248" s="26">
        <v>6</v>
      </c>
      <c r="B248" s="5"/>
      <c r="C248" s="5"/>
      <c r="D248" s="5"/>
      <c r="E248" s="5"/>
      <c r="F248" s="5"/>
      <c r="G248" s="5"/>
      <c r="H248" s="2">
        <f t="shared" si="12"/>
        <v>13</v>
      </c>
    </row>
    <row r="249" spans="1:8" x14ac:dyDescent="0.25">
      <c r="A249" s="26">
        <v>7</v>
      </c>
      <c r="B249" s="5">
        <v>1</v>
      </c>
      <c r="C249" s="5"/>
      <c r="D249" s="5"/>
      <c r="E249" s="5"/>
      <c r="F249" s="5"/>
      <c r="G249" s="5"/>
      <c r="H249" s="2">
        <f t="shared" si="12"/>
        <v>14</v>
      </c>
    </row>
    <row r="250" spans="1:8" x14ac:dyDescent="0.25">
      <c r="A250" s="26">
        <v>8</v>
      </c>
      <c r="B250" s="5">
        <v>1</v>
      </c>
      <c r="C250" s="5">
        <v>1</v>
      </c>
      <c r="D250" s="5"/>
      <c r="E250" s="5"/>
      <c r="F250" s="5"/>
      <c r="G250" s="5"/>
      <c r="H250" s="2">
        <f t="shared" si="12"/>
        <v>14</v>
      </c>
    </row>
    <row r="251" spans="1:8" x14ac:dyDescent="0.25">
      <c r="A251" s="26">
        <v>9</v>
      </c>
      <c r="B251" s="5">
        <v>3</v>
      </c>
      <c r="C251" s="5"/>
      <c r="D251" s="5"/>
      <c r="E251" s="5"/>
      <c r="F251" s="5"/>
      <c r="G251" s="5"/>
      <c r="H251" s="2">
        <f t="shared" si="12"/>
        <v>17</v>
      </c>
    </row>
    <row r="252" spans="1:8" x14ac:dyDescent="0.25">
      <c r="A252" s="26">
        <v>10</v>
      </c>
      <c r="B252" s="5">
        <v>3</v>
      </c>
      <c r="C252" s="5">
        <v>5</v>
      </c>
      <c r="D252" s="5"/>
      <c r="E252" s="5"/>
      <c r="F252" s="5"/>
      <c r="G252" s="5"/>
      <c r="H252" s="2">
        <f t="shared" si="12"/>
        <v>15</v>
      </c>
    </row>
    <row r="253" spans="1:8" x14ac:dyDescent="0.25">
      <c r="A253" s="26">
        <v>11</v>
      </c>
      <c r="B253" s="5">
        <v>4</v>
      </c>
      <c r="C253" s="5"/>
      <c r="D253" s="5"/>
      <c r="E253" s="5"/>
      <c r="F253" s="5"/>
      <c r="G253" s="5"/>
      <c r="H253" s="2">
        <f t="shared" si="12"/>
        <v>19</v>
      </c>
    </row>
    <row r="254" spans="1:8" x14ac:dyDescent="0.25">
      <c r="A254" s="26">
        <v>12</v>
      </c>
      <c r="B254" s="5">
        <v>1</v>
      </c>
      <c r="C254" s="5">
        <v>1</v>
      </c>
      <c r="D254" s="5"/>
      <c r="E254" s="5"/>
      <c r="F254" s="5"/>
      <c r="G254" s="5"/>
      <c r="H254" s="2">
        <f t="shared" si="12"/>
        <v>19</v>
      </c>
    </row>
    <row r="255" spans="1:8" x14ac:dyDescent="0.25">
      <c r="A255" s="26">
        <v>13</v>
      </c>
      <c r="B255" s="5">
        <v>3</v>
      </c>
      <c r="C255" s="5">
        <v>5</v>
      </c>
      <c r="D255" s="5"/>
      <c r="E255" s="5"/>
      <c r="F255" s="5"/>
      <c r="G255" s="5"/>
      <c r="H255" s="2">
        <f t="shared" si="12"/>
        <v>17</v>
      </c>
    </row>
    <row r="256" spans="1:8" x14ac:dyDescent="0.25">
      <c r="A256" s="26">
        <v>14</v>
      </c>
      <c r="B256" s="5">
        <v>4</v>
      </c>
      <c r="C256" s="5">
        <v>1</v>
      </c>
      <c r="D256" s="5"/>
      <c r="E256" s="5"/>
      <c r="F256" s="5"/>
      <c r="G256" s="5"/>
      <c r="H256" s="2">
        <f t="shared" si="12"/>
        <v>20</v>
      </c>
    </row>
    <row r="257" spans="1:8" x14ac:dyDescent="0.25">
      <c r="A257" s="26">
        <v>15</v>
      </c>
      <c r="B257" s="5">
        <v>4</v>
      </c>
      <c r="C257" s="5">
        <v>2</v>
      </c>
      <c r="D257" s="5"/>
      <c r="E257" s="5"/>
      <c r="F257" s="5"/>
      <c r="G257" s="5"/>
      <c r="H257" s="2">
        <f t="shared" si="12"/>
        <v>22</v>
      </c>
    </row>
    <row r="258" spans="1:8" x14ac:dyDescent="0.25">
      <c r="A258" s="26">
        <v>16</v>
      </c>
      <c r="B258" s="5">
        <v>2</v>
      </c>
      <c r="C258" s="5">
        <v>3</v>
      </c>
      <c r="D258" s="5"/>
      <c r="E258" s="5"/>
      <c r="F258" s="5"/>
      <c r="G258" s="5"/>
      <c r="H258" s="2">
        <f t="shared" si="12"/>
        <v>21</v>
      </c>
    </row>
    <row r="259" spans="1:8" x14ac:dyDescent="0.25">
      <c r="A259" s="26">
        <v>17</v>
      </c>
      <c r="B259" s="5">
        <v>3</v>
      </c>
      <c r="C259" s="5">
        <v>6</v>
      </c>
      <c r="D259" s="5"/>
      <c r="E259" s="5"/>
      <c r="F259" s="5"/>
      <c r="G259" s="5"/>
      <c r="H259" s="2">
        <f t="shared" si="12"/>
        <v>18</v>
      </c>
    </row>
    <row r="260" spans="1:8" x14ac:dyDescent="0.25">
      <c r="A260" s="26">
        <v>18</v>
      </c>
      <c r="B260" s="5">
        <v>1</v>
      </c>
      <c r="C260" s="5">
        <v>4</v>
      </c>
      <c r="D260" s="5"/>
      <c r="E260" s="5"/>
      <c r="F260" s="5"/>
      <c r="G260" s="5"/>
      <c r="H260" s="2">
        <f t="shared" si="12"/>
        <v>15</v>
      </c>
    </row>
    <row r="261" spans="1:8" x14ac:dyDescent="0.25">
      <c r="A261" s="26">
        <v>19</v>
      </c>
      <c r="B261" s="5"/>
      <c r="C261" s="5">
        <v>1</v>
      </c>
      <c r="D261" s="5">
        <v>1</v>
      </c>
      <c r="E261" s="5"/>
      <c r="F261" s="5"/>
      <c r="G261" s="5"/>
      <c r="H261" s="2">
        <f t="shared" si="12"/>
        <v>13</v>
      </c>
    </row>
    <row r="262" spans="1:8" x14ac:dyDescent="0.25">
      <c r="A262" s="26">
        <v>20</v>
      </c>
      <c r="B262" s="5">
        <v>3</v>
      </c>
      <c r="C262" s="5">
        <v>1</v>
      </c>
      <c r="D262" s="5"/>
      <c r="E262" s="5"/>
      <c r="F262" s="5"/>
      <c r="G262" s="5"/>
      <c r="H262" s="2">
        <f t="shared" si="12"/>
        <v>15</v>
      </c>
    </row>
    <row r="263" spans="1:8" x14ac:dyDescent="0.25">
      <c r="A263" s="26">
        <v>21</v>
      </c>
      <c r="B263" s="5">
        <v>1</v>
      </c>
      <c r="C263" s="5">
        <v>2</v>
      </c>
      <c r="D263" s="5">
        <v>1</v>
      </c>
      <c r="E263" s="5"/>
      <c r="F263" s="5"/>
      <c r="G263" s="5"/>
      <c r="H263" s="2">
        <f t="shared" si="12"/>
        <v>13</v>
      </c>
    </row>
    <row r="264" spans="1:8" x14ac:dyDescent="0.25">
      <c r="A264" s="26">
        <v>22</v>
      </c>
      <c r="B264" s="5">
        <v>4</v>
      </c>
      <c r="C264" s="5">
        <v>1</v>
      </c>
      <c r="D264" s="5"/>
      <c r="E264" s="5"/>
      <c r="F264" s="5"/>
      <c r="G264" s="5"/>
      <c r="H264" s="2">
        <f t="shared" si="12"/>
        <v>16</v>
      </c>
    </row>
    <row r="265" spans="1:8" x14ac:dyDescent="0.25">
      <c r="A265" s="26">
        <v>23</v>
      </c>
      <c r="B265" s="5"/>
      <c r="C265" s="5">
        <v>4</v>
      </c>
      <c r="D265" s="5"/>
      <c r="E265" s="5"/>
      <c r="F265" s="5"/>
      <c r="G265" s="5"/>
      <c r="H265" s="2">
        <f t="shared" si="12"/>
        <v>12</v>
      </c>
    </row>
    <row r="266" spans="1:8" x14ac:dyDescent="0.25">
      <c r="A266" s="26">
        <v>24</v>
      </c>
      <c r="B266" s="5">
        <v>1</v>
      </c>
      <c r="C266" s="5">
        <v>1</v>
      </c>
      <c r="D266" s="5"/>
      <c r="E266" s="5"/>
      <c r="F266" s="5"/>
      <c r="G266" s="5"/>
      <c r="H266" s="2">
        <f t="shared" si="12"/>
        <v>12</v>
      </c>
    </row>
    <row r="267" spans="1:8" x14ac:dyDescent="0.25">
      <c r="A267" s="26">
        <v>25</v>
      </c>
      <c r="B267" s="5">
        <v>2</v>
      </c>
      <c r="C267" s="5"/>
      <c r="D267" s="5"/>
      <c r="E267" s="5"/>
      <c r="F267" s="5"/>
      <c r="G267" s="5"/>
      <c r="H267" s="2">
        <f t="shared" si="12"/>
        <v>14</v>
      </c>
    </row>
    <row r="268" spans="1:8" x14ac:dyDescent="0.25">
      <c r="A268" s="26">
        <v>26</v>
      </c>
      <c r="B268" s="5">
        <v>1</v>
      </c>
      <c r="C268" s="5">
        <v>4</v>
      </c>
      <c r="D268" s="5"/>
      <c r="E268" s="5"/>
      <c r="F268" s="5"/>
      <c r="G268" s="5"/>
      <c r="H268" s="2">
        <f t="shared" si="12"/>
        <v>11</v>
      </c>
    </row>
    <row r="269" spans="1:8" x14ac:dyDescent="0.25">
      <c r="A269" s="26">
        <v>27</v>
      </c>
      <c r="B269" s="5">
        <v>3</v>
      </c>
      <c r="C269" s="5">
        <v>3</v>
      </c>
      <c r="D269" s="5"/>
      <c r="E269" s="5"/>
      <c r="F269" s="5"/>
      <c r="G269" s="5"/>
      <c r="H269" s="2">
        <f t="shared" si="12"/>
        <v>11</v>
      </c>
    </row>
    <row r="270" spans="1:8" x14ac:dyDescent="0.25">
      <c r="A270" s="26">
        <v>28</v>
      </c>
      <c r="B270" s="5"/>
      <c r="C270" s="5">
        <v>1</v>
      </c>
      <c r="D270" s="5"/>
      <c r="E270" s="5"/>
      <c r="F270" s="5"/>
      <c r="G270" s="5"/>
      <c r="H270" s="2">
        <f t="shared" si="12"/>
        <v>10</v>
      </c>
    </row>
    <row r="271" spans="1:8" x14ac:dyDescent="0.25">
      <c r="A271" s="26">
        <v>29</v>
      </c>
      <c r="B271" s="5">
        <v>5</v>
      </c>
      <c r="C271" s="5">
        <v>1</v>
      </c>
      <c r="D271" s="5"/>
      <c r="E271" s="5"/>
      <c r="F271" s="5"/>
      <c r="G271" s="5"/>
      <c r="H271" s="2">
        <f t="shared" si="12"/>
        <v>14</v>
      </c>
    </row>
    <row r="272" spans="1:8" x14ac:dyDescent="0.25">
      <c r="A272" s="11">
        <v>30</v>
      </c>
      <c r="B272" s="5">
        <v>1</v>
      </c>
      <c r="C272" s="5">
        <v>1</v>
      </c>
      <c r="D272" s="5"/>
      <c r="E272" s="5"/>
      <c r="F272" s="5"/>
      <c r="G272" s="5"/>
      <c r="H272" s="5">
        <f t="shared" si="12"/>
        <v>14</v>
      </c>
    </row>
    <row r="273" spans="1:8" ht="15.75" thickBot="1" x14ac:dyDescent="0.3">
      <c r="A273" s="63">
        <v>31</v>
      </c>
      <c r="B273" s="29">
        <v>1</v>
      </c>
      <c r="C273" s="29">
        <v>6</v>
      </c>
      <c r="D273" s="29"/>
      <c r="E273" s="29"/>
      <c r="F273" s="29"/>
      <c r="G273" s="29"/>
      <c r="H273" s="5">
        <f t="shared" si="12"/>
        <v>9</v>
      </c>
    </row>
    <row r="274" spans="1:8" ht="15.75" thickBot="1" x14ac:dyDescent="0.3">
      <c r="A274" s="60" t="s">
        <v>35</v>
      </c>
      <c r="B274" s="58">
        <f>SUM(B243:B273)-E274</f>
        <v>60</v>
      </c>
      <c r="C274" s="58">
        <f t="shared" ref="C274:H274" si="13">SUM(C243:C273)</f>
        <v>57</v>
      </c>
      <c r="D274" s="58">
        <f t="shared" si="13"/>
        <v>2</v>
      </c>
      <c r="E274" s="58">
        <f t="shared" si="13"/>
        <v>0</v>
      </c>
      <c r="F274" s="58">
        <f t="shared" si="13"/>
        <v>0</v>
      </c>
      <c r="G274" s="58">
        <f t="shared" si="13"/>
        <v>0</v>
      </c>
      <c r="H274" s="58">
        <f t="shared" si="13"/>
        <v>443</v>
      </c>
    </row>
    <row r="277" spans="1:8" ht="36" x14ac:dyDescent="0.55000000000000004">
      <c r="A277" s="605" t="s">
        <v>1</v>
      </c>
      <c r="B277" s="605"/>
      <c r="C277" s="605"/>
      <c r="D277" s="605"/>
      <c r="E277" s="605"/>
      <c r="F277" s="605"/>
      <c r="G277" s="605"/>
      <c r="H277" s="605"/>
    </row>
    <row r="278" spans="1:8" ht="27" thickBot="1" x14ac:dyDescent="0.45">
      <c r="A278" s="606" t="s">
        <v>0</v>
      </c>
      <c r="B278" s="606"/>
      <c r="C278" s="606"/>
      <c r="D278" s="606"/>
      <c r="E278" s="606"/>
      <c r="F278" s="606"/>
      <c r="G278" s="606"/>
      <c r="H278" s="606"/>
    </row>
    <row r="279" spans="1:8" ht="15.75" x14ac:dyDescent="0.25">
      <c r="A279" s="39" t="s">
        <v>2</v>
      </c>
      <c r="B279" s="19" t="s">
        <v>3</v>
      </c>
      <c r="C279" s="20"/>
      <c r="D279" s="21" t="s">
        <v>52</v>
      </c>
      <c r="E279" s="607" t="s">
        <v>51</v>
      </c>
      <c r="F279" s="608"/>
      <c r="G279" s="19" t="s">
        <v>16</v>
      </c>
      <c r="H279" s="32" t="s">
        <v>62</v>
      </c>
    </row>
    <row r="280" spans="1:8" ht="15.75" x14ac:dyDescent="0.25">
      <c r="A280" s="609" t="s">
        <v>6</v>
      </c>
      <c r="B280" s="610"/>
      <c r="C280" s="610"/>
      <c r="D280" s="610"/>
      <c r="E280" s="610"/>
      <c r="F280" s="610"/>
      <c r="G280" s="611"/>
      <c r="H280" s="2">
        <f>H273</f>
        <v>9</v>
      </c>
    </row>
    <row r="281" spans="1:8" ht="15.75" x14ac:dyDescent="0.25">
      <c r="A281" s="3" t="s">
        <v>7</v>
      </c>
      <c r="B281" s="1"/>
      <c r="C281" s="1"/>
      <c r="D281" s="1"/>
      <c r="E281" s="1"/>
      <c r="F281" s="1"/>
      <c r="G281" s="1"/>
      <c r="H281" s="2">
        <v>15</v>
      </c>
    </row>
    <row r="282" spans="1:8" ht="51.75" thickBot="1" x14ac:dyDescent="0.3">
      <c r="A282" s="40" t="s">
        <v>8</v>
      </c>
      <c r="B282" s="41" t="s">
        <v>9</v>
      </c>
      <c r="C282" s="41" t="s">
        <v>10</v>
      </c>
      <c r="D282" s="41" t="s">
        <v>11</v>
      </c>
      <c r="E282" s="41" t="s">
        <v>12</v>
      </c>
      <c r="F282" s="41" t="s">
        <v>13</v>
      </c>
      <c r="G282" s="41" t="s">
        <v>14</v>
      </c>
      <c r="H282" s="42" t="s">
        <v>15</v>
      </c>
    </row>
    <row r="283" spans="1:8" x14ac:dyDescent="0.25">
      <c r="A283" s="36">
        <v>1</v>
      </c>
      <c r="B283" s="37"/>
      <c r="C283" s="37"/>
      <c r="D283" s="37"/>
      <c r="E283" s="37"/>
      <c r="F283" s="37"/>
      <c r="G283" s="37"/>
      <c r="H283" s="38">
        <f>H280+B283+F283-(C283+D283+G283)-E283</f>
        <v>9</v>
      </c>
    </row>
    <row r="284" spans="1:8" x14ac:dyDescent="0.25">
      <c r="A284" s="26">
        <v>2</v>
      </c>
      <c r="B284" s="5">
        <v>1</v>
      </c>
      <c r="C284" s="5">
        <v>3</v>
      </c>
      <c r="D284" s="5"/>
      <c r="E284" s="5"/>
      <c r="F284" s="5"/>
      <c r="G284" s="5"/>
      <c r="H284" s="2">
        <f>H283+B284+F284-(C284+D284+G284)-E284</f>
        <v>7</v>
      </c>
    </row>
    <row r="285" spans="1:8" x14ac:dyDescent="0.25">
      <c r="A285" s="26">
        <v>3</v>
      </c>
      <c r="B285" s="5">
        <v>1</v>
      </c>
      <c r="C285" s="5">
        <v>2</v>
      </c>
      <c r="D285" s="5"/>
      <c r="E285" s="5"/>
      <c r="F285" s="5"/>
      <c r="G285" s="5"/>
      <c r="H285" s="2">
        <f>H284+B285+F285-(C285+D285+G285)-E285</f>
        <v>6</v>
      </c>
    </row>
    <row r="286" spans="1:8" x14ac:dyDescent="0.25">
      <c r="A286" s="26">
        <v>4</v>
      </c>
      <c r="B286" s="5">
        <v>4</v>
      </c>
      <c r="C286" s="5">
        <v>1</v>
      </c>
      <c r="D286" s="5"/>
      <c r="E286" s="5"/>
      <c r="F286" s="5"/>
      <c r="G286" s="5"/>
      <c r="H286" s="2">
        <f t="shared" ref="H286:H313" si="14">H285+B286+F286-(C286+D286+G286)-E286</f>
        <v>9</v>
      </c>
    </row>
    <row r="287" spans="1:8" x14ac:dyDescent="0.25">
      <c r="A287" s="26">
        <v>5</v>
      </c>
      <c r="B287" s="5">
        <v>1</v>
      </c>
      <c r="C287" s="5"/>
      <c r="D287" s="5"/>
      <c r="E287" s="5"/>
      <c r="F287" s="5"/>
      <c r="G287" s="5"/>
      <c r="H287" s="2">
        <f t="shared" si="14"/>
        <v>10</v>
      </c>
    </row>
    <row r="288" spans="1:8" x14ac:dyDescent="0.25">
      <c r="A288" s="26">
        <v>6</v>
      </c>
      <c r="B288" s="5">
        <v>4</v>
      </c>
      <c r="C288" s="5">
        <v>3</v>
      </c>
      <c r="D288" s="5"/>
      <c r="E288" s="5"/>
      <c r="F288" s="5"/>
      <c r="G288" s="5"/>
      <c r="H288" s="2">
        <f t="shared" si="14"/>
        <v>11</v>
      </c>
    </row>
    <row r="289" spans="1:8" x14ac:dyDescent="0.25">
      <c r="A289" s="26">
        <v>7</v>
      </c>
      <c r="B289" s="5">
        <v>1</v>
      </c>
      <c r="C289" s="5">
        <v>1</v>
      </c>
      <c r="D289" s="5"/>
      <c r="E289" s="5"/>
      <c r="F289" s="5"/>
      <c r="G289" s="5"/>
      <c r="H289" s="2">
        <f t="shared" si="14"/>
        <v>11</v>
      </c>
    </row>
    <row r="290" spans="1:8" x14ac:dyDescent="0.25">
      <c r="A290" s="26">
        <v>8</v>
      </c>
      <c r="B290" s="5">
        <v>2</v>
      </c>
      <c r="C290" s="5">
        <v>3</v>
      </c>
      <c r="D290" s="5"/>
      <c r="E290" s="5"/>
      <c r="F290" s="5"/>
      <c r="G290" s="5"/>
      <c r="H290" s="2">
        <f t="shared" si="14"/>
        <v>10</v>
      </c>
    </row>
    <row r="291" spans="1:8" x14ac:dyDescent="0.25">
      <c r="A291" s="26">
        <v>9</v>
      </c>
      <c r="B291" s="5"/>
      <c r="C291" s="5">
        <v>1</v>
      </c>
      <c r="D291" s="5">
        <v>1</v>
      </c>
      <c r="E291" s="5"/>
      <c r="F291" s="5"/>
      <c r="G291" s="5"/>
      <c r="H291" s="2">
        <f t="shared" si="14"/>
        <v>8</v>
      </c>
    </row>
    <row r="292" spans="1:8" x14ac:dyDescent="0.25">
      <c r="A292" s="26">
        <v>10</v>
      </c>
      <c r="B292" s="5">
        <v>1</v>
      </c>
      <c r="C292" s="5">
        <v>1</v>
      </c>
      <c r="D292" s="5"/>
      <c r="E292" s="5"/>
      <c r="F292" s="5"/>
      <c r="G292" s="5"/>
      <c r="H292" s="2">
        <f t="shared" si="14"/>
        <v>8</v>
      </c>
    </row>
    <row r="293" spans="1:8" x14ac:dyDescent="0.25">
      <c r="A293" s="26">
        <v>11</v>
      </c>
      <c r="B293" s="5">
        <v>4</v>
      </c>
      <c r="C293" s="5">
        <v>2</v>
      </c>
      <c r="D293" s="5"/>
      <c r="E293" s="5"/>
      <c r="F293" s="5"/>
      <c r="G293" s="5"/>
      <c r="H293" s="2">
        <f t="shared" si="14"/>
        <v>10</v>
      </c>
    </row>
    <row r="294" spans="1:8" x14ac:dyDescent="0.25">
      <c r="A294" s="26">
        <v>12</v>
      </c>
      <c r="B294" s="5">
        <v>2</v>
      </c>
      <c r="C294" s="5">
        <v>1</v>
      </c>
      <c r="D294" s="5"/>
      <c r="E294" s="5"/>
      <c r="F294" s="5"/>
      <c r="G294" s="5">
        <v>1</v>
      </c>
      <c r="H294" s="2">
        <f t="shared" si="14"/>
        <v>10</v>
      </c>
    </row>
    <row r="295" spans="1:8" x14ac:dyDescent="0.25">
      <c r="A295" s="26">
        <v>13</v>
      </c>
      <c r="B295" s="5">
        <v>1</v>
      </c>
      <c r="C295" s="5">
        <v>1</v>
      </c>
      <c r="D295" s="5"/>
      <c r="E295" s="5"/>
      <c r="F295" s="5"/>
      <c r="G295" s="5"/>
      <c r="H295" s="2">
        <f t="shared" si="14"/>
        <v>10</v>
      </c>
    </row>
    <row r="296" spans="1:8" x14ac:dyDescent="0.25">
      <c r="A296" s="26">
        <v>14</v>
      </c>
      <c r="B296" s="5">
        <v>1</v>
      </c>
      <c r="C296" s="5">
        <v>1</v>
      </c>
      <c r="D296" s="5"/>
      <c r="E296" s="5"/>
      <c r="F296" s="5"/>
      <c r="G296" s="5"/>
      <c r="H296" s="2">
        <f t="shared" si="14"/>
        <v>10</v>
      </c>
    </row>
    <row r="297" spans="1:8" x14ac:dyDescent="0.25">
      <c r="A297" s="26">
        <v>15</v>
      </c>
      <c r="B297" s="5">
        <v>6</v>
      </c>
      <c r="C297" s="5">
        <v>1</v>
      </c>
      <c r="D297" s="5"/>
      <c r="E297" s="5"/>
      <c r="F297" s="5"/>
      <c r="G297" s="5"/>
      <c r="H297" s="2">
        <f t="shared" si="14"/>
        <v>15</v>
      </c>
    </row>
    <row r="298" spans="1:8" x14ac:dyDescent="0.25">
      <c r="A298" s="26">
        <v>16</v>
      </c>
      <c r="B298" s="5">
        <v>1</v>
      </c>
      <c r="C298" s="5">
        <v>3</v>
      </c>
      <c r="D298" s="5"/>
      <c r="E298" s="5"/>
      <c r="F298" s="5"/>
      <c r="G298" s="5"/>
      <c r="H298" s="2">
        <f t="shared" si="14"/>
        <v>13</v>
      </c>
    </row>
    <row r="299" spans="1:8" x14ac:dyDescent="0.25">
      <c r="A299" s="26">
        <v>17</v>
      </c>
      <c r="B299" s="5">
        <v>2</v>
      </c>
      <c r="C299" s="5">
        <v>2</v>
      </c>
      <c r="D299" s="5"/>
      <c r="E299" s="5"/>
      <c r="F299" s="5"/>
      <c r="G299" s="5"/>
      <c r="H299" s="2">
        <f t="shared" si="14"/>
        <v>13</v>
      </c>
    </row>
    <row r="300" spans="1:8" x14ac:dyDescent="0.25">
      <c r="A300" s="26">
        <v>18</v>
      </c>
      <c r="B300" s="5">
        <v>6</v>
      </c>
      <c r="C300" s="5"/>
      <c r="D300" s="5"/>
      <c r="E300" s="5"/>
      <c r="F300" s="5"/>
      <c r="G300" s="5"/>
      <c r="H300" s="2">
        <f t="shared" si="14"/>
        <v>19</v>
      </c>
    </row>
    <row r="301" spans="1:8" x14ac:dyDescent="0.25">
      <c r="A301" s="26">
        <v>19</v>
      </c>
      <c r="B301" s="5">
        <v>2</v>
      </c>
      <c r="C301" s="5">
        <v>3</v>
      </c>
      <c r="D301" s="5">
        <v>1</v>
      </c>
      <c r="E301" s="5"/>
      <c r="F301" s="5"/>
      <c r="G301" s="5"/>
      <c r="H301" s="2">
        <f t="shared" si="14"/>
        <v>17</v>
      </c>
    </row>
    <row r="302" spans="1:8" x14ac:dyDescent="0.25">
      <c r="A302" s="26">
        <v>20</v>
      </c>
      <c r="B302" s="5">
        <v>3</v>
      </c>
      <c r="C302" s="5">
        <v>6</v>
      </c>
      <c r="D302" s="5"/>
      <c r="E302" s="5"/>
      <c r="F302" s="5"/>
      <c r="G302" s="5"/>
      <c r="H302" s="2">
        <f t="shared" si="14"/>
        <v>14</v>
      </c>
    </row>
    <row r="303" spans="1:8" x14ac:dyDescent="0.25">
      <c r="A303" s="26">
        <v>21</v>
      </c>
      <c r="B303" s="5">
        <v>2</v>
      </c>
      <c r="C303" s="5">
        <v>2</v>
      </c>
      <c r="D303" s="5"/>
      <c r="E303" s="5"/>
      <c r="F303" s="5"/>
      <c r="G303" s="5"/>
      <c r="H303" s="2">
        <f t="shared" si="14"/>
        <v>14</v>
      </c>
    </row>
    <row r="304" spans="1:8" x14ac:dyDescent="0.25">
      <c r="A304" s="26">
        <v>22</v>
      </c>
      <c r="B304" s="5">
        <v>2</v>
      </c>
      <c r="C304" s="5">
        <v>2</v>
      </c>
      <c r="D304" s="5"/>
      <c r="E304" s="5"/>
      <c r="F304" s="5"/>
      <c r="G304" s="5"/>
      <c r="H304" s="2">
        <f t="shared" si="14"/>
        <v>14</v>
      </c>
    </row>
    <row r="305" spans="1:8" x14ac:dyDescent="0.25">
      <c r="A305" s="26">
        <v>23</v>
      </c>
      <c r="B305" s="5">
        <v>1</v>
      </c>
      <c r="C305" s="5"/>
      <c r="D305" s="5"/>
      <c r="E305" s="5"/>
      <c r="F305" s="5"/>
      <c r="G305" s="5"/>
      <c r="H305" s="2">
        <f t="shared" si="14"/>
        <v>15</v>
      </c>
    </row>
    <row r="306" spans="1:8" x14ac:dyDescent="0.25">
      <c r="A306" s="26">
        <v>24</v>
      </c>
      <c r="B306" s="5">
        <v>3</v>
      </c>
      <c r="C306" s="5">
        <v>4</v>
      </c>
      <c r="D306" s="5"/>
      <c r="E306" s="5"/>
      <c r="F306" s="5"/>
      <c r="G306" s="5"/>
      <c r="H306" s="2">
        <f t="shared" si="14"/>
        <v>14</v>
      </c>
    </row>
    <row r="307" spans="1:8" x14ac:dyDescent="0.25">
      <c r="A307" s="26">
        <v>25</v>
      </c>
      <c r="B307" s="5">
        <v>2</v>
      </c>
      <c r="C307" s="5">
        <v>2</v>
      </c>
      <c r="D307" s="5"/>
      <c r="E307" s="5"/>
      <c r="F307" s="5"/>
      <c r="G307" s="5"/>
      <c r="H307" s="2">
        <f t="shared" si="14"/>
        <v>14</v>
      </c>
    </row>
    <row r="308" spans="1:8" x14ac:dyDescent="0.25">
      <c r="A308" s="26">
        <v>26</v>
      </c>
      <c r="B308" s="5">
        <v>2</v>
      </c>
      <c r="C308" s="5">
        <v>2</v>
      </c>
      <c r="D308" s="5"/>
      <c r="E308" s="5"/>
      <c r="F308" s="5"/>
      <c r="G308" s="5"/>
      <c r="H308" s="2">
        <f t="shared" si="14"/>
        <v>14</v>
      </c>
    </row>
    <row r="309" spans="1:8" x14ac:dyDescent="0.25">
      <c r="A309" s="26">
        <v>27</v>
      </c>
      <c r="B309" s="5">
        <v>1</v>
      </c>
      <c r="C309" s="5">
        <v>3</v>
      </c>
      <c r="D309" s="5"/>
      <c r="E309" s="5"/>
      <c r="F309" s="5"/>
      <c r="G309" s="5"/>
      <c r="H309" s="2">
        <f t="shared" si="14"/>
        <v>12</v>
      </c>
    </row>
    <row r="310" spans="1:8" x14ac:dyDescent="0.25">
      <c r="A310" s="26">
        <v>28</v>
      </c>
      <c r="B310" s="5">
        <v>1</v>
      </c>
      <c r="C310" s="5"/>
      <c r="D310" s="5"/>
      <c r="E310" s="5"/>
      <c r="F310" s="5"/>
      <c r="G310" s="5"/>
      <c r="H310" s="2">
        <f t="shared" si="14"/>
        <v>13</v>
      </c>
    </row>
    <row r="311" spans="1:8" x14ac:dyDescent="0.25">
      <c r="A311" s="26">
        <v>29</v>
      </c>
      <c r="B311" s="5">
        <v>2</v>
      </c>
      <c r="C311" s="5">
        <v>3</v>
      </c>
      <c r="D311" s="5"/>
      <c r="E311" s="5"/>
      <c r="F311" s="5"/>
      <c r="G311" s="5"/>
      <c r="H311" s="2">
        <f t="shared" si="14"/>
        <v>12</v>
      </c>
    </row>
    <row r="312" spans="1:8" x14ac:dyDescent="0.25">
      <c r="A312" s="26">
        <v>30</v>
      </c>
      <c r="B312" s="5">
        <v>1</v>
      </c>
      <c r="C312" s="5">
        <v>2</v>
      </c>
      <c r="D312" s="5"/>
      <c r="E312" s="5"/>
      <c r="F312" s="5"/>
      <c r="G312" s="5"/>
      <c r="H312" s="2">
        <f t="shared" si="14"/>
        <v>11</v>
      </c>
    </row>
    <row r="313" spans="1:8" ht="15.75" thickBot="1" x14ac:dyDescent="0.3">
      <c r="A313" s="28">
        <v>31</v>
      </c>
      <c r="B313" s="29"/>
      <c r="C313" s="29">
        <v>1</v>
      </c>
      <c r="D313" s="29"/>
      <c r="E313" s="29"/>
      <c r="F313" s="29"/>
      <c r="G313" s="29"/>
      <c r="H313" s="2">
        <f t="shared" si="14"/>
        <v>10</v>
      </c>
    </row>
    <row r="314" spans="1:8" ht="15.75" thickBot="1" x14ac:dyDescent="0.3">
      <c r="A314" s="60" t="s">
        <v>35</v>
      </c>
      <c r="B314" s="58">
        <f>SUM(B283:B313)-E314</f>
        <v>60</v>
      </c>
      <c r="C314" s="58">
        <f t="shared" ref="C314:H314" si="15">SUM(C283:C313)</f>
        <v>56</v>
      </c>
      <c r="D314" s="58">
        <f t="shared" si="15"/>
        <v>2</v>
      </c>
      <c r="E314" s="58">
        <f t="shared" si="15"/>
        <v>0</v>
      </c>
      <c r="F314" s="58">
        <f t="shared" si="15"/>
        <v>0</v>
      </c>
      <c r="G314" s="58">
        <f t="shared" si="15"/>
        <v>1</v>
      </c>
      <c r="H314" s="59">
        <f t="shared" si="15"/>
        <v>363</v>
      </c>
    </row>
    <row r="317" spans="1:8" ht="36" x14ac:dyDescent="0.55000000000000004">
      <c r="A317" s="605" t="s">
        <v>1</v>
      </c>
      <c r="B317" s="605"/>
      <c r="C317" s="605"/>
      <c r="D317" s="605"/>
      <c r="E317" s="605"/>
      <c r="F317" s="605"/>
      <c r="G317" s="605"/>
      <c r="H317" s="605"/>
    </row>
    <row r="318" spans="1:8" ht="27" thickBot="1" x14ac:dyDescent="0.45">
      <c r="A318" s="606" t="s">
        <v>0</v>
      </c>
      <c r="B318" s="606"/>
      <c r="C318" s="606"/>
      <c r="D318" s="606"/>
      <c r="E318" s="606"/>
      <c r="F318" s="606"/>
      <c r="G318" s="606"/>
      <c r="H318" s="606"/>
    </row>
    <row r="319" spans="1:8" ht="15.75" x14ac:dyDescent="0.25">
      <c r="A319" s="39" t="s">
        <v>2</v>
      </c>
      <c r="B319" s="19" t="s">
        <v>3</v>
      </c>
      <c r="C319" s="20"/>
      <c r="D319" s="21" t="s">
        <v>52</v>
      </c>
      <c r="E319" s="607" t="s">
        <v>51</v>
      </c>
      <c r="F319" s="608"/>
      <c r="G319" s="19" t="s">
        <v>16</v>
      </c>
      <c r="H319" s="161" t="s">
        <v>63</v>
      </c>
    </row>
    <row r="320" spans="1:8" ht="15.75" x14ac:dyDescent="0.25">
      <c r="A320" s="609" t="s">
        <v>6</v>
      </c>
      <c r="B320" s="610"/>
      <c r="C320" s="610"/>
      <c r="D320" s="610"/>
      <c r="E320" s="610"/>
      <c r="F320" s="610"/>
      <c r="G320" s="611"/>
      <c r="H320" s="2">
        <f>H313</f>
        <v>10</v>
      </c>
    </row>
    <row r="321" spans="1:8" ht="15.75" x14ac:dyDescent="0.25">
      <c r="A321" s="3" t="s">
        <v>7</v>
      </c>
      <c r="B321" s="1"/>
      <c r="C321" s="1"/>
      <c r="D321" s="1"/>
      <c r="E321" s="1"/>
      <c r="F321" s="1"/>
      <c r="G321" s="1"/>
      <c r="H321" s="2">
        <v>15</v>
      </c>
    </row>
    <row r="322" spans="1:8" ht="51.75" thickBot="1" x14ac:dyDescent="0.3">
      <c r="A322" s="40" t="s">
        <v>8</v>
      </c>
      <c r="B322" s="41" t="s">
        <v>9</v>
      </c>
      <c r="C322" s="41" t="s">
        <v>10</v>
      </c>
      <c r="D322" s="41" t="s">
        <v>11</v>
      </c>
      <c r="E322" s="41" t="s">
        <v>12</v>
      </c>
      <c r="F322" s="41" t="s">
        <v>13</v>
      </c>
      <c r="G322" s="41" t="s">
        <v>14</v>
      </c>
      <c r="H322" s="42" t="s">
        <v>15</v>
      </c>
    </row>
    <row r="323" spans="1:8" x14ac:dyDescent="0.25">
      <c r="A323" s="36">
        <v>1</v>
      </c>
      <c r="B323" s="37">
        <v>6</v>
      </c>
      <c r="C323" s="37">
        <v>1</v>
      </c>
      <c r="D323" s="37"/>
      <c r="E323" s="37"/>
      <c r="F323" s="37"/>
      <c r="G323" s="37"/>
      <c r="H323" s="38">
        <f>H320+B323+F323-(C323+D323+G323)-E323</f>
        <v>15</v>
      </c>
    </row>
    <row r="324" spans="1:8" x14ac:dyDescent="0.25">
      <c r="A324" s="26">
        <v>2</v>
      </c>
      <c r="B324" s="5"/>
      <c r="C324" s="5">
        <v>2</v>
      </c>
      <c r="D324" s="5"/>
      <c r="E324" s="5"/>
      <c r="F324" s="5"/>
      <c r="G324" s="5"/>
      <c r="H324" s="2">
        <f>H323+B324+F324-(C324+D324+G324)-E324</f>
        <v>13</v>
      </c>
    </row>
    <row r="325" spans="1:8" x14ac:dyDescent="0.25">
      <c r="A325" s="26">
        <v>3</v>
      </c>
      <c r="B325" s="5">
        <v>2</v>
      </c>
      <c r="C325" s="5">
        <v>2</v>
      </c>
      <c r="D325" s="5"/>
      <c r="E325" s="5"/>
      <c r="F325" s="5"/>
      <c r="G325" s="5"/>
      <c r="H325" s="2">
        <f>H324+B325+F325-(C325+D325+G325)-E325</f>
        <v>13</v>
      </c>
    </row>
    <row r="326" spans="1:8" x14ac:dyDescent="0.25">
      <c r="A326" s="26">
        <v>4</v>
      </c>
      <c r="B326" s="5">
        <v>1</v>
      </c>
      <c r="C326" s="5">
        <v>1</v>
      </c>
      <c r="D326" s="5"/>
      <c r="E326" s="5"/>
      <c r="F326" s="5"/>
      <c r="G326" s="5"/>
      <c r="H326" s="2">
        <f t="shared" ref="H326:H352" si="16">H325+B326+F326-(C326+D326+G326)-E326</f>
        <v>13</v>
      </c>
    </row>
    <row r="327" spans="1:8" x14ac:dyDescent="0.25">
      <c r="A327" s="26">
        <v>5</v>
      </c>
      <c r="B327" s="5"/>
      <c r="C327" s="5">
        <v>1</v>
      </c>
      <c r="D327" s="5"/>
      <c r="E327" s="5"/>
      <c r="F327" s="5"/>
      <c r="G327" s="5"/>
      <c r="H327" s="2">
        <f t="shared" si="16"/>
        <v>12</v>
      </c>
    </row>
    <row r="328" spans="1:8" x14ac:dyDescent="0.25">
      <c r="A328" s="26">
        <v>6</v>
      </c>
      <c r="B328" s="5"/>
      <c r="C328" s="5">
        <v>1</v>
      </c>
      <c r="D328" s="5"/>
      <c r="E328" s="5"/>
      <c r="F328" s="5"/>
      <c r="G328" s="5"/>
      <c r="H328" s="2">
        <f t="shared" si="16"/>
        <v>11</v>
      </c>
    </row>
    <row r="329" spans="1:8" x14ac:dyDescent="0.25">
      <c r="A329" s="26">
        <v>7</v>
      </c>
      <c r="B329" s="5">
        <v>1</v>
      </c>
      <c r="C329" s="5">
        <v>1</v>
      </c>
      <c r="D329" s="5"/>
      <c r="E329" s="5"/>
      <c r="F329" s="5"/>
      <c r="G329" s="5"/>
      <c r="H329" s="2">
        <f t="shared" si="16"/>
        <v>11</v>
      </c>
    </row>
    <row r="330" spans="1:8" x14ac:dyDescent="0.25">
      <c r="A330" s="26">
        <v>8</v>
      </c>
      <c r="B330" s="5">
        <v>2</v>
      </c>
      <c r="C330" s="5">
        <v>5</v>
      </c>
      <c r="D330" s="5"/>
      <c r="E330" s="5"/>
      <c r="F330" s="5"/>
      <c r="G330" s="5"/>
      <c r="H330" s="2">
        <f t="shared" si="16"/>
        <v>8</v>
      </c>
    </row>
    <row r="331" spans="1:8" x14ac:dyDescent="0.25">
      <c r="A331" s="26">
        <v>9</v>
      </c>
      <c r="B331" s="5">
        <v>1</v>
      </c>
      <c r="C331" s="5">
        <v>1</v>
      </c>
      <c r="D331" s="5"/>
      <c r="E331" s="5"/>
      <c r="F331" s="5"/>
      <c r="G331" s="5"/>
      <c r="H331" s="2">
        <f t="shared" si="16"/>
        <v>8</v>
      </c>
    </row>
    <row r="332" spans="1:8" x14ac:dyDescent="0.25">
      <c r="A332" s="26">
        <v>10</v>
      </c>
      <c r="B332" s="5">
        <v>1</v>
      </c>
      <c r="C332" s="5"/>
      <c r="D332" s="5"/>
      <c r="E332" s="5"/>
      <c r="F332" s="5"/>
      <c r="G332" s="5"/>
      <c r="H332" s="2">
        <f t="shared" si="16"/>
        <v>9</v>
      </c>
    </row>
    <row r="333" spans="1:8" x14ac:dyDescent="0.25">
      <c r="A333" s="26">
        <v>11</v>
      </c>
      <c r="B333" s="5">
        <v>4</v>
      </c>
      <c r="C333" s="5">
        <v>1</v>
      </c>
      <c r="D333" s="5"/>
      <c r="E333" s="5"/>
      <c r="F333" s="5"/>
      <c r="G333" s="5"/>
      <c r="H333" s="2">
        <f t="shared" si="16"/>
        <v>12</v>
      </c>
    </row>
    <row r="334" spans="1:8" x14ac:dyDescent="0.25">
      <c r="A334" s="26">
        <v>12</v>
      </c>
      <c r="B334" s="5">
        <v>2</v>
      </c>
      <c r="C334" s="5">
        <v>2</v>
      </c>
      <c r="D334" s="5"/>
      <c r="E334" s="5"/>
      <c r="F334" s="5"/>
      <c r="G334" s="5"/>
      <c r="H334" s="2">
        <f t="shared" si="16"/>
        <v>12</v>
      </c>
    </row>
    <row r="335" spans="1:8" x14ac:dyDescent="0.25">
      <c r="A335" s="26">
        <v>13</v>
      </c>
      <c r="B335" s="5"/>
      <c r="C335" s="5">
        <v>2</v>
      </c>
      <c r="D335" s="5"/>
      <c r="E335" s="5"/>
      <c r="F335" s="5"/>
      <c r="G335" s="5"/>
      <c r="H335" s="2">
        <f t="shared" si="16"/>
        <v>10</v>
      </c>
    </row>
    <row r="336" spans="1:8" x14ac:dyDescent="0.25">
      <c r="A336" s="26">
        <v>14</v>
      </c>
      <c r="B336" s="5">
        <v>1</v>
      </c>
      <c r="C336" s="5">
        <v>2</v>
      </c>
      <c r="D336" s="5"/>
      <c r="E336" s="5"/>
      <c r="F336" s="5"/>
      <c r="G336" s="5"/>
      <c r="H336" s="2">
        <f t="shared" si="16"/>
        <v>9</v>
      </c>
    </row>
    <row r="337" spans="1:8" x14ac:dyDescent="0.25">
      <c r="A337" s="26">
        <v>15</v>
      </c>
      <c r="B337" s="5">
        <v>4</v>
      </c>
      <c r="C337" s="5">
        <v>2</v>
      </c>
      <c r="D337" s="5"/>
      <c r="E337" s="5"/>
      <c r="F337" s="5"/>
      <c r="G337" s="5"/>
      <c r="H337" s="2">
        <f t="shared" si="16"/>
        <v>11</v>
      </c>
    </row>
    <row r="338" spans="1:8" x14ac:dyDescent="0.25">
      <c r="A338" s="26">
        <v>16</v>
      </c>
      <c r="B338" s="5">
        <v>3</v>
      </c>
      <c r="C338" s="5">
        <v>2</v>
      </c>
      <c r="D338" s="5"/>
      <c r="E338" s="5"/>
      <c r="F338" s="5"/>
      <c r="G338" s="5"/>
      <c r="H338" s="2">
        <f t="shared" si="16"/>
        <v>12</v>
      </c>
    </row>
    <row r="339" spans="1:8" x14ac:dyDescent="0.25">
      <c r="A339" s="26">
        <v>17</v>
      </c>
      <c r="B339" s="5">
        <v>3</v>
      </c>
      <c r="C339" s="5">
        <v>1</v>
      </c>
      <c r="D339" s="5"/>
      <c r="E339" s="5"/>
      <c r="F339" s="5"/>
      <c r="G339" s="5"/>
      <c r="H339" s="2">
        <f t="shared" si="16"/>
        <v>14</v>
      </c>
    </row>
    <row r="340" spans="1:8" x14ac:dyDescent="0.25">
      <c r="A340" s="26">
        <v>18</v>
      </c>
      <c r="B340" s="5">
        <v>1</v>
      </c>
      <c r="C340" s="5">
        <v>1</v>
      </c>
      <c r="D340" s="5"/>
      <c r="E340" s="5"/>
      <c r="F340" s="5"/>
      <c r="G340" s="5"/>
      <c r="H340" s="2">
        <f t="shared" si="16"/>
        <v>14</v>
      </c>
    </row>
    <row r="341" spans="1:8" x14ac:dyDescent="0.25">
      <c r="A341" s="26">
        <v>19</v>
      </c>
      <c r="B341" s="5">
        <v>1</v>
      </c>
      <c r="C341" s="5"/>
      <c r="D341" s="5"/>
      <c r="E341" s="5"/>
      <c r="F341" s="5"/>
      <c r="G341" s="5"/>
      <c r="H341" s="2">
        <f t="shared" si="16"/>
        <v>15</v>
      </c>
    </row>
    <row r="342" spans="1:8" x14ac:dyDescent="0.25">
      <c r="A342" s="26">
        <v>20</v>
      </c>
      <c r="B342" s="5"/>
      <c r="C342" s="5"/>
      <c r="D342" s="5"/>
      <c r="E342" s="5"/>
      <c r="F342" s="5"/>
      <c r="G342" s="5"/>
      <c r="H342" s="2">
        <f t="shared" si="16"/>
        <v>15</v>
      </c>
    </row>
    <row r="343" spans="1:8" x14ac:dyDescent="0.25">
      <c r="A343" s="26">
        <v>21</v>
      </c>
      <c r="B343" s="5"/>
      <c r="C343" s="5"/>
      <c r="D343" s="5"/>
      <c r="E343" s="5"/>
      <c r="F343" s="5"/>
      <c r="G343" s="5"/>
      <c r="H343" s="2">
        <f t="shared" si="16"/>
        <v>15</v>
      </c>
    </row>
    <row r="344" spans="1:8" x14ac:dyDescent="0.25">
      <c r="A344" s="26">
        <v>22</v>
      </c>
      <c r="B344" s="5">
        <v>2</v>
      </c>
      <c r="C344" s="5">
        <v>1</v>
      </c>
      <c r="D344" s="5"/>
      <c r="E344" s="5"/>
      <c r="F344" s="5"/>
      <c r="G344" s="5"/>
      <c r="H344" s="2">
        <f t="shared" si="16"/>
        <v>16</v>
      </c>
    </row>
    <row r="345" spans="1:8" x14ac:dyDescent="0.25">
      <c r="A345" s="26">
        <v>23</v>
      </c>
      <c r="B345" s="5">
        <v>3</v>
      </c>
      <c r="C345" s="5">
        <v>1</v>
      </c>
      <c r="D345" s="5"/>
      <c r="E345" s="5"/>
      <c r="F345" s="5"/>
      <c r="G345" s="5"/>
      <c r="H345" s="2">
        <f t="shared" si="16"/>
        <v>18</v>
      </c>
    </row>
    <row r="346" spans="1:8" x14ac:dyDescent="0.25">
      <c r="A346" s="26">
        <v>24</v>
      </c>
      <c r="B346" s="5">
        <v>1</v>
      </c>
      <c r="C346" s="5">
        <v>1</v>
      </c>
      <c r="D346" s="5"/>
      <c r="E346" s="5"/>
      <c r="F346" s="5"/>
      <c r="G346" s="5"/>
      <c r="H346" s="2">
        <f t="shared" si="16"/>
        <v>18</v>
      </c>
    </row>
    <row r="347" spans="1:8" x14ac:dyDescent="0.25">
      <c r="A347" s="26">
        <v>25</v>
      </c>
      <c r="B347" s="5">
        <v>1</v>
      </c>
      <c r="C347" s="5">
        <v>3</v>
      </c>
      <c r="D347" s="5"/>
      <c r="E347" s="5"/>
      <c r="F347" s="5"/>
      <c r="G347" s="5"/>
      <c r="H347" s="2">
        <f t="shared" si="16"/>
        <v>16</v>
      </c>
    </row>
    <row r="348" spans="1:8" x14ac:dyDescent="0.25">
      <c r="A348" s="26">
        <v>26</v>
      </c>
      <c r="B348" s="5">
        <v>1</v>
      </c>
      <c r="C348" s="5">
        <v>2</v>
      </c>
      <c r="D348" s="5"/>
      <c r="E348" s="5"/>
      <c r="F348" s="5"/>
      <c r="G348" s="5"/>
      <c r="H348" s="2">
        <f t="shared" si="16"/>
        <v>15</v>
      </c>
    </row>
    <row r="349" spans="1:8" x14ac:dyDescent="0.25">
      <c r="A349" s="26">
        <v>27</v>
      </c>
      <c r="B349" s="5">
        <v>2</v>
      </c>
      <c r="C349" s="5"/>
      <c r="D349" s="5"/>
      <c r="E349" s="5"/>
      <c r="F349" s="5"/>
      <c r="G349" s="5"/>
      <c r="H349" s="2">
        <f t="shared" si="16"/>
        <v>17</v>
      </c>
    </row>
    <row r="350" spans="1:8" x14ac:dyDescent="0.25">
      <c r="A350" s="26">
        <v>28</v>
      </c>
      <c r="B350" s="5"/>
      <c r="C350" s="5">
        <v>1</v>
      </c>
      <c r="D350" s="5"/>
      <c r="E350" s="5"/>
      <c r="F350" s="5"/>
      <c r="G350" s="5"/>
      <c r="H350" s="2">
        <f t="shared" si="16"/>
        <v>16</v>
      </c>
    </row>
    <row r="351" spans="1:8" x14ac:dyDescent="0.25">
      <c r="A351" s="26">
        <v>29</v>
      </c>
      <c r="B351" s="5"/>
      <c r="C351" s="5">
        <v>1</v>
      </c>
      <c r="D351" s="5">
        <v>1</v>
      </c>
      <c r="E351" s="5"/>
      <c r="F351" s="5"/>
      <c r="G351" s="5"/>
      <c r="H351" s="2">
        <f t="shared" si="16"/>
        <v>14</v>
      </c>
    </row>
    <row r="352" spans="1:8" ht="15.75" thickBot="1" x14ac:dyDescent="0.3">
      <c r="A352" s="26">
        <v>30</v>
      </c>
      <c r="B352" s="5"/>
      <c r="C352" s="5">
        <v>2</v>
      </c>
      <c r="D352" s="5"/>
      <c r="E352" s="5"/>
      <c r="F352" s="5"/>
      <c r="G352" s="5"/>
      <c r="H352" s="2">
        <f t="shared" si="16"/>
        <v>12</v>
      </c>
    </row>
    <row r="353" spans="1:8" ht="15.75" thickBot="1" x14ac:dyDescent="0.3">
      <c r="A353" s="60" t="s">
        <v>35</v>
      </c>
      <c r="B353" s="58">
        <f>SUM(B323:B352)-E353</f>
        <v>43</v>
      </c>
      <c r="C353" s="58">
        <f t="shared" ref="C353:H353" si="17">SUM(C323:C352)</f>
        <v>40</v>
      </c>
      <c r="D353" s="58">
        <f t="shared" si="17"/>
        <v>1</v>
      </c>
      <c r="E353" s="58">
        <f t="shared" si="17"/>
        <v>0</v>
      </c>
      <c r="F353" s="58">
        <f t="shared" si="17"/>
        <v>0</v>
      </c>
      <c r="G353" s="58">
        <f t="shared" si="17"/>
        <v>0</v>
      </c>
      <c r="H353" s="59">
        <f t="shared" si="17"/>
        <v>394</v>
      </c>
    </row>
    <row r="356" spans="1:8" ht="36" x14ac:dyDescent="0.55000000000000004">
      <c r="A356" s="605" t="s">
        <v>1</v>
      </c>
      <c r="B356" s="605"/>
      <c r="C356" s="605"/>
      <c r="D356" s="605"/>
      <c r="E356" s="605"/>
      <c r="F356" s="605"/>
      <c r="G356" s="605"/>
      <c r="H356" s="605"/>
    </row>
    <row r="357" spans="1:8" ht="27" thickBot="1" x14ac:dyDescent="0.45">
      <c r="A357" s="606" t="s">
        <v>0</v>
      </c>
      <c r="B357" s="606"/>
      <c r="C357" s="606"/>
      <c r="D357" s="606"/>
      <c r="E357" s="606"/>
      <c r="F357" s="606"/>
      <c r="G357" s="606"/>
      <c r="H357" s="606"/>
    </row>
    <row r="358" spans="1:8" ht="15.75" x14ac:dyDescent="0.25">
      <c r="A358" s="39" t="s">
        <v>2</v>
      </c>
      <c r="B358" s="19" t="s">
        <v>3</v>
      </c>
      <c r="C358" s="20"/>
      <c r="D358" s="21" t="s">
        <v>52</v>
      </c>
      <c r="E358" s="607" t="s">
        <v>51</v>
      </c>
      <c r="F358" s="608"/>
      <c r="G358" s="19" t="s">
        <v>16</v>
      </c>
      <c r="H358" s="32" t="s">
        <v>64</v>
      </c>
    </row>
    <row r="359" spans="1:8" ht="15.75" x14ac:dyDescent="0.25">
      <c r="A359" s="609" t="s">
        <v>6</v>
      </c>
      <c r="B359" s="610"/>
      <c r="C359" s="610"/>
      <c r="D359" s="610"/>
      <c r="E359" s="610"/>
      <c r="F359" s="610"/>
      <c r="G359" s="611"/>
      <c r="H359" s="2">
        <f>H352</f>
        <v>12</v>
      </c>
    </row>
    <row r="360" spans="1:8" ht="15.75" x14ac:dyDescent="0.25">
      <c r="A360" s="3" t="s">
        <v>7</v>
      </c>
      <c r="B360" s="1"/>
      <c r="C360" s="1"/>
      <c r="D360" s="1"/>
      <c r="E360" s="1"/>
      <c r="F360" s="1"/>
      <c r="G360" s="1"/>
      <c r="H360" s="2">
        <v>15</v>
      </c>
    </row>
    <row r="361" spans="1:8" ht="51.75" thickBot="1" x14ac:dyDescent="0.3">
      <c r="A361" s="40" t="s">
        <v>8</v>
      </c>
      <c r="B361" s="41" t="s">
        <v>9</v>
      </c>
      <c r="C361" s="41" t="s">
        <v>10</v>
      </c>
      <c r="D361" s="41" t="s">
        <v>11</v>
      </c>
      <c r="E361" s="41" t="s">
        <v>12</v>
      </c>
      <c r="F361" s="41" t="s">
        <v>13</v>
      </c>
      <c r="G361" s="41" t="s">
        <v>14</v>
      </c>
      <c r="H361" s="42" t="s">
        <v>15</v>
      </c>
    </row>
    <row r="362" spans="1:8" x14ac:dyDescent="0.25">
      <c r="A362" s="36">
        <v>1</v>
      </c>
      <c r="B362" s="527">
        <v>5</v>
      </c>
      <c r="C362" s="527">
        <v>5</v>
      </c>
      <c r="D362" s="527"/>
      <c r="E362" s="527"/>
      <c r="F362" s="527"/>
      <c r="G362" s="527"/>
      <c r="H362" s="38">
        <f>H359+B362+F362-(C362+D362+G362)-E362</f>
        <v>12</v>
      </c>
    </row>
    <row r="363" spans="1:8" x14ac:dyDescent="0.25">
      <c r="A363" s="26">
        <v>2</v>
      </c>
      <c r="B363" s="268">
        <v>1</v>
      </c>
      <c r="C363" s="268">
        <v>1</v>
      </c>
      <c r="D363" s="268"/>
      <c r="E363" s="268"/>
      <c r="F363" s="268"/>
      <c r="G363" s="268"/>
      <c r="H363" s="2">
        <f>H362+B363+F363-(C363+D363+G363)-E363</f>
        <v>12</v>
      </c>
    </row>
    <row r="364" spans="1:8" x14ac:dyDescent="0.25">
      <c r="A364" s="26">
        <v>3</v>
      </c>
      <c r="B364" s="268">
        <v>1</v>
      </c>
      <c r="C364" s="268">
        <v>1</v>
      </c>
      <c r="D364" s="268"/>
      <c r="E364" s="268"/>
      <c r="F364" s="268"/>
      <c r="G364" s="268"/>
      <c r="H364" s="2">
        <f>H363+B364+F364-(C364+D364+G364)-E364</f>
        <v>12</v>
      </c>
    </row>
    <row r="365" spans="1:8" x14ac:dyDescent="0.25">
      <c r="A365" s="26">
        <v>4</v>
      </c>
      <c r="B365" s="268">
        <v>2</v>
      </c>
      <c r="C365" s="268">
        <v>1</v>
      </c>
      <c r="D365" s="268"/>
      <c r="E365" s="268"/>
      <c r="F365" s="268"/>
      <c r="G365" s="268"/>
      <c r="H365" s="2">
        <f t="shared" ref="H365:H392" si="18">H364+B365+F365-(C365+D365+G365)-E365</f>
        <v>13</v>
      </c>
    </row>
    <row r="366" spans="1:8" x14ac:dyDescent="0.25">
      <c r="A366" s="26">
        <v>5</v>
      </c>
      <c r="B366" s="268">
        <v>4</v>
      </c>
      <c r="C366" s="268"/>
      <c r="D366" s="268">
        <v>1</v>
      </c>
      <c r="E366" s="268"/>
      <c r="F366" s="268"/>
      <c r="G366" s="268"/>
      <c r="H366" s="2">
        <f t="shared" si="18"/>
        <v>16</v>
      </c>
    </row>
    <row r="367" spans="1:8" x14ac:dyDescent="0.25">
      <c r="A367" s="26">
        <v>6</v>
      </c>
      <c r="B367" s="268">
        <v>2</v>
      </c>
      <c r="C367" s="268">
        <v>1</v>
      </c>
      <c r="D367" s="268"/>
      <c r="E367" s="268"/>
      <c r="F367" s="268"/>
      <c r="G367" s="268"/>
      <c r="H367" s="2">
        <f t="shared" si="18"/>
        <v>17</v>
      </c>
    </row>
    <row r="368" spans="1:8" x14ac:dyDescent="0.25">
      <c r="A368" s="26">
        <v>7</v>
      </c>
      <c r="B368" s="268">
        <v>2</v>
      </c>
      <c r="C368" s="268">
        <v>1</v>
      </c>
      <c r="D368" s="268"/>
      <c r="E368" s="268"/>
      <c r="F368" s="268"/>
      <c r="G368" s="268"/>
      <c r="H368" s="2">
        <f t="shared" si="18"/>
        <v>18</v>
      </c>
    </row>
    <row r="369" spans="1:8" x14ac:dyDescent="0.25">
      <c r="A369" s="26">
        <v>8</v>
      </c>
      <c r="B369" s="268">
        <v>1</v>
      </c>
      <c r="C369" s="268">
        <v>4</v>
      </c>
      <c r="D369" s="268"/>
      <c r="E369" s="268"/>
      <c r="F369" s="268"/>
      <c r="G369" s="268"/>
      <c r="H369" s="2">
        <f t="shared" si="18"/>
        <v>15</v>
      </c>
    </row>
    <row r="370" spans="1:8" x14ac:dyDescent="0.25">
      <c r="A370" s="26">
        <v>9</v>
      </c>
      <c r="B370" s="268">
        <v>2</v>
      </c>
      <c r="C370" s="268">
        <v>3</v>
      </c>
      <c r="D370" s="268"/>
      <c r="E370" s="268"/>
      <c r="F370" s="268"/>
      <c r="G370" s="268"/>
      <c r="H370" s="2">
        <f t="shared" si="18"/>
        <v>14</v>
      </c>
    </row>
    <row r="371" spans="1:8" x14ac:dyDescent="0.25">
      <c r="A371" s="26">
        <v>10</v>
      </c>
      <c r="B371" s="268">
        <v>2</v>
      </c>
      <c r="C371" s="268">
        <v>1</v>
      </c>
      <c r="D371" s="268"/>
      <c r="E371" s="268"/>
      <c r="F371" s="268"/>
      <c r="G371" s="268"/>
      <c r="H371" s="2">
        <f t="shared" si="18"/>
        <v>15</v>
      </c>
    </row>
    <row r="372" spans="1:8" x14ac:dyDescent="0.25">
      <c r="A372" s="26">
        <v>11</v>
      </c>
      <c r="B372" s="268"/>
      <c r="C372" s="268">
        <v>2</v>
      </c>
      <c r="D372" s="268"/>
      <c r="E372" s="268"/>
      <c r="F372" s="268"/>
      <c r="G372" s="268"/>
      <c r="H372" s="2">
        <f t="shared" si="18"/>
        <v>13</v>
      </c>
    </row>
    <row r="373" spans="1:8" x14ac:dyDescent="0.25">
      <c r="A373" s="26">
        <v>12</v>
      </c>
      <c r="B373" s="268">
        <v>2</v>
      </c>
      <c r="C373" s="268">
        <v>1</v>
      </c>
      <c r="D373" s="268"/>
      <c r="E373" s="268"/>
      <c r="F373" s="268"/>
      <c r="G373" s="268"/>
      <c r="H373" s="2">
        <f t="shared" si="18"/>
        <v>14</v>
      </c>
    </row>
    <row r="374" spans="1:8" x14ac:dyDescent="0.25">
      <c r="A374" s="26">
        <v>13</v>
      </c>
      <c r="B374" s="268">
        <v>2</v>
      </c>
      <c r="C374" s="268">
        <v>4</v>
      </c>
      <c r="D374" s="268"/>
      <c r="E374" s="268"/>
      <c r="F374" s="268"/>
      <c r="G374" s="268"/>
      <c r="H374" s="2">
        <f t="shared" si="18"/>
        <v>12</v>
      </c>
    </row>
    <row r="375" spans="1:8" x14ac:dyDescent="0.25">
      <c r="A375" s="26">
        <v>14</v>
      </c>
      <c r="B375" s="268">
        <v>1</v>
      </c>
      <c r="C375" s="268">
        <v>4</v>
      </c>
      <c r="D375" s="268"/>
      <c r="E375" s="268"/>
      <c r="F375" s="268"/>
      <c r="G375" s="268"/>
      <c r="H375" s="2">
        <f t="shared" si="18"/>
        <v>9</v>
      </c>
    </row>
    <row r="376" spans="1:8" x14ac:dyDescent="0.25">
      <c r="A376" s="26">
        <v>15</v>
      </c>
      <c r="B376" s="268"/>
      <c r="C376" s="268">
        <v>3</v>
      </c>
      <c r="D376" s="268"/>
      <c r="E376" s="268"/>
      <c r="F376" s="268"/>
      <c r="G376" s="268"/>
      <c r="H376" s="2">
        <f t="shared" si="18"/>
        <v>6</v>
      </c>
    </row>
    <row r="377" spans="1:8" x14ac:dyDescent="0.25">
      <c r="A377" s="26">
        <v>16</v>
      </c>
      <c r="B377" s="268">
        <v>2</v>
      </c>
      <c r="C377" s="268">
        <v>1</v>
      </c>
      <c r="D377" s="268"/>
      <c r="E377" s="268"/>
      <c r="F377" s="268"/>
      <c r="G377" s="268"/>
      <c r="H377" s="2">
        <f t="shared" si="18"/>
        <v>7</v>
      </c>
    </row>
    <row r="378" spans="1:8" x14ac:dyDescent="0.25">
      <c r="A378" s="26">
        <v>17</v>
      </c>
      <c r="B378" s="268">
        <v>5</v>
      </c>
      <c r="C378" s="268">
        <v>1</v>
      </c>
      <c r="D378" s="268"/>
      <c r="E378" s="268"/>
      <c r="F378" s="268"/>
      <c r="G378" s="268"/>
      <c r="H378" s="2">
        <f t="shared" si="18"/>
        <v>11</v>
      </c>
    </row>
    <row r="379" spans="1:8" x14ac:dyDescent="0.25">
      <c r="A379" s="26">
        <v>18</v>
      </c>
      <c r="B379" s="268"/>
      <c r="C379" s="268"/>
      <c r="D379" s="268"/>
      <c r="E379" s="268"/>
      <c r="F379" s="268"/>
      <c r="G379" s="268"/>
      <c r="H379" s="2">
        <f t="shared" si="18"/>
        <v>11</v>
      </c>
    </row>
    <row r="380" spans="1:8" x14ac:dyDescent="0.25">
      <c r="A380" s="26">
        <v>19</v>
      </c>
      <c r="B380" s="268">
        <v>1</v>
      </c>
      <c r="C380" s="268"/>
      <c r="D380" s="268"/>
      <c r="E380" s="268"/>
      <c r="F380" s="268"/>
      <c r="G380" s="268"/>
      <c r="H380" s="2">
        <f t="shared" si="18"/>
        <v>12</v>
      </c>
    </row>
    <row r="381" spans="1:8" x14ac:dyDescent="0.25">
      <c r="A381" s="26">
        <v>20</v>
      </c>
      <c r="B381" s="268">
        <v>3</v>
      </c>
      <c r="C381" s="268">
        <v>2</v>
      </c>
      <c r="D381" s="268">
        <v>1</v>
      </c>
      <c r="E381" s="268"/>
      <c r="F381" s="268"/>
      <c r="G381" s="268"/>
      <c r="H381" s="2">
        <f t="shared" si="18"/>
        <v>12</v>
      </c>
    </row>
    <row r="382" spans="1:8" x14ac:dyDescent="0.25">
      <c r="A382" s="26">
        <v>21</v>
      </c>
      <c r="B382" s="268">
        <v>5</v>
      </c>
      <c r="C382" s="268">
        <v>4</v>
      </c>
      <c r="D382" s="268"/>
      <c r="E382" s="268"/>
      <c r="F382" s="268"/>
      <c r="G382" s="268"/>
      <c r="H382" s="2">
        <f t="shared" si="18"/>
        <v>13</v>
      </c>
    </row>
    <row r="383" spans="1:8" x14ac:dyDescent="0.25">
      <c r="A383" s="26">
        <v>22</v>
      </c>
      <c r="B383" s="268">
        <v>6</v>
      </c>
      <c r="C383" s="268">
        <v>1</v>
      </c>
      <c r="D383" s="268"/>
      <c r="E383" s="268"/>
      <c r="F383" s="268"/>
      <c r="G383" s="268"/>
      <c r="H383" s="2">
        <f t="shared" si="18"/>
        <v>18</v>
      </c>
    </row>
    <row r="384" spans="1:8" x14ac:dyDescent="0.25">
      <c r="A384" s="26">
        <v>23</v>
      </c>
      <c r="B384" s="268">
        <v>3</v>
      </c>
      <c r="C384" s="268">
        <v>5</v>
      </c>
      <c r="D384" s="268"/>
      <c r="E384" s="268"/>
      <c r="F384" s="268"/>
      <c r="G384" s="268"/>
      <c r="H384" s="2">
        <f t="shared" si="18"/>
        <v>16</v>
      </c>
    </row>
    <row r="385" spans="1:8" x14ac:dyDescent="0.25">
      <c r="A385" s="26">
        <v>24</v>
      </c>
      <c r="B385" s="268">
        <v>3</v>
      </c>
      <c r="C385" s="268">
        <v>4</v>
      </c>
      <c r="D385" s="268"/>
      <c r="E385" s="268"/>
      <c r="F385" s="268"/>
      <c r="G385" s="268"/>
      <c r="H385" s="2">
        <f t="shared" si="18"/>
        <v>15</v>
      </c>
    </row>
    <row r="386" spans="1:8" x14ac:dyDescent="0.25">
      <c r="A386" s="26">
        <v>25</v>
      </c>
      <c r="B386" s="268">
        <v>1</v>
      </c>
      <c r="C386" s="268">
        <v>2</v>
      </c>
      <c r="D386" s="268"/>
      <c r="E386" s="268"/>
      <c r="F386" s="268"/>
      <c r="G386" s="268"/>
      <c r="H386" s="2">
        <f t="shared" si="18"/>
        <v>14</v>
      </c>
    </row>
    <row r="387" spans="1:8" x14ac:dyDescent="0.25">
      <c r="A387" s="26">
        <v>26</v>
      </c>
      <c r="B387" s="268">
        <v>1</v>
      </c>
      <c r="C387" s="268"/>
      <c r="D387" s="268"/>
      <c r="E387" s="268"/>
      <c r="F387" s="268"/>
      <c r="G387" s="268"/>
      <c r="H387" s="2">
        <f t="shared" si="18"/>
        <v>15</v>
      </c>
    </row>
    <row r="388" spans="1:8" x14ac:dyDescent="0.25">
      <c r="A388" s="26">
        <v>27</v>
      </c>
      <c r="B388" s="268">
        <v>4</v>
      </c>
      <c r="C388" s="268">
        <v>2</v>
      </c>
      <c r="D388" s="268"/>
      <c r="E388" s="268"/>
      <c r="F388" s="268"/>
      <c r="G388" s="268"/>
      <c r="H388" s="2">
        <f t="shared" si="18"/>
        <v>17</v>
      </c>
    </row>
    <row r="389" spans="1:8" x14ac:dyDescent="0.25">
      <c r="A389" s="26">
        <v>28</v>
      </c>
      <c r="B389" s="268">
        <v>1</v>
      </c>
      <c r="C389" s="268">
        <v>4</v>
      </c>
      <c r="D389" s="268"/>
      <c r="E389" s="268"/>
      <c r="F389" s="268"/>
      <c r="G389" s="268"/>
      <c r="H389" s="2">
        <f t="shared" si="18"/>
        <v>14</v>
      </c>
    </row>
    <row r="390" spans="1:8" x14ac:dyDescent="0.25">
      <c r="A390" s="26">
        <v>29</v>
      </c>
      <c r="B390" s="268">
        <v>2</v>
      </c>
      <c r="C390" s="268">
        <v>2</v>
      </c>
      <c r="D390" s="268"/>
      <c r="E390" s="268"/>
      <c r="F390" s="268"/>
      <c r="G390" s="268"/>
      <c r="H390" s="2">
        <f t="shared" si="18"/>
        <v>14</v>
      </c>
    </row>
    <row r="391" spans="1:8" x14ac:dyDescent="0.25">
      <c r="A391" s="26">
        <v>30</v>
      </c>
      <c r="B391" s="268"/>
      <c r="C391" s="268">
        <v>4</v>
      </c>
      <c r="D391" s="268"/>
      <c r="E391" s="268"/>
      <c r="F391" s="268"/>
      <c r="G391" s="268"/>
      <c r="H391" s="2">
        <f t="shared" si="18"/>
        <v>10</v>
      </c>
    </row>
    <row r="392" spans="1:8" ht="15.75" thickBot="1" x14ac:dyDescent="0.3">
      <c r="A392" s="64">
        <v>31</v>
      </c>
      <c r="B392" s="528">
        <v>1</v>
      </c>
      <c r="C392" s="528">
        <v>1</v>
      </c>
      <c r="D392" s="528"/>
      <c r="E392" s="528"/>
      <c r="F392" s="528"/>
      <c r="G392" s="528"/>
      <c r="H392" s="2">
        <f t="shared" si="18"/>
        <v>10</v>
      </c>
    </row>
    <row r="393" spans="1:8" ht="15.75" thickBot="1" x14ac:dyDescent="0.3">
      <c r="A393" s="60" t="s">
        <v>35</v>
      </c>
      <c r="B393" s="58">
        <f>SUM(B362:B392)-E393</f>
        <v>65</v>
      </c>
      <c r="C393" s="58">
        <f t="shared" ref="C393:H393" si="19">SUM(C362:C392)</f>
        <v>65</v>
      </c>
      <c r="D393" s="58">
        <f t="shared" si="19"/>
        <v>2</v>
      </c>
      <c r="E393" s="58">
        <f t="shared" si="19"/>
        <v>0</v>
      </c>
      <c r="F393" s="58">
        <f t="shared" si="19"/>
        <v>0</v>
      </c>
      <c r="G393" s="58">
        <f t="shared" si="19"/>
        <v>0</v>
      </c>
      <c r="H393" s="59">
        <f t="shared" si="19"/>
        <v>407</v>
      </c>
    </row>
    <row r="396" spans="1:8" ht="36" x14ac:dyDescent="0.55000000000000004">
      <c r="A396" s="605" t="s">
        <v>1</v>
      </c>
      <c r="B396" s="605"/>
      <c r="C396" s="605"/>
      <c r="D396" s="605"/>
      <c r="E396" s="605"/>
      <c r="F396" s="605"/>
      <c r="G396" s="605"/>
      <c r="H396" s="605"/>
    </row>
    <row r="397" spans="1:8" ht="27" thickBot="1" x14ac:dyDescent="0.45">
      <c r="A397" s="606" t="s">
        <v>0</v>
      </c>
      <c r="B397" s="606"/>
      <c r="C397" s="606"/>
      <c r="D397" s="606"/>
      <c r="E397" s="606"/>
      <c r="F397" s="606"/>
      <c r="G397" s="606"/>
      <c r="H397" s="606"/>
    </row>
    <row r="398" spans="1:8" ht="15.75" x14ac:dyDescent="0.25">
      <c r="A398" s="39" t="s">
        <v>2</v>
      </c>
      <c r="B398" s="19" t="s">
        <v>3</v>
      </c>
      <c r="C398" s="20"/>
      <c r="D398" s="21" t="s">
        <v>52</v>
      </c>
      <c r="E398" s="607" t="s">
        <v>51</v>
      </c>
      <c r="F398" s="608"/>
      <c r="G398" s="19" t="s">
        <v>16</v>
      </c>
      <c r="H398" s="32" t="s">
        <v>66</v>
      </c>
    </row>
    <row r="399" spans="1:8" ht="15.75" x14ac:dyDescent="0.25">
      <c r="A399" s="609" t="s">
        <v>6</v>
      </c>
      <c r="B399" s="610"/>
      <c r="C399" s="610"/>
      <c r="D399" s="610"/>
      <c r="E399" s="610"/>
      <c r="F399" s="610"/>
      <c r="G399" s="611"/>
      <c r="H399" s="2">
        <f>H392</f>
        <v>10</v>
      </c>
    </row>
    <row r="400" spans="1:8" ht="15.75" x14ac:dyDescent="0.25">
      <c r="A400" s="3" t="s">
        <v>7</v>
      </c>
      <c r="B400" s="1"/>
      <c r="C400" s="1"/>
      <c r="D400" s="1"/>
      <c r="E400" s="1"/>
      <c r="F400" s="1"/>
      <c r="G400" s="1"/>
      <c r="H400" s="2">
        <v>15</v>
      </c>
    </row>
    <row r="401" spans="1:8" ht="51.75" thickBot="1" x14ac:dyDescent="0.3">
      <c r="A401" s="40" t="s">
        <v>8</v>
      </c>
      <c r="B401" s="41" t="s">
        <v>9</v>
      </c>
      <c r="C401" s="41" t="s">
        <v>10</v>
      </c>
      <c r="D401" s="41" t="s">
        <v>11</v>
      </c>
      <c r="E401" s="41" t="s">
        <v>12</v>
      </c>
      <c r="F401" s="41" t="s">
        <v>13</v>
      </c>
      <c r="G401" s="41" t="s">
        <v>14</v>
      </c>
      <c r="H401" s="42" t="s">
        <v>15</v>
      </c>
    </row>
    <row r="402" spans="1:8" x14ac:dyDescent="0.25">
      <c r="A402" s="36">
        <v>1</v>
      </c>
      <c r="B402" s="527">
        <v>3</v>
      </c>
      <c r="C402" s="527">
        <v>4</v>
      </c>
      <c r="D402" s="527"/>
      <c r="E402" s="527"/>
      <c r="F402" s="527"/>
      <c r="G402" s="527"/>
      <c r="H402" s="38">
        <f>H399+B402+F402-(C402+D402+G402)-E402</f>
        <v>9</v>
      </c>
    </row>
    <row r="403" spans="1:8" x14ac:dyDescent="0.25">
      <c r="A403" s="26">
        <v>2</v>
      </c>
      <c r="B403" s="268">
        <v>1</v>
      </c>
      <c r="C403" s="268">
        <v>2</v>
      </c>
      <c r="D403" s="268"/>
      <c r="E403" s="268"/>
      <c r="F403" s="268"/>
      <c r="G403" s="268"/>
      <c r="H403" s="2">
        <f>H402+B403+F403-(C403+D403+G403)-E403</f>
        <v>8</v>
      </c>
    </row>
    <row r="404" spans="1:8" x14ac:dyDescent="0.25">
      <c r="A404" s="26">
        <v>3</v>
      </c>
      <c r="B404" s="268">
        <v>1</v>
      </c>
      <c r="C404" s="268">
        <v>1</v>
      </c>
      <c r="D404" s="268"/>
      <c r="E404" s="268"/>
      <c r="F404" s="268"/>
      <c r="G404" s="268"/>
      <c r="H404" s="2">
        <f>H403+B404+F404-(C404+D404+G404)-E404</f>
        <v>8</v>
      </c>
    </row>
    <row r="405" spans="1:8" x14ac:dyDescent="0.25">
      <c r="A405" s="26">
        <v>4</v>
      </c>
      <c r="B405" s="268"/>
      <c r="C405" s="268"/>
      <c r="D405" s="268"/>
      <c r="E405" s="268"/>
      <c r="F405" s="268"/>
      <c r="G405" s="268"/>
      <c r="H405" s="2">
        <f t="shared" ref="H405:H431" si="20">H404+B405+F405-(C405+D405+G405)-E405</f>
        <v>8</v>
      </c>
    </row>
    <row r="406" spans="1:8" x14ac:dyDescent="0.25">
      <c r="A406" s="26">
        <v>5</v>
      </c>
      <c r="B406" s="268"/>
      <c r="C406" s="268">
        <v>1</v>
      </c>
      <c r="D406" s="268"/>
      <c r="E406" s="268"/>
      <c r="F406" s="268"/>
      <c r="G406" s="268"/>
      <c r="H406" s="2">
        <f t="shared" si="20"/>
        <v>7</v>
      </c>
    </row>
    <row r="407" spans="1:8" x14ac:dyDescent="0.25">
      <c r="A407" s="26">
        <v>6</v>
      </c>
      <c r="B407" s="268">
        <v>5</v>
      </c>
      <c r="C407" s="268">
        <v>4</v>
      </c>
      <c r="D407" s="268"/>
      <c r="E407" s="268"/>
      <c r="F407" s="268"/>
      <c r="G407" s="268"/>
      <c r="H407" s="2">
        <f t="shared" si="20"/>
        <v>8</v>
      </c>
    </row>
    <row r="408" spans="1:8" x14ac:dyDescent="0.25">
      <c r="A408" s="26">
        <v>7</v>
      </c>
      <c r="B408" s="268">
        <v>1</v>
      </c>
      <c r="C408" s="268">
        <v>1</v>
      </c>
      <c r="D408" s="268"/>
      <c r="E408" s="268"/>
      <c r="F408" s="268"/>
      <c r="G408" s="268"/>
      <c r="H408" s="2">
        <f t="shared" si="20"/>
        <v>8</v>
      </c>
    </row>
    <row r="409" spans="1:8" x14ac:dyDescent="0.25">
      <c r="A409" s="26">
        <v>8</v>
      </c>
      <c r="B409" s="268"/>
      <c r="C409" s="268"/>
      <c r="D409" s="268"/>
      <c r="E409" s="268"/>
      <c r="F409" s="268"/>
      <c r="G409" s="268"/>
      <c r="H409" s="2">
        <f t="shared" si="20"/>
        <v>8</v>
      </c>
    </row>
    <row r="410" spans="1:8" x14ac:dyDescent="0.25">
      <c r="A410" s="26">
        <v>9</v>
      </c>
      <c r="B410" s="268">
        <v>1</v>
      </c>
      <c r="C410" s="268">
        <v>2</v>
      </c>
      <c r="D410" s="268"/>
      <c r="E410" s="268"/>
      <c r="F410" s="268"/>
      <c r="G410" s="268"/>
      <c r="H410" s="2">
        <f t="shared" si="20"/>
        <v>7</v>
      </c>
    </row>
    <row r="411" spans="1:8" x14ac:dyDescent="0.25">
      <c r="A411" s="26">
        <v>10</v>
      </c>
      <c r="B411" s="268">
        <v>3</v>
      </c>
      <c r="C411" s="268">
        <v>1</v>
      </c>
      <c r="D411" s="268"/>
      <c r="E411" s="268"/>
      <c r="F411" s="268"/>
      <c r="G411" s="268"/>
      <c r="H411" s="2">
        <f t="shared" si="20"/>
        <v>9</v>
      </c>
    </row>
    <row r="412" spans="1:8" x14ac:dyDescent="0.25">
      <c r="A412" s="26">
        <v>11</v>
      </c>
      <c r="B412" s="268">
        <v>4</v>
      </c>
      <c r="C412" s="268">
        <v>2</v>
      </c>
      <c r="D412" s="268"/>
      <c r="E412" s="268"/>
      <c r="F412" s="268"/>
      <c r="G412" s="268"/>
      <c r="H412" s="2">
        <f t="shared" si="20"/>
        <v>11</v>
      </c>
    </row>
    <row r="413" spans="1:8" x14ac:dyDescent="0.25">
      <c r="A413" s="26">
        <v>12</v>
      </c>
      <c r="B413" s="268">
        <v>1</v>
      </c>
      <c r="C413" s="268"/>
      <c r="D413" s="268">
        <v>1</v>
      </c>
      <c r="E413" s="268"/>
      <c r="F413" s="268"/>
      <c r="G413" s="268"/>
      <c r="H413" s="2">
        <f t="shared" si="20"/>
        <v>11</v>
      </c>
    </row>
    <row r="414" spans="1:8" x14ac:dyDescent="0.25">
      <c r="A414" s="26">
        <v>13</v>
      </c>
      <c r="B414" s="268">
        <v>2</v>
      </c>
      <c r="C414" s="268">
        <v>4</v>
      </c>
      <c r="D414" s="268"/>
      <c r="E414" s="268"/>
      <c r="F414" s="268"/>
      <c r="G414" s="268"/>
      <c r="H414" s="2">
        <f t="shared" si="20"/>
        <v>9</v>
      </c>
    </row>
    <row r="415" spans="1:8" x14ac:dyDescent="0.25">
      <c r="A415" s="26">
        <v>14</v>
      </c>
      <c r="B415" s="268">
        <v>2</v>
      </c>
      <c r="C415" s="268">
        <v>2</v>
      </c>
      <c r="D415" s="268"/>
      <c r="E415" s="268"/>
      <c r="F415" s="268"/>
      <c r="G415" s="268"/>
      <c r="H415" s="2">
        <f t="shared" si="20"/>
        <v>9</v>
      </c>
    </row>
    <row r="416" spans="1:8" x14ac:dyDescent="0.25">
      <c r="A416" s="26">
        <v>15</v>
      </c>
      <c r="B416" s="268">
        <v>1</v>
      </c>
      <c r="C416" s="268"/>
      <c r="D416" s="268"/>
      <c r="E416" s="268"/>
      <c r="F416" s="268"/>
      <c r="G416" s="268"/>
      <c r="H416" s="2">
        <f t="shared" si="20"/>
        <v>10</v>
      </c>
    </row>
    <row r="417" spans="1:8" x14ac:dyDescent="0.25">
      <c r="A417" s="26">
        <v>16</v>
      </c>
      <c r="B417" s="268">
        <v>3</v>
      </c>
      <c r="C417" s="268"/>
      <c r="D417" s="268"/>
      <c r="E417" s="268"/>
      <c r="F417" s="268"/>
      <c r="G417" s="268"/>
      <c r="H417" s="2">
        <f t="shared" si="20"/>
        <v>13</v>
      </c>
    </row>
    <row r="418" spans="1:8" x14ac:dyDescent="0.25">
      <c r="A418" s="26">
        <v>17</v>
      </c>
      <c r="B418" s="268">
        <v>2</v>
      </c>
      <c r="C418" s="268">
        <v>2</v>
      </c>
      <c r="D418" s="268"/>
      <c r="E418" s="268"/>
      <c r="F418" s="268"/>
      <c r="G418" s="268"/>
      <c r="H418" s="2">
        <f t="shared" si="20"/>
        <v>13</v>
      </c>
    </row>
    <row r="419" spans="1:8" x14ac:dyDescent="0.25">
      <c r="A419" s="26">
        <v>18</v>
      </c>
      <c r="B419" s="268">
        <v>5</v>
      </c>
      <c r="C419" s="268">
        <v>2</v>
      </c>
      <c r="D419" s="268"/>
      <c r="E419" s="268"/>
      <c r="F419" s="268"/>
      <c r="G419" s="268"/>
      <c r="H419" s="2">
        <f t="shared" si="20"/>
        <v>16</v>
      </c>
    </row>
    <row r="420" spans="1:8" x14ac:dyDescent="0.25">
      <c r="A420" s="26">
        <v>19</v>
      </c>
      <c r="B420" s="268"/>
      <c r="C420" s="268"/>
      <c r="D420" s="268"/>
      <c r="E420" s="268"/>
      <c r="F420" s="268"/>
      <c r="G420" s="268"/>
      <c r="H420" s="2">
        <f t="shared" si="20"/>
        <v>16</v>
      </c>
    </row>
    <row r="421" spans="1:8" x14ac:dyDescent="0.25">
      <c r="A421" s="26">
        <v>20</v>
      </c>
      <c r="B421" s="268">
        <v>2</v>
      </c>
      <c r="C421" s="268">
        <v>3</v>
      </c>
      <c r="D421" s="268"/>
      <c r="E421" s="268"/>
      <c r="F421" s="268"/>
      <c r="G421" s="268"/>
      <c r="H421" s="2">
        <f t="shared" si="20"/>
        <v>15</v>
      </c>
    </row>
    <row r="422" spans="1:8" x14ac:dyDescent="0.25">
      <c r="A422" s="26">
        <v>21</v>
      </c>
      <c r="B422" s="268">
        <v>2</v>
      </c>
      <c r="C422" s="268">
        <v>2</v>
      </c>
      <c r="D422" s="268"/>
      <c r="E422" s="268"/>
      <c r="F422" s="268"/>
      <c r="G422" s="268"/>
      <c r="H422" s="2">
        <f t="shared" si="20"/>
        <v>15</v>
      </c>
    </row>
    <row r="423" spans="1:8" x14ac:dyDescent="0.25">
      <c r="A423" s="26">
        <v>22</v>
      </c>
      <c r="B423" s="268">
        <v>2</v>
      </c>
      <c r="C423" s="268"/>
      <c r="D423" s="268"/>
      <c r="E423" s="268"/>
      <c r="F423" s="268"/>
      <c r="G423" s="268"/>
      <c r="H423" s="2">
        <f t="shared" si="20"/>
        <v>17</v>
      </c>
    </row>
    <row r="424" spans="1:8" x14ac:dyDescent="0.25">
      <c r="A424" s="26">
        <v>23</v>
      </c>
      <c r="B424" s="268">
        <v>1</v>
      </c>
      <c r="C424" s="268"/>
      <c r="D424" s="268"/>
      <c r="E424" s="268"/>
      <c r="F424" s="268"/>
      <c r="G424" s="268"/>
      <c r="H424" s="2">
        <f t="shared" si="20"/>
        <v>18</v>
      </c>
    </row>
    <row r="425" spans="1:8" x14ac:dyDescent="0.25">
      <c r="A425" s="26">
        <v>24</v>
      </c>
      <c r="B425" s="268">
        <v>2</v>
      </c>
      <c r="C425" s="268">
        <v>3</v>
      </c>
      <c r="D425" s="268"/>
      <c r="E425" s="268"/>
      <c r="F425" s="268"/>
      <c r="G425" s="268"/>
      <c r="H425" s="2">
        <f t="shared" si="20"/>
        <v>17</v>
      </c>
    </row>
    <row r="426" spans="1:8" x14ac:dyDescent="0.25">
      <c r="A426" s="26">
        <v>25</v>
      </c>
      <c r="B426" s="268"/>
      <c r="C426" s="268">
        <v>2</v>
      </c>
      <c r="D426" s="268"/>
      <c r="E426" s="268"/>
      <c r="F426" s="268"/>
      <c r="G426" s="268"/>
      <c r="H426" s="2">
        <f t="shared" si="20"/>
        <v>15</v>
      </c>
    </row>
    <row r="427" spans="1:8" x14ac:dyDescent="0.25">
      <c r="A427" s="26">
        <v>26</v>
      </c>
      <c r="B427" s="268">
        <v>3</v>
      </c>
      <c r="C427" s="268">
        <v>2</v>
      </c>
      <c r="D427" s="268"/>
      <c r="E427" s="268"/>
      <c r="F427" s="268"/>
      <c r="G427" s="268"/>
      <c r="H427" s="2">
        <f t="shared" si="20"/>
        <v>16</v>
      </c>
    </row>
    <row r="428" spans="1:8" x14ac:dyDescent="0.25">
      <c r="A428" s="26">
        <v>27</v>
      </c>
      <c r="B428" s="268">
        <v>1</v>
      </c>
      <c r="C428" s="268"/>
      <c r="D428" s="268"/>
      <c r="E428" s="268"/>
      <c r="F428" s="268"/>
      <c r="G428" s="268"/>
      <c r="H428" s="2">
        <f t="shared" si="20"/>
        <v>17</v>
      </c>
    </row>
    <row r="429" spans="1:8" x14ac:dyDescent="0.25">
      <c r="A429" s="26">
        <v>28</v>
      </c>
      <c r="B429" s="268">
        <v>1</v>
      </c>
      <c r="C429" s="268">
        <v>3</v>
      </c>
      <c r="D429" s="268"/>
      <c r="E429" s="268"/>
      <c r="F429" s="268"/>
      <c r="G429" s="268"/>
      <c r="H429" s="2">
        <f t="shared" si="20"/>
        <v>15</v>
      </c>
    </row>
    <row r="430" spans="1:8" x14ac:dyDescent="0.25">
      <c r="A430" s="26">
        <v>29</v>
      </c>
      <c r="B430" s="268">
        <v>3</v>
      </c>
      <c r="C430" s="268"/>
      <c r="D430" s="268">
        <v>1</v>
      </c>
      <c r="E430" s="268"/>
      <c r="F430" s="268"/>
      <c r="G430" s="268"/>
      <c r="H430" s="2">
        <f t="shared" si="20"/>
        <v>17</v>
      </c>
    </row>
    <row r="431" spans="1:8" ht="15.75" thickBot="1" x14ac:dyDescent="0.3">
      <c r="A431" s="26">
        <v>30</v>
      </c>
      <c r="B431" s="268">
        <v>2</v>
      </c>
      <c r="C431" s="268"/>
      <c r="D431" s="268"/>
      <c r="E431" s="268"/>
      <c r="F431" s="268"/>
      <c r="G431" s="268"/>
      <c r="H431" s="2">
        <f t="shared" si="20"/>
        <v>19</v>
      </c>
    </row>
    <row r="432" spans="1:8" ht="15.75" thickBot="1" x14ac:dyDescent="0.3">
      <c r="A432" s="60" t="s">
        <v>35</v>
      </c>
      <c r="B432" s="58">
        <f>SUM(B402:B431)-E432</f>
        <v>54</v>
      </c>
      <c r="C432" s="58">
        <f t="shared" ref="C432:H432" si="21">SUM(C402:C431)</f>
        <v>43</v>
      </c>
      <c r="D432" s="58">
        <f t="shared" si="21"/>
        <v>2</v>
      </c>
      <c r="E432" s="58">
        <f t="shared" si="21"/>
        <v>0</v>
      </c>
      <c r="F432" s="58">
        <f t="shared" si="21"/>
        <v>0</v>
      </c>
      <c r="G432" s="58">
        <f t="shared" si="21"/>
        <v>0</v>
      </c>
      <c r="H432" s="59">
        <f t="shared" si="21"/>
        <v>369</v>
      </c>
    </row>
    <row r="433" spans="1:8" x14ac:dyDescent="0.25">
      <c r="E433" t="s">
        <v>40</v>
      </c>
    </row>
    <row r="435" spans="1:8" ht="36" x14ac:dyDescent="0.55000000000000004">
      <c r="A435" s="605" t="s">
        <v>1</v>
      </c>
      <c r="B435" s="605"/>
      <c r="C435" s="605"/>
      <c r="D435" s="605"/>
      <c r="E435" s="605"/>
      <c r="F435" s="605"/>
      <c r="G435" s="605"/>
      <c r="H435" s="605"/>
    </row>
    <row r="436" spans="1:8" ht="27" thickBot="1" x14ac:dyDescent="0.45">
      <c r="A436" s="606" t="s">
        <v>0</v>
      </c>
      <c r="B436" s="606"/>
      <c r="C436" s="606"/>
      <c r="D436" s="606"/>
      <c r="E436" s="606"/>
      <c r="F436" s="606"/>
      <c r="G436" s="606"/>
      <c r="H436" s="606"/>
    </row>
    <row r="437" spans="1:8" ht="15.75" x14ac:dyDescent="0.25">
      <c r="A437" s="39" t="s">
        <v>2</v>
      </c>
      <c r="B437" s="19" t="s">
        <v>3</v>
      </c>
      <c r="C437" s="20"/>
      <c r="D437" s="21" t="s">
        <v>52</v>
      </c>
      <c r="E437" s="607" t="s">
        <v>51</v>
      </c>
      <c r="F437" s="608"/>
      <c r="G437" s="19" t="s">
        <v>16</v>
      </c>
      <c r="H437" s="32" t="s">
        <v>67</v>
      </c>
    </row>
    <row r="438" spans="1:8" ht="15.75" x14ac:dyDescent="0.25">
      <c r="A438" s="609" t="s">
        <v>6</v>
      </c>
      <c r="B438" s="610"/>
      <c r="C438" s="610"/>
      <c r="D438" s="610"/>
      <c r="E438" s="610"/>
      <c r="F438" s="610"/>
      <c r="G438" s="611"/>
      <c r="H438" s="2">
        <f>H431</f>
        <v>19</v>
      </c>
    </row>
    <row r="439" spans="1:8" ht="15.75" x14ac:dyDescent="0.25">
      <c r="A439" s="3" t="s">
        <v>7</v>
      </c>
      <c r="B439" s="1"/>
      <c r="C439" s="1"/>
      <c r="D439" s="1"/>
      <c r="E439" s="1"/>
      <c r="F439" s="1"/>
      <c r="G439" s="1"/>
      <c r="H439" s="2">
        <v>15</v>
      </c>
    </row>
    <row r="440" spans="1:8" ht="51.75" thickBot="1" x14ac:dyDescent="0.3">
      <c r="A440" s="40" t="s">
        <v>8</v>
      </c>
      <c r="B440" s="41" t="s">
        <v>9</v>
      </c>
      <c r="C440" s="41" t="s">
        <v>10</v>
      </c>
      <c r="D440" s="41" t="s">
        <v>11</v>
      </c>
      <c r="E440" s="41" t="s">
        <v>12</v>
      </c>
      <c r="F440" s="41" t="s">
        <v>13</v>
      </c>
      <c r="G440" s="41" t="s">
        <v>14</v>
      </c>
      <c r="H440" s="42" t="s">
        <v>15</v>
      </c>
    </row>
    <row r="441" spans="1:8" x14ac:dyDescent="0.25">
      <c r="A441" s="36">
        <v>1</v>
      </c>
      <c r="B441" s="527">
        <v>3</v>
      </c>
      <c r="C441" s="527"/>
      <c r="D441" s="527"/>
      <c r="E441" s="527"/>
      <c r="F441" s="527"/>
      <c r="G441" s="527"/>
      <c r="H441" s="38">
        <f>H438+B441+F441-(C441+D441+G441)-E441</f>
        <v>22</v>
      </c>
    </row>
    <row r="442" spans="1:8" x14ac:dyDescent="0.25">
      <c r="A442" s="26">
        <v>2</v>
      </c>
      <c r="B442" s="268">
        <v>1</v>
      </c>
      <c r="C442" s="268"/>
      <c r="D442" s="268">
        <v>1</v>
      </c>
      <c r="E442" s="268"/>
      <c r="F442" s="268"/>
      <c r="G442" s="268"/>
      <c r="H442" s="2">
        <f>H441+B442+F442-(C442+D442+G442)-E442</f>
        <v>22</v>
      </c>
    </row>
    <row r="443" spans="1:8" x14ac:dyDescent="0.25">
      <c r="A443" s="26">
        <v>3</v>
      </c>
      <c r="B443" s="268">
        <v>1</v>
      </c>
      <c r="C443" s="268">
        <v>3</v>
      </c>
      <c r="D443" s="268"/>
      <c r="E443" s="268"/>
      <c r="F443" s="268"/>
      <c r="G443" s="268"/>
      <c r="H443" s="2">
        <f>H442+B443+F443-(C443+D443+G443)-E443</f>
        <v>20</v>
      </c>
    </row>
    <row r="444" spans="1:8" x14ac:dyDescent="0.25">
      <c r="A444" s="26">
        <v>4</v>
      </c>
      <c r="B444" s="268"/>
      <c r="C444" s="268">
        <v>1</v>
      </c>
      <c r="D444" s="268">
        <v>1</v>
      </c>
      <c r="E444" s="268"/>
      <c r="F444" s="268"/>
      <c r="G444" s="268"/>
      <c r="H444" s="2">
        <f t="shared" ref="H444:H471" si="22">H443+B444+F444-(C444+D444+G444)-E444</f>
        <v>18</v>
      </c>
    </row>
    <row r="445" spans="1:8" x14ac:dyDescent="0.25">
      <c r="A445" s="26">
        <v>5</v>
      </c>
      <c r="B445" s="268"/>
      <c r="C445" s="268">
        <v>3</v>
      </c>
      <c r="D445" s="268"/>
      <c r="E445" s="268"/>
      <c r="F445" s="268"/>
      <c r="G445" s="268"/>
      <c r="H445" s="2">
        <f t="shared" si="22"/>
        <v>15</v>
      </c>
    </row>
    <row r="446" spans="1:8" x14ac:dyDescent="0.25">
      <c r="A446" s="26">
        <v>6</v>
      </c>
      <c r="B446" s="268">
        <v>5</v>
      </c>
      <c r="C446" s="268">
        <v>2</v>
      </c>
      <c r="D446" s="268"/>
      <c r="E446" s="268"/>
      <c r="F446" s="268"/>
      <c r="G446" s="268"/>
      <c r="H446" s="2">
        <f t="shared" si="22"/>
        <v>18</v>
      </c>
    </row>
    <row r="447" spans="1:8" x14ac:dyDescent="0.25">
      <c r="A447" s="26">
        <v>7</v>
      </c>
      <c r="B447" s="268">
        <v>1</v>
      </c>
      <c r="C447" s="268"/>
      <c r="D447" s="268"/>
      <c r="E447" s="268"/>
      <c r="F447" s="268"/>
      <c r="G447" s="268"/>
      <c r="H447" s="2">
        <f t="shared" si="22"/>
        <v>19</v>
      </c>
    </row>
    <row r="448" spans="1:8" x14ac:dyDescent="0.25">
      <c r="A448" s="26">
        <v>8</v>
      </c>
      <c r="B448" s="268">
        <v>3</v>
      </c>
      <c r="C448" s="268">
        <v>1</v>
      </c>
      <c r="D448" s="268"/>
      <c r="E448" s="268"/>
      <c r="F448" s="268"/>
      <c r="G448" s="268"/>
      <c r="H448" s="2">
        <f t="shared" si="22"/>
        <v>21</v>
      </c>
    </row>
    <row r="449" spans="1:8" x14ac:dyDescent="0.25">
      <c r="A449" s="26">
        <v>9</v>
      </c>
      <c r="B449" s="268">
        <v>1</v>
      </c>
      <c r="C449" s="268">
        <v>2</v>
      </c>
      <c r="D449" s="268">
        <v>1</v>
      </c>
      <c r="E449" s="268"/>
      <c r="F449" s="268"/>
      <c r="G449" s="268"/>
      <c r="H449" s="2">
        <f t="shared" si="22"/>
        <v>19</v>
      </c>
    </row>
    <row r="450" spans="1:8" x14ac:dyDescent="0.25">
      <c r="A450" s="26">
        <v>10</v>
      </c>
      <c r="B450" s="268"/>
      <c r="C450" s="268">
        <v>1</v>
      </c>
      <c r="D450" s="268"/>
      <c r="E450" s="268"/>
      <c r="F450" s="268"/>
      <c r="G450" s="268"/>
      <c r="H450" s="2">
        <f t="shared" si="22"/>
        <v>18</v>
      </c>
    </row>
    <row r="451" spans="1:8" x14ac:dyDescent="0.25">
      <c r="A451" s="26">
        <v>11</v>
      </c>
      <c r="B451" s="268">
        <v>2</v>
      </c>
      <c r="C451" s="268"/>
      <c r="D451" s="268"/>
      <c r="E451" s="268"/>
      <c r="F451" s="268"/>
      <c r="G451" s="268"/>
      <c r="H451" s="2">
        <f t="shared" si="22"/>
        <v>20</v>
      </c>
    </row>
    <row r="452" spans="1:8" x14ac:dyDescent="0.25">
      <c r="A452" s="26">
        <v>12</v>
      </c>
      <c r="B452" s="268"/>
      <c r="C452" s="268"/>
      <c r="D452" s="268"/>
      <c r="E452" s="268"/>
      <c r="F452" s="268"/>
      <c r="G452" s="268"/>
      <c r="H452" s="2">
        <f t="shared" si="22"/>
        <v>20</v>
      </c>
    </row>
    <row r="453" spans="1:8" x14ac:dyDescent="0.25">
      <c r="A453" s="26">
        <v>13</v>
      </c>
      <c r="B453" s="268"/>
      <c r="C453" s="268">
        <v>1</v>
      </c>
      <c r="D453" s="268"/>
      <c r="E453" s="268"/>
      <c r="F453" s="268"/>
      <c r="G453" s="268"/>
      <c r="H453" s="2">
        <f t="shared" si="22"/>
        <v>19</v>
      </c>
    </row>
    <row r="454" spans="1:8" x14ac:dyDescent="0.25">
      <c r="A454" s="26">
        <v>14</v>
      </c>
      <c r="B454" s="268">
        <v>2</v>
      </c>
      <c r="C454" s="268">
        <v>2</v>
      </c>
      <c r="D454" s="268"/>
      <c r="E454" s="268"/>
      <c r="F454" s="268"/>
      <c r="G454" s="268"/>
      <c r="H454" s="2">
        <f t="shared" si="22"/>
        <v>19</v>
      </c>
    </row>
    <row r="455" spans="1:8" x14ac:dyDescent="0.25">
      <c r="A455" s="26">
        <v>15</v>
      </c>
      <c r="B455" s="268"/>
      <c r="C455" s="268">
        <v>3</v>
      </c>
      <c r="D455" s="268"/>
      <c r="E455" s="268"/>
      <c r="F455" s="268"/>
      <c r="G455" s="268"/>
      <c r="H455" s="2">
        <f t="shared" si="22"/>
        <v>16</v>
      </c>
    </row>
    <row r="456" spans="1:8" x14ac:dyDescent="0.25">
      <c r="A456" s="26">
        <v>16</v>
      </c>
      <c r="B456" s="268"/>
      <c r="C456" s="268">
        <v>4</v>
      </c>
      <c r="D456" s="268"/>
      <c r="E456" s="268"/>
      <c r="F456" s="268"/>
      <c r="G456" s="268"/>
      <c r="H456" s="2">
        <f t="shared" si="22"/>
        <v>12</v>
      </c>
    </row>
    <row r="457" spans="1:8" x14ac:dyDescent="0.25">
      <c r="A457" s="26">
        <v>17</v>
      </c>
      <c r="B457" s="268">
        <v>2</v>
      </c>
      <c r="C457" s="268">
        <v>2</v>
      </c>
      <c r="D457" s="268"/>
      <c r="E457" s="268"/>
      <c r="F457" s="268"/>
      <c r="G457" s="268"/>
      <c r="H457" s="2">
        <f t="shared" si="22"/>
        <v>12</v>
      </c>
    </row>
    <row r="458" spans="1:8" x14ac:dyDescent="0.25">
      <c r="A458" s="26">
        <v>18</v>
      </c>
      <c r="B458" s="268">
        <v>3</v>
      </c>
      <c r="C458" s="268">
        <v>2</v>
      </c>
      <c r="D458" s="268"/>
      <c r="E458" s="268"/>
      <c r="F458" s="268"/>
      <c r="G458" s="268"/>
      <c r="H458" s="2">
        <f t="shared" si="22"/>
        <v>13</v>
      </c>
    </row>
    <row r="459" spans="1:8" x14ac:dyDescent="0.25">
      <c r="A459" s="26">
        <v>19</v>
      </c>
      <c r="B459" s="268">
        <v>2</v>
      </c>
      <c r="C459" s="268">
        <v>2</v>
      </c>
      <c r="D459" s="268"/>
      <c r="E459" s="268"/>
      <c r="F459" s="268"/>
      <c r="G459" s="268"/>
      <c r="H459" s="2">
        <f t="shared" si="22"/>
        <v>13</v>
      </c>
    </row>
    <row r="460" spans="1:8" x14ac:dyDescent="0.25">
      <c r="A460" s="26">
        <v>20</v>
      </c>
      <c r="B460" s="268">
        <v>2</v>
      </c>
      <c r="C460" s="268">
        <v>1</v>
      </c>
      <c r="D460" s="268"/>
      <c r="E460" s="268"/>
      <c r="F460" s="268"/>
      <c r="G460" s="268"/>
      <c r="H460" s="2">
        <f t="shared" si="22"/>
        <v>14</v>
      </c>
    </row>
    <row r="461" spans="1:8" x14ac:dyDescent="0.25">
      <c r="A461" s="26">
        <v>21</v>
      </c>
      <c r="B461" s="268"/>
      <c r="C461" s="268"/>
      <c r="D461" s="268"/>
      <c r="E461" s="268"/>
      <c r="F461" s="268"/>
      <c r="G461" s="268"/>
      <c r="H461" s="2">
        <f t="shared" si="22"/>
        <v>14</v>
      </c>
    </row>
    <row r="462" spans="1:8" x14ac:dyDescent="0.25">
      <c r="A462" s="26">
        <v>22</v>
      </c>
      <c r="B462" s="268">
        <v>1</v>
      </c>
      <c r="C462" s="268"/>
      <c r="D462" s="268">
        <v>1</v>
      </c>
      <c r="E462" s="268"/>
      <c r="F462" s="268"/>
      <c r="G462" s="268"/>
      <c r="H462" s="2">
        <f t="shared" si="22"/>
        <v>14</v>
      </c>
    </row>
    <row r="463" spans="1:8" x14ac:dyDescent="0.25">
      <c r="A463" s="26">
        <v>23</v>
      </c>
      <c r="B463" s="268"/>
      <c r="C463" s="268">
        <v>1</v>
      </c>
      <c r="D463" s="268">
        <v>1</v>
      </c>
      <c r="E463" s="268"/>
      <c r="F463" s="268"/>
      <c r="G463" s="268"/>
      <c r="H463" s="2">
        <f t="shared" si="22"/>
        <v>12</v>
      </c>
    </row>
    <row r="464" spans="1:8" x14ac:dyDescent="0.25">
      <c r="A464" s="26">
        <v>24</v>
      </c>
      <c r="B464" s="268">
        <v>1</v>
      </c>
      <c r="C464" s="268">
        <v>2</v>
      </c>
      <c r="D464" s="268"/>
      <c r="E464" s="268"/>
      <c r="F464" s="268"/>
      <c r="G464" s="268"/>
      <c r="H464" s="2">
        <f t="shared" si="22"/>
        <v>11</v>
      </c>
    </row>
    <row r="465" spans="1:8" x14ac:dyDescent="0.25">
      <c r="A465" s="26">
        <v>25</v>
      </c>
      <c r="B465" s="268">
        <v>2</v>
      </c>
      <c r="C465" s="268">
        <v>2</v>
      </c>
      <c r="D465" s="268"/>
      <c r="E465" s="268"/>
      <c r="F465" s="268"/>
      <c r="G465" s="268"/>
      <c r="H465" s="2">
        <f t="shared" si="22"/>
        <v>11</v>
      </c>
    </row>
    <row r="466" spans="1:8" x14ac:dyDescent="0.25">
      <c r="A466" s="26">
        <v>26</v>
      </c>
      <c r="B466" s="268">
        <v>2</v>
      </c>
      <c r="C466" s="268"/>
      <c r="D466" s="268"/>
      <c r="E466" s="268"/>
      <c r="F466" s="268"/>
      <c r="G466" s="268"/>
      <c r="H466" s="2">
        <f t="shared" si="22"/>
        <v>13</v>
      </c>
    </row>
    <row r="467" spans="1:8" x14ac:dyDescent="0.25">
      <c r="A467" s="26">
        <v>27</v>
      </c>
      <c r="B467" s="268">
        <v>4</v>
      </c>
      <c r="C467" s="268">
        <v>1</v>
      </c>
      <c r="D467" s="268"/>
      <c r="E467" s="268"/>
      <c r="F467" s="268"/>
      <c r="G467" s="268"/>
      <c r="H467" s="2">
        <f t="shared" si="22"/>
        <v>16</v>
      </c>
    </row>
    <row r="468" spans="1:8" x14ac:dyDescent="0.25">
      <c r="A468" s="26">
        <v>28</v>
      </c>
      <c r="B468" s="268">
        <v>1</v>
      </c>
      <c r="C468" s="268">
        <v>3</v>
      </c>
      <c r="D468" s="268"/>
      <c r="E468" s="268"/>
      <c r="F468" s="268"/>
      <c r="G468" s="268"/>
      <c r="H468" s="2">
        <f t="shared" si="22"/>
        <v>14</v>
      </c>
    </row>
    <row r="469" spans="1:8" x14ac:dyDescent="0.25">
      <c r="A469" s="26">
        <v>29</v>
      </c>
      <c r="B469" s="268">
        <v>1</v>
      </c>
      <c r="C469" s="268">
        <v>1</v>
      </c>
      <c r="D469" s="268"/>
      <c r="E469" s="268"/>
      <c r="F469" s="268"/>
      <c r="G469" s="268"/>
      <c r="H469" s="2">
        <f t="shared" si="22"/>
        <v>14</v>
      </c>
    </row>
    <row r="470" spans="1:8" x14ac:dyDescent="0.25">
      <c r="A470" s="26">
        <v>30</v>
      </c>
      <c r="B470" s="268"/>
      <c r="C470" s="268">
        <v>1</v>
      </c>
      <c r="D470" s="268"/>
      <c r="E470" s="268"/>
      <c r="F470" s="268"/>
      <c r="G470" s="268"/>
      <c r="H470" s="2">
        <f t="shared" si="22"/>
        <v>13</v>
      </c>
    </row>
    <row r="471" spans="1:8" ht="15.75" thickBot="1" x14ac:dyDescent="0.3">
      <c r="A471" s="64">
        <v>31</v>
      </c>
      <c r="B471" s="528">
        <v>3</v>
      </c>
      <c r="C471" s="528">
        <v>2</v>
      </c>
      <c r="D471" s="528"/>
      <c r="E471" s="528"/>
      <c r="F471" s="528"/>
      <c r="G471" s="528"/>
      <c r="H471" s="2">
        <f t="shared" si="22"/>
        <v>14</v>
      </c>
    </row>
    <row r="472" spans="1:8" ht="15.75" thickBot="1" x14ac:dyDescent="0.3">
      <c r="A472" s="60" t="s">
        <v>35</v>
      </c>
      <c r="B472" s="58">
        <f>SUM(B441:B471)-E472</f>
        <v>43</v>
      </c>
      <c r="C472" s="58">
        <f t="shared" ref="C472:H472" si="23">SUM(C441:C471)</f>
        <v>43</v>
      </c>
      <c r="D472" s="58">
        <f t="shared" si="23"/>
        <v>5</v>
      </c>
      <c r="E472" s="58">
        <f t="shared" si="23"/>
        <v>0</v>
      </c>
      <c r="F472" s="58">
        <f t="shared" si="23"/>
        <v>0</v>
      </c>
      <c r="G472" s="58">
        <f t="shared" si="23"/>
        <v>0</v>
      </c>
      <c r="H472" s="59">
        <f t="shared" si="23"/>
        <v>496</v>
      </c>
    </row>
  </sheetData>
  <sheetProtection sheet="1" objects="1" scenarios="1"/>
  <mergeCells count="48">
    <mergeCell ref="A436:H436"/>
    <mergeCell ref="E437:F437"/>
    <mergeCell ref="A438:G438"/>
    <mergeCell ref="A396:H396"/>
    <mergeCell ref="A397:H397"/>
    <mergeCell ref="E398:F398"/>
    <mergeCell ref="A399:G399"/>
    <mergeCell ref="A435:H435"/>
    <mergeCell ref="A356:H356"/>
    <mergeCell ref="A357:H357"/>
    <mergeCell ref="E358:F358"/>
    <mergeCell ref="A359:G359"/>
    <mergeCell ref="A317:H317"/>
    <mergeCell ref="A318:H318"/>
    <mergeCell ref="E319:F319"/>
    <mergeCell ref="A320:G320"/>
    <mergeCell ref="A277:H277"/>
    <mergeCell ref="A278:H278"/>
    <mergeCell ref="E279:F279"/>
    <mergeCell ref="A280:G280"/>
    <mergeCell ref="A79:H79"/>
    <mergeCell ref="A80:H80"/>
    <mergeCell ref="E81:F81"/>
    <mergeCell ref="A82:G82"/>
    <mergeCell ref="A237:H237"/>
    <mergeCell ref="A238:H238"/>
    <mergeCell ref="E239:F239"/>
    <mergeCell ref="A240:G240"/>
    <mergeCell ref="A119:H119"/>
    <mergeCell ref="A120:H120"/>
    <mergeCell ref="A122:G122"/>
    <mergeCell ref="E121:F121"/>
    <mergeCell ref="A198:H198"/>
    <mergeCell ref="A199:H199"/>
    <mergeCell ref="E200:F200"/>
    <mergeCell ref="A201:F201"/>
    <mergeCell ref="A158:H158"/>
    <mergeCell ref="A159:H159"/>
    <mergeCell ref="E160:F160"/>
    <mergeCell ref="A161:F161"/>
    <mergeCell ref="A42:H42"/>
    <mergeCell ref="E43:F43"/>
    <mergeCell ref="A44:G44"/>
    <mergeCell ref="A1:H1"/>
    <mergeCell ref="A2:H2"/>
    <mergeCell ref="E3:F3"/>
    <mergeCell ref="A4:F4"/>
    <mergeCell ref="A41:H4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9" tint="0.59999389629810485"/>
  </sheetPr>
  <dimension ref="A1:Y472"/>
  <sheetViews>
    <sheetView topLeftCell="E436" zoomScale="80" zoomScaleNormal="80" workbookViewId="0">
      <selection activeCell="K470" sqref="K470"/>
    </sheetView>
  </sheetViews>
  <sheetFormatPr defaultRowHeight="15" x14ac:dyDescent="0.25"/>
  <cols>
    <col min="1" max="1" width="9.85546875" customWidth="1"/>
    <col min="2" max="2" width="12.85546875" customWidth="1"/>
    <col min="3" max="3" width="12.7109375" customWidth="1"/>
    <col min="4" max="4" width="9.42578125" customWidth="1"/>
    <col min="5" max="5" width="9.28515625" customWidth="1"/>
    <col min="6" max="6" width="12" customWidth="1"/>
    <col min="7" max="7" width="12.42578125" customWidth="1"/>
    <col min="8" max="8" width="12.28515625" customWidth="1"/>
    <col min="10" max="10" width="12.5703125" customWidth="1"/>
  </cols>
  <sheetData>
    <row r="1" spans="1:8" ht="36" x14ac:dyDescent="0.55000000000000004">
      <c r="A1" s="605" t="s">
        <v>1</v>
      </c>
      <c r="B1" s="605"/>
      <c r="C1" s="605"/>
      <c r="D1" s="605"/>
      <c r="E1" s="605"/>
      <c r="F1" s="605"/>
      <c r="G1" s="605"/>
      <c r="H1" s="605"/>
    </row>
    <row r="2" spans="1:8" ht="26.25" x14ac:dyDescent="0.4">
      <c r="A2" s="606" t="s">
        <v>0</v>
      </c>
      <c r="B2" s="606"/>
      <c r="C2" s="606"/>
      <c r="D2" s="606"/>
      <c r="E2" s="606"/>
      <c r="F2" s="606"/>
      <c r="G2" s="606"/>
      <c r="H2" s="606"/>
    </row>
    <row r="3" spans="1:8" ht="15.75" x14ac:dyDescent="0.25">
      <c r="A3" s="4" t="s">
        <v>19</v>
      </c>
      <c r="B3" s="4" t="s">
        <v>3</v>
      </c>
      <c r="C3" s="5"/>
      <c r="D3" s="1" t="s">
        <v>18</v>
      </c>
      <c r="E3" s="625" t="s">
        <v>53</v>
      </c>
      <c r="F3" s="626"/>
      <c r="G3" s="4" t="s">
        <v>16</v>
      </c>
      <c r="H3" s="10" t="s">
        <v>17</v>
      </c>
    </row>
    <row r="4" spans="1:8" ht="15.75" x14ac:dyDescent="0.25">
      <c r="A4" s="609" t="s">
        <v>6</v>
      </c>
      <c r="B4" s="610"/>
      <c r="C4" s="610"/>
      <c r="D4" s="610"/>
      <c r="E4" s="610"/>
      <c r="F4" s="611"/>
      <c r="G4" s="1"/>
      <c r="H4" s="2">
        <v>2</v>
      </c>
    </row>
    <row r="5" spans="1:8" ht="15.75" x14ac:dyDescent="0.25">
      <c r="A5" s="3" t="s">
        <v>7</v>
      </c>
      <c r="B5" s="1"/>
      <c r="C5" s="1"/>
      <c r="D5" s="1"/>
      <c r="E5" s="1"/>
      <c r="F5" s="1"/>
      <c r="G5" s="1"/>
      <c r="H5" s="2">
        <v>10</v>
      </c>
    </row>
    <row r="6" spans="1:8" ht="51" x14ac:dyDescent="0.25">
      <c r="A6" s="7" t="s">
        <v>8</v>
      </c>
      <c r="B6" s="9" t="s">
        <v>9</v>
      </c>
      <c r="C6" s="9" t="s">
        <v>10</v>
      </c>
      <c r="D6" s="9" t="s">
        <v>11</v>
      </c>
      <c r="E6" s="9" t="s">
        <v>12</v>
      </c>
      <c r="F6" s="9" t="s">
        <v>13</v>
      </c>
      <c r="G6" s="9" t="s">
        <v>14</v>
      </c>
      <c r="H6" s="8" t="s">
        <v>15</v>
      </c>
    </row>
    <row r="7" spans="1:8" x14ac:dyDescent="0.25">
      <c r="A7" s="11">
        <v>1</v>
      </c>
      <c r="B7" s="5">
        <v>3</v>
      </c>
      <c r="C7" s="5">
        <v>1</v>
      </c>
      <c r="D7" s="5"/>
      <c r="E7" s="5"/>
      <c r="F7" s="5"/>
      <c r="G7" s="5">
        <v>1</v>
      </c>
      <c r="H7" s="5">
        <f>H4+B7+F7-(C7+D7+G7)-E7</f>
        <v>3</v>
      </c>
    </row>
    <row r="8" spans="1:8" x14ac:dyDescent="0.25">
      <c r="A8" s="11">
        <v>2</v>
      </c>
      <c r="B8" s="5">
        <v>3</v>
      </c>
      <c r="C8" s="5">
        <v>1</v>
      </c>
      <c r="D8" s="5">
        <v>1</v>
      </c>
      <c r="E8" s="5"/>
      <c r="F8" s="5"/>
      <c r="G8" s="5">
        <v>1</v>
      </c>
      <c r="H8" s="5">
        <f t="shared" ref="H8:H37" si="0">H7+B8+F8-(C8+D8+G8)-E8</f>
        <v>3</v>
      </c>
    </row>
    <row r="9" spans="1:8" x14ac:dyDescent="0.25">
      <c r="A9" s="11">
        <v>3</v>
      </c>
      <c r="B9" s="5">
        <v>4</v>
      </c>
      <c r="C9" s="5"/>
      <c r="D9" s="5"/>
      <c r="E9" s="5"/>
      <c r="F9" s="5"/>
      <c r="G9" s="5">
        <v>1</v>
      </c>
      <c r="H9" s="5">
        <f t="shared" si="0"/>
        <v>6</v>
      </c>
    </row>
    <row r="10" spans="1:8" x14ac:dyDescent="0.25">
      <c r="A10" s="11">
        <v>4</v>
      </c>
      <c r="B10" s="5">
        <v>2</v>
      </c>
      <c r="C10" s="5">
        <v>1</v>
      </c>
      <c r="D10" s="5">
        <v>1</v>
      </c>
      <c r="E10" s="5"/>
      <c r="F10" s="5"/>
      <c r="G10" s="5">
        <v>1</v>
      </c>
      <c r="H10" s="5">
        <f t="shared" si="0"/>
        <v>5</v>
      </c>
    </row>
    <row r="11" spans="1:8" x14ac:dyDescent="0.25">
      <c r="A11" s="11">
        <v>5</v>
      </c>
      <c r="B11" s="5"/>
      <c r="C11" s="5"/>
      <c r="D11" s="5"/>
      <c r="E11" s="5"/>
      <c r="F11" s="5"/>
      <c r="G11" s="5"/>
      <c r="H11" s="5">
        <f t="shared" si="0"/>
        <v>5</v>
      </c>
    </row>
    <row r="12" spans="1:8" x14ac:dyDescent="0.25">
      <c r="A12" s="11">
        <v>6</v>
      </c>
      <c r="B12" s="5">
        <v>2</v>
      </c>
      <c r="C12" s="5">
        <v>2</v>
      </c>
      <c r="D12" s="5"/>
      <c r="E12" s="5"/>
      <c r="F12" s="5"/>
      <c r="G12" s="5">
        <v>1</v>
      </c>
      <c r="H12" s="5">
        <f t="shared" si="0"/>
        <v>4</v>
      </c>
    </row>
    <row r="13" spans="1:8" x14ac:dyDescent="0.25">
      <c r="A13" s="11">
        <v>7</v>
      </c>
      <c r="B13" s="5"/>
      <c r="C13" s="5"/>
      <c r="D13" s="5"/>
      <c r="E13" s="5"/>
      <c r="F13" s="5"/>
      <c r="G13" s="5">
        <v>1</v>
      </c>
      <c r="H13" s="5">
        <f t="shared" si="0"/>
        <v>3</v>
      </c>
    </row>
    <row r="14" spans="1:8" x14ac:dyDescent="0.25">
      <c r="A14" s="11">
        <v>8</v>
      </c>
      <c r="B14" s="5">
        <v>4</v>
      </c>
      <c r="C14" s="5">
        <v>2</v>
      </c>
      <c r="D14" s="5"/>
      <c r="E14" s="5"/>
      <c r="F14" s="5"/>
      <c r="G14" s="5">
        <v>1</v>
      </c>
      <c r="H14" s="5">
        <f t="shared" si="0"/>
        <v>4</v>
      </c>
    </row>
    <row r="15" spans="1:8" x14ac:dyDescent="0.25">
      <c r="A15" s="11">
        <v>9</v>
      </c>
      <c r="B15" s="5">
        <v>2</v>
      </c>
      <c r="C15" s="5"/>
      <c r="D15" s="5"/>
      <c r="E15" s="5"/>
      <c r="F15" s="5"/>
      <c r="G15" s="5">
        <v>1</v>
      </c>
      <c r="H15" s="5">
        <f t="shared" si="0"/>
        <v>5</v>
      </c>
    </row>
    <row r="16" spans="1:8" x14ac:dyDescent="0.25">
      <c r="A16" s="11">
        <v>10</v>
      </c>
      <c r="B16" s="5">
        <v>1</v>
      </c>
      <c r="C16" s="5"/>
      <c r="D16" s="5">
        <v>1</v>
      </c>
      <c r="E16" s="5"/>
      <c r="F16" s="5"/>
      <c r="G16" s="5">
        <v>1</v>
      </c>
      <c r="H16" s="5">
        <f t="shared" si="0"/>
        <v>4</v>
      </c>
    </row>
    <row r="17" spans="1:8" x14ac:dyDescent="0.25">
      <c r="A17" s="11">
        <v>11</v>
      </c>
      <c r="B17" s="5">
        <v>3</v>
      </c>
      <c r="C17" s="5"/>
      <c r="D17" s="5"/>
      <c r="E17" s="5">
        <v>1</v>
      </c>
      <c r="F17" s="5"/>
      <c r="G17" s="5">
        <v>1</v>
      </c>
      <c r="H17" s="5">
        <f t="shared" si="0"/>
        <v>5</v>
      </c>
    </row>
    <row r="18" spans="1:8" x14ac:dyDescent="0.25">
      <c r="A18" s="11">
        <v>12</v>
      </c>
      <c r="B18" s="5">
        <v>1</v>
      </c>
      <c r="C18" s="5"/>
      <c r="D18" s="5"/>
      <c r="E18" s="5"/>
      <c r="F18" s="5"/>
      <c r="G18" s="5">
        <v>2</v>
      </c>
      <c r="H18" s="5">
        <f t="shared" si="0"/>
        <v>4</v>
      </c>
    </row>
    <row r="19" spans="1:8" x14ac:dyDescent="0.25">
      <c r="A19" s="11">
        <v>13</v>
      </c>
      <c r="B19" s="5">
        <v>1</v>
      </c>
      <c r="C19" s="5">
        <v>1</v>
      </c>
      <c r="D19" s="5">
        <v>1</v>
      </c>
      <c r="E19" s="5"/>
      <c r="F19" s="5"/>
      <c r="G19" s="5">
        <v>1</v>
      </c>
      <c r="H19" s="5">
        <f t="shared" si="0"/>
        <v>2</v>
      </c>
    </row>
    <row r="20" spans="1:8" x14ac:dyDescent="0.25">
      <c r="A20" s="11">
        <v>14</v>
      </c>
      <c r="B20" s="5"/>
      <c r="C20" s="5"/>
      <c r="D20" s="5"/>
      <c r="E20" s="5"/>
      <c r="F20" s="5"/>
      <c r="G20" s="5">
        <v>1</v>
      </c>
      <c r="H20" s="5">
        <f t="shared" si="0"/>
        <v>1</v>
      </c>
    </row>
    <row r="21" spans="1:8" x14ac:dyDescent="0.25">
      <c r="A21" s="11">
        <v>15</v>
      </c>
      <c r="B21" s="5">
        <v>1</v>
      </c>
      <c r="C21" s="5">
        <v>1</v>
      </c>
      <c r="D21" s="5"/>
      <c r="E21" s="5"/>
      <c r="F21" s="5"/>
      <c r="G21" s="5"/>
      <c r="H21" s="5">
        <f t="shared" si="0"/>
        <v>1</v>
      </c>
    </row>
    <row r="22" spans="1:8" x14ac:dyDescent="0.25">
      <c r="A22" s="11">
        <v>16</v>
      </c>
      <c r="B22" s="5">
        <v>4</v>
      </c>
      <c r="C22" s="5"/>
      <c r="D22" s="5"/>
      <c r="E22" s="5"/>
      <c r="F22" s="5"/>
      <c r="G22" s="5">
        <v>1</v>
      </c>
      <c r="H22" s="5">
        <f t="shared" si="0"/>
        <v>4</v>
      </c>
    </row>
    <row r="23" spans="1:8" x14ac:dyDescent="0.25">
      <c r="A23" s="11">
        <v>17</v>
      </c>
      <c r="B23" s="5">
        <v>3</v>
      </c>
      <c r="C23" s="5">
        <v>1</v>
      </c>
      <c r="D23" s="5"/>
      <c r="E23" s="5"/>
      <c r="F23" s="5"/>
      <c r="G23" s="5">
        <v>1</v>
      </c>
      <c r="H23" s="5">
        <f t="shared" si="0"/>
        <v>5</v>
      </c>
    </row>
    <row r="24" spans="1:8" x14ac:dyDescent="0.25">
      <c r="A24" s="11">
        <v>18</v>
      </c>
      <c r="B24" s="5">
        <v>2</v>
      </c>
      <c r="C24" s="5">
        <v>1</v>
      </c>
      <c r="D24" s="5"/>
      <c r="E24" s="5"/>
      <c r="F24" s="5"/>
      <c r="G24" s="5"/>
      <c r="H24" s="5">
        <f t="shared" si="0"/>
        <v>6</v>
      </c>
    </row>
    <row r="25" spans="1:8" x14ac:dyDescent="0.25">
      <c r="A25" s="11">
        <v>19</v>
      </c>
      <c r="B25" s="5">
        <v>6</v>
      </c>
      <c r="C25" s="5">
        <v>2</v>
      </c>
      <c r="D25" s="5">
        <v>1</v>
      </c>
      <c r="E25" s="5">
        <v>3</v>
      </c>
      <c r="F25" s="5"/>
      <c r="G25" s="5">
        <v>1</v>
      </c>
      <c r="H25" s="5">
        <f t="shared" si="0"/>
        <v>5</v>
      </c>
    </row>
    <row r="26" spans="1:8" x14ac:dyDescent="0.25">
      <c r="A26" s="11">
        <v>20</v>
      </c>
      <c r="B26" s="5">
        <v>3</v>
      </c>
      <c r="C26" s="5">
        <v>1</v>
      </c>
      <c r="D26" s="5"/>
      <c r="E26" s="5"/>
      <c r="F26" s="5"/>
      <c r="G26" s="5">
        <v>3</v>
      </c>
      <c r="H26" s="5">
        <f t="shared" si="0"/>
        <v>4</v>
      </c>
    </row>
    <row r="27" spans="1:8" x14ac:dyDescent="0.25">
      <c r="A27" s="11">
        <v>21</v>
      </c>
      <c r="B27" s="5">
        <v>1</v>
      </c>
      <c r="C27" s="5">
        <v>2</v>
      </c>
      <c r="D27" s="5"/>
      <c r="E27" s="5">
        <v>1</v>
      </c>
      <c r="F27" s="5"/>
      <c r="G27" s="5">
        <v>1</v>
      </c>
      <c r="H27" s="5">
        <f t="shared" si="0"/>
        <v>1</v>
      </c>
    </row>
    <row r="28" spans="1:8" x14ac:dyDescent="0.25">
      <c r="A28" s="11">
        <v>22</v>
      </c>
      <c r="B28" s="5">
        <v>5</v>
      </c>
      <c r="C28" s="5">
        <v>1</v>
      </c>
      <c r="D28" s="5"/>
      <c r="E28" s="5"/>
      <c r="F28" s="5"/>
      <c r="G28" s="5"/>
      <c r="H28" s="5">
        <f t="shared" si="0"/>
        <v>5</v>
      </c>
    </row>
    <row r="29" spans="1:8" x14ac:dyDescent="0.25">
      <c r="A29" s="11">
        <v>23</v>
      </c>
      <c r="B29" s="5">
        <v>3</v>
      </c>
      <c r="C29" s="5"/>
      <c r="D29" s="5"/>
      <c r="E29" s="5"/>
      <c r="F29" s="5"/>
      <c r="G29" s="5"/>
      <c r="H29" s="5">
        <f t="shared" si="0"/>
        <v>8</v>
      </c>
    </row>
    <row r="30" spans="1:8" x14ac:dyDescent="0.25">
      <c r="A30" s="11">
        <v>24</v>
      </c>
      <c r="B30" s="5">
        <v>2</v>
      </c>
      <c r="C30" s="5">
        <v>2</v>
      </c>
      <c r="D30" s="5"/>
      <c r="E30" s="5"/>
      <c r="F30" s="5"/>
      <c r="G30" s="5">
        <v>1</v>
      </c>
      <c r="H30" s="5">
        <f t="shared" si="0"/>
        <v>7</v>
      </c>
    </row>
    <row r="31" spans="1:8" x14ac:dyDescent="0.25">
      <c r="A31" s="11">
        <v>25</v>
      </c>
      <c r="B31" s="5">
        <v>1</v>
      </c>
      <c r="C31" s="5">
        <v>6</v>
      </c>
      <c r="D31" s="5"/>
      <c r="E31" s="5">
        <v>1</v>
      </c>
      <c r="F31" s="5"/>
      <c r="G31" s="5"/>
      <c r="H31" s="5">
        <f t="shared" si="0"/>
        <v>1</v>
      </c>
    </row>
    <row r="32" spans="1:8" x14ac:dyDescent="0.25">
      <c r="A32" s="11">
        <v>26</v>
      </c>
      <c r="B32" s="5"/>
      <c r="C32" s="5"/>
      <c r="D32" s="5"/>
      <c r="E32" s="5"/>
      <c r="F32" s="5"/>
      <c r="G32" s="5">
        <v>1</v>
      </c>
      <c r="H32" s="5">
        <f t="shared" si="0"/>
        <v>0</v>
      </c>
    </row>
    <row r="33" spans="1:8" x14ac:dyDescent="0.25">
      <c r="A33" s="11">
        <v>27</v>
      </c>
      <c r="B33" s="5">
        <v>5</v>
      </c>
      <c r="C33" s="5"/>
      <c r="D33" s="5"/>
      <c r="E33" s="5">
        <v>1</v>
      </c>
      <c r="F33" s="5"/>
      <c r="G33" s="5"/>
      <c r="H33" s="5">
        <f t="shared" si="0"/>
        <v>4</v>
      </c>
    </row>
    <row r="34" spans="1:8" x14ac:dyDescent="0.25">
      <c r="A34" s="11">
        <v>28</v>
      </c>
      <c r="B34" s="5">
        <v>5</v>
      </c>
      <c r="C34" s="5"/>
      <c r="D34" s="5"/>
      <c r="E34" s="5"/>
      <c r="F34" s="5"/>
      <c r="G34" s="5"/>
      <c r="H34" s="5">
        <f t="shared" si="0"/>
        <v>9</v>
      </c>
    </row>
    <row r="35" spans="1:8" x14ac:dyDescent="0.25">
      <c r="A35" s="11">
        <v>29</v>
      </c>
      <c r="B35" s="5">
        <v>1</v>
      </c>
      <c r="C35" s="5">
        <v>2</v>
      </c>
      <c r="D35" s="5">
        <v>1</v>
      </c>
      <c r="E35" s="5"/>
      <c r="F35" s="5"/>
      <c r="G35" s="5">
        <v>1</v>
      </c>
      <c r="H35" s="5">
        <f t="shared" si="0"/>
        <v>6</v>
      </c>
    </row>
    <row r="36" spans="1:8" x14ac:dyDescent="0.25">
      <c r="A36" s="11">
        <v>30</v>
      </c>
      <c r="B36" s="5">
        <v>1</v>
      </c>
      <c r="C36" s="5">
        <v>3</v>
      </c>
      <c r="D36" s="5"/>
      <c r="E36" s="5"/>
      <c r="F36" s="5"/>
      <c r="G36" s="5">
        <v>2</v>
      </c>
      <c r="H36" s="5">
        <f t="shared" si="0"/>
        <v>2</v>
      </c>
    </row>
    <row r="37" spans="1:8" x14ac:dyDescent="0.25">
      <c r="A37" s="11">
        <v>31</v>
      </c>
      <c r="B37" s="5">
        <v>1</v>
      </c>
      <c r="C37" s="5">
        <v>1</v>
      </c>
      <c r="D37" s="5"/>
      <c r="E37" s="5"/>
      <c r="F37" s="5"/>
      <c r="G37" s="5">
        <v>1</v>
      </c>
      <c r="H37" s="5">
        <f t="shared" si="0"/>
        <v>1</v>
      </c>
    </row>
    <row r="38" spans="1:8" x14ac:dyDescent="0.25">
      <c r="A38" s="13" t="s">
        <v>35</v>
      </c>
      <c r="B38" s="12">
        <f>SUM(B7:B37)-E38</f>
        <v>63</v>
      </c>
      <c r="C38" s="12">
        <f t="shared" ref="C38:H38" si="1">SUM(C7:C37)</f>
        <v>31</v>
      </c>
      <c r="D38" s="12">
        <f t="shared" si="1"/>
        <v>6</v>
      </c>
      <c r="E38" s="12">
        <f t="shared" si="1"/>
        <v>7</v>
      </c>
      <c r="F38" s="12">
        <f t="shared" si="1"/>
        <v>0</v>
      </c>
      <c r="G38" s="12">
        <f t="shared" si="1"/>
        <v>27</v>
      </c>
      <c r="H38" s="12">
        <f t="shared" si="1"/>
        <v>123</v>
      </c>
    </row>
    <row r="41" spans="1:8" ht="36" x14ac:dyDescent="0.55000000000000004">
      <c r="A41" s="605" t="s">
        <v>1</v>
      </c>
      <c r="B41" s="605"/>
      <c r="C41" s="605"/>
      <c r="D41" s="605"/>
      <c r="E41" s="605"/>
      <c r="F41" s="605"/>
      <c r="G41" s="605"/>
      <c r="H41" s="605"/>
    </row>
    <row r="42" spans="1:8" ht="26.25" x14ac:dyDescent="0.4">
      <c r="A42" s="606" t="s">
        <v>0</v>
      </c>
      <c r="B42" s="606"/>
      <c r="C42" s="606"/>
      <c r="D42" s="606"/>
      <c r="E42" s="606"/>
      <c r="F42" s="606"/>
      <c r="G42" s="606"/>
      <c r="H42" s="606"/>
    </row>
    <row r="43" spans="1:8" ht="15.75" x14ac:dyDescent="0.25">
      <c r="A43" s="4" t="s">
        <v>19</v>
      </c>
      <c r="B43" s="4" t="s">
        <v>3</v>
      </c>
      <c r="C43" s="5"/>
      <c r="D43" s="1" t="s">
        <v>18</v>
      </c>
      <c r="E43" s="625" t="s">
        <v>53</v>
      </c>
      <c r="F43" s="626"/>
      <c r="G43" s="4" t="s">
        <v>16</v>
      </c>
      <c r="H43" s="10" t="s">
        <v>41</v>
      </c>
    </row>
    <row r="44" spans="1:8" ht="15.75" x14ac:dyDescent="0.25">
      <c r="A44" s="609" t="s">
        <v>6</v>
      </c>
      <c r="B44" s="610"/>
      <c r="C44" s="610"/>
      <c r="D44" s="610"/>
      <c r="E44" s="610"/>
      <c r="F44" s="610"/>
      <c r="G44" s="611"/>
      <c r="H44" s="2">
        <f>H37</f>
        <v>1</v>
      </c>
    </row>
    <row r="45" spans="1:8" ht="15.75" x14ac:dyDescent="0.25">
      <c r="A45" s="3" t="s">
        <v>7</v>
      </c>
      <c r="B45" s="1"/>
      <c r="C45" s="1"/>
      <c r="D45" s="1"/>
      <c r="E45" s="1"/>
      <c r="F45" s="1"/>
      <c r="G45" s="1"/>
      <c r="H45" s="2">
        <v>10</v>
      </c>
    </row>
    <row r="46" spans="1:8" ht="51" x14ac:dyDescent="0.25">
      <c r="A46" s="7" t="s">
        <v>8</v>
      </c>
      <c r="B46" s="9" t="s">
        <v>9</v>
      </c>
      <c r="C46" s="9" t="s">
        <v>10</v>
      </c>
      <c r="D46" s="9" t="s">
        <v>11</v>
      </c>
      <c r="E46" s="9" t="s">
        <v>12</v>
      </c>
      <c r="F46" s="9" t="s">
        <v>13</v>
      </c>
      <c r="G46" s="9" t="s">
        <v>14</v>
      </c>
      <c r="H46" s="8" t="s">
        <v>15</v>
      </c>
    </row>
    <row r="47" spans="1:8" x14ac:dyDescent="0.25">
      <c r="A47" s="11">
        <v>1</v>
      </c>
      <c r="B47" s="5">
        <v>2</v>
      </c>
      <c r="C47" s="5">
        <v>1</v>
      </c>
      <c r="D47" s="5"/>
      <c r="E47" s="5"/>
      <c r="F47" s="5"/>
      <c r="G47" s="5">
        <v>1</v>
      </c>
      <c r="H47" s="5">
        <f>H44+B47+F47-(C47+D47+G47)-E47</f>
        <v>1</v>
      </c>
    </row>
    <row r="48" spans="1:8" x14ac:dyDescent="0.25">
      <c r="A48" s="11">
        <v>2</v>
      </c>
      <c r="B48" s="5">
        <v>2</v>
      </c>
      <c r="C48" s="5"/>
      <c r="D48" s="5">
        <v>1</v>
      </c>
      <c r="E48" s="5">
        <v>1</v>
      </c>
      <c r="F48" s="5"/>
      <c r="G48" s="5"/>
      <c r="H48" s="5">
        <f>H47+B48+F48-(C48+D48+G48)-E48</f>
        <v>1</v>
      </c>
    </row>
    <row r="49" spans="1:8" x14ac:dyDescent="0.25">
      <c r="A49" s="11">
        <v>3</v>
      </c>
      <c r="B49" s="5">
        <v>1</v>
      </c>
      <c r="C49" s="5"/>
      <c r="D49" s="5"/>
      <c r="E49" s="5"/>
      <c r="F49" s="5"/>
      <c r="G49" s="5">
        <v>2</v>
      </c>
      <c r="H49" s="5">
        <f t="shared" ref="H49:H64" si="2">H48+B49+F49-(C49+D49+G49)-E49</f>
        <v>0</v>
      </c>
    </row>
    <row r="50" spans="1:8" x14ac:dyDescent="0.25">
      <c r="A50" s="11">
        <v>4</v>
      </c>
      <c r="B50" s="5">
        <v>7</v>
      </c>
      <c r="C50" s="5"/>
      <c r="D50" s="5"/>
      <c r="E50" s="5"/>
      <c r="F50" s="5"/>
      <c r="G50" s="5">
        <v>2</v>
      </c>
      <c r="H50" s="5">
        <f t="shared" si="2"/>
        <v>5</v>
      </c>
    </row>
    <row r="51" spans="1:8" x14ac:dyDescent="0.25">
      <c r="A51" s="11">
        <v>5</v>
      </c>
      <c r="B51" s="5">
        <v>3</v>
      </c>
      <c r="C51" s="5"/>
      <c r="D51" s="5">
        <v>1</v>
      </c>
      <c r="E51" s="5"/>
      <c r="F51" s="5"/>
      <c r="G51" s="5">
        <v>1</v>
      </c>
      <c r="H51" s="5">
        <f t="shared" si="2"/>
        <v>6</v>
      </c>
    </row>
    <row r="52" spans="1:8" x14ac:dyDescent="0.25">
      <c r="A52" s="11">
        <v>6</v>
      </c>
      <c r="B52" s="5">
        <v>1</v>
      </c>
      <c r="C52" s="5">
        <v>1</v>
      </c>
      <c r="D52" s="5">
        <v>1</v>
      </c>
      <c r="E52" s="5"/>
      <c r="F52" s="5"/>
      <c r="G52" s="5">
        <v>1</v>
      </c>
      <c r="H52" s="5">
        <f t="shared" si="2"/>
        <v>4</v>
      </c>
    </row>
    <row r="53" spans="1:8" x14ac:dyDescent="0.25">
      <c r="A53" s="11">
        <v>7</v>
      </c>
      <c r="B53" s="5">
        <v>3</v>
      </c>
      <c r="C53" s="5">
        <v>1</v>
      </c>
      <c r="D53" s="5"/>
      <c r="E53" s="5"/>
      <c r="F53" s="5"/>
      <c r="G53" s="5">
        <v>4</v>
      </c>
      <c r="H53" s="5">
        <f t="shared" si="2"/>
        <v>2</v>
      </c>
    </row>
    <row r="54" spans="1:8" x14ac:dyDescent="0.25">
      <c r="A54" s="11">
        <v>8</v>
      </c>
      <c r="B54" s="5">
        <v>4</v>
      </c>
      <c r="C54" s="5"/>
      <c r="D54" s="5"/>
      <c r="E54" s="5"/>
      <c r="F54" s="5"/>
      <c r="G54" s="5">
        <v>1</v>
      </c>
      <c r="H54" s="5">
        <f t="shared" si="2"/>
        <v>5</v>
      </c>
    </row>
    <row r="55" spans="1:8" x14ac:dyDescent="0.25">
      <c r="A55" s="11">
        <v>9</v>
      </c>
      <c r="B55" s="5">
        <v>1</v>
      </c>
      <c r="C55" s="5">
        <v>2</v>
      </c>
      <c r="D55" s="5"/>
      <c r="E55" s="5"/>
      <c r="F55" s="5"/>
      <c r="G55" s="5">
        <v>2</v>
      </c>
      <c r="H55" s="5">
        <f t="shared" si="2"/>
        <v>2</v>
      </c>
    </row>
    <row r="56" spans="1:8" x14ac:dyDescent="0.25">
      <c r="A56" s="11">
        <v>10</v>
      </c>
      <c r="B56" s="5">
        <v>3</v>
      </c>
      <c r="C56" s="5"/>
      <c r="D56" s="5"/>
      <c r="E56" s="5"/>
      <c r="F56" s="5"/>
      <c r="G56" s="5">
        <v>2</v>
      </c>
      <c r="H56" s="5">
        <f t="shared" si="2"/>
        <v>3</v>
      </c>
    </row>
    <row r="57" spans="1:8" x14ac:dyDescent="0.25">
      <c r="A57" s="11">
        <v>11</v>
      </c>
      <c r="B57" s="5">
        <v>5</v>
      </c>
      <c r="C57" s="5"/>
      <c r="D57" s="5"/>
      <c r="E57" s="5"/>
      <c r="F57" s="5"/>
      <c r="G57" s="5"/>
      <c r="H57" s="5">
        <f t="shared" si="2"/>
        <v>8</v>
      </c>
    </row>
    <row r="58" spans="1:8" x14ac:dyDescent="0.25">
      <c r="A58" s="11">
        <v>12</v>
      </c>
      <c r="B58" s="5">
        <v>1</v>
      </c>
      <c r="C58" s="5"/>
      <c r="D58" s="5"/>
      <c r="E58" s="5"/>
      <c r="F58" s="5"/>
      <c r="G58" s="5"/>
      <c r="H58" s="5">
        <f t="shared" si="2"/>
        <v>9</v>
      </c>
    </row>
    <row r="59" spans="1:8" x14ac:dyDescent="0.25">
      <c r="A59" s="11">
        <v>13</v>
      </c>
      <c r="B59" s="5">
        <v>3</v>
      </c>
      <c r="C59" s="5">
        <v>2</v>
      </c>
      <c r="D59" s="5"/>
      <c r="E59" s="5"/>
      <c r="F59" s="5"/>
      <c r="G59" s="5">
        <v>4</v>
      </c>
      <c r="H59" s="5">
        <f t="shared" si="2"/>
        <v>6</v>
      </c>
    </row>
    <row r="60" spans="1:8" x14ac:dyDescent="0.25">
      <c r="A60" s="11">
        <v>14</v>
      </c>
      <c r="B60" s="5">
        <v>4</v>
      </c>
      <c r="C60" s="5">
        <v>2</v>
      </c>
      <c r="D60" s="5"/>
      <c r="E60" s="5"/>
      <c r="F60" s="5"/>
      <c r="G60" s="5">
        <v>1</v>
      </c>
      <c r="H60" s="5">
        <f t="shared" si="2"/>
        <v>7</v>
      </c>
    </row>
    <row r="61" spans="1:8" x14ac:dyDescent="0.25">
      <c r="A61" s="11">
        <v>15</v>
      </c>
      <c r="B61" s="5"/>
      <c r="C61" s="5"/>
      <c r="D61" s="5"/>
      <c r="E61" s="5">
        <v>1</v>
      </c>
      <c r="F61" s="5"/>
      <c r="G61" s="5"/>
      <c r="H61" s="5">
        <f t="shared" si="2"/>
        <v>6</v>
      </c>
    </row>
    <row r="62" spans="1:8" x14ac:dyDescent="0.25">
      <c r="A62" s="11">
        <v>16</v>
      </c>
      <c r="B62" s="5">
        <v>2</v>
      </c>
      <c r="C62" s="5">
        <v>1</v>
      </c>
      <c r="D62" s="5">
        <v>1</v>
      </c>
      <c r="E62" s="5"/>
      <c r="F62" s="5"/>
      <c r="G62" s="5">
        <v>2</v>
      </c>
      <c r="H62" s="5">
        <f t="shared" si="2"/>
        <v>4</v>
      </c>
    </row>
    <row r="63" spans="1:8" x14ac:dyDescent="0.25">
      <c r="A63" s="11">
        <v>17</v>
      </c>
      <c r="B63" s="5">
        <v>3</v>
      </c>
      <c r="C63" s="5">
        <v>6</v>
      </c>
      <c r="D63" s="5"/>
      <c r="E63" s="5"/>
      <c r="F63" s="5"/>
      <c r="G63" s="5"/>
      <c r="H63" s="5">
        <f t="shared" si="2"/>
        <v>1</v>
      </c>
    </row>
    <row r="64" spans="1:8" x14ac:dyDescent="0.25">
      <c r="A64" s="11">
        <v>18</v>
      </c>
      <c r="B64" s="5">
        <v>6</v>
      </c>
      <c r="C64" s="5"/>
      <c r="D64" s="5"/>
      <c r="E64" s="5"/>
      <c r="F64" s="5"/>
      <c r="G64" s="5">
        <v>2</v>
      </c>
      <c r="H64" s="5">
        <f t="shared" si="2"/>
        <v>5</v>
      </c>
    </row>
    <row r="65" spans="1:8" x14ac:dyDescent="0.25">
      <c r="A65" s="11">
        <v>19</v>
      </c>
      <c r="B65" s="5">
        <v>4</v>
      </c>
      <c r="C65" s="5"/>
      <c r="D65" s="5">
        <v>1</v>
      </c>
      <c r="E65" s="5">
        <v>1</v>
      </c>
      <c r="F65" s="5"/>
      <c r="G65" s="5">
        <v>3</v>
      </c>
      <c r="H65" s="5">
        <f>H64+B65+F65-(C65+D65+G65)-E65</f>
        <v>4</v>
      </c>
    </row>
    <row r="66" spans="1:8" x14ac:dyDescent="0.25">
      <c r="A66" s="11">
        <v>20</v>
      </c>
      <c r="B66" s="5">
        <v>1</v>
      </c>
      <c r="C66" s="5">
        <v>1</v>
      </c>
      <c r="D66" s="5"/>
      <c r="E66" s="5"/>
      <c r="F66" s="5"/>
      <c r="G66" s="5">
        <v>1</v>
      </c>
      <c r="H66" s="5">
        <f t="shared" ref="H66:H75" si="3">H65+B66+F66-(C66+D66+G66)-E66</f>
        <v>3</v>
      </c>
    </row>
    <row r="67" spans="1:8" x14ac:dyDescent="0.25">
      <c r="A67" s="11">
        <v>21</v>
      </c>
      <c r="B67" s="5">
        <v>2</v>
      </c>
      <c r="C67" s="5"/>
      <c r="D67" s="5"/>
      <c r="E67" s="5"/>
      <c r="F67" s="5"/>
      <c r="G67" s="5">
        <v>3</v>
      </c>
      <c r="H67" s="5">
        <f t="shared" si="3"/>
        <v>2</v>
      </c>
    </row>
    <row r="68" spans="1:8" x14ac:dyDescent="0.25">
      <c r="A68" s="11">
        <v>22</v>
      </c>
      <c r="B68" s="5">
        <v>5</v>
      </c>
      <c r="C68" s="5">
        <v>1</v>
      </c>
      <c r="D68" s="5"/>
      <c r="E68" s="5">
        <v>1</v>
      </c>
      <c r="F68" s="5"/>
      <c r="G68" s="5">
        <v>2</v>
      </c>
      <c r="H68" s="5">
        <f t="shared" si="3"/>
        <v>3</v>
      </c>
    </row>
    <row r="69" spans="1:8" x14ac:dyDescent="0.25">
      <c r="A69" s="11">
        <v>23</v>
      </c>
      <c r="B69" s="408">
        <v>4</v>
      </c>
      <c r="C69" s="5"/>
      <c r="D69" s="5"/>
      <c r="E69" s="5"/>
      <c r="F69" s="5"/>
      <c r="G69" s="5">
        <v>2</v>
      </c>
      <c r="H69" s="5">
        <f t="shared" si="3"/>
        <v>5</v>
      </c>
    </row>
    <row r="70" spans="1:8" x14ac:dyDescent="0.25">
      <c r="A70" s="11">
        <v>24</v>
      </c>
      <c r="B70" s="5"/>
      <c r="C70" s="5"/>
      <c r="D70" s="5"/>
      <c r="E70" s="5"/>
      <c r="F70" s="5"/>
      <c r="G70" s="5">
        <v>3</v>
      </c>
      <c r="H70" s="5">
        <f t="shared" si="3"/>
        <v>2</v>
      </c>
    </row>
    <row r="71" spans="1:8" x14ac:dyDescent="0.25">
      <c r="A71" s="11">
        <v>25</v>
      </c>
      <c r="B71" s="408">
        <v>6</v>
      </c>
      <c r="C71" s="5"/>
      <c r="D71" s="5"/>
      <c r="E71" s="5"/>
      <c r="F71" s="5"/>
      <c r="G71" s="5"/>
      <c r="H71" s="5">
        <f t="shared" si="3"/>
        <v>8</v>
      </c>
    </row>
    <row r="72" spans="1:8" x14ac:dyDescent="0.25">
      <c r="A72" s="11">
        <v>26</v>
      </c>
      <c r="B72" s="5">
        <v>1</v>
      </c>
      <c r="C72" s="5">
        <v>1</v>
      </c>
      <c r="D72" s="5"/>
      <c r="E72" s="5"/>
      <c r="F72" s="5"/>
      <c r="G72" s="5">
        <v>1</v>
      </c>
      <c r="H72" s="5">
        <f t="shared" si="3"/>
        <v>7</v>
      </c>
    </row>
    <row r="73" spans="1:8" x14ac:dyDescent="0.25">
      <c r="A73" s="11">
        <v>27</v>
      </c>
      <c r="B73" s="5">
        <v>5</v>
      </c>
      <c r="C73" s="5">
        <v>1</v>
      </c>
      <c r="D73" s="5"/>
      <c r="E73" s="5">
        <v>1</v>
      </c>
      <c r="F73" s="5"/>
      <c r="G73" s="5">
        <v>1</v>
      </c>
      <c r="H73" s="5">
        <f t="shared" si="3"/>
        <v>9</v>
      </c>
    </row>
    <row r="74" spans="1:8" x14ac:dyDescent="0.25">
      <c r="A74" s="11">
        <v>28</v>
      </c>
      <c r="B74" s="5"/>
      <c r="C74" s="5">
        <v>3</v>
      </c>
      <c r="D74" s="5"/>
      <c r="E74" s="5"/>
      <c r="F74" s="5"/>
      <c r="G74" s="5">
        <v>1</v>
      </c>
      <c r="H74" s="5">
        <f t="shared" si="3"/>
        <v>5</v>
      </c>
    </row>
    <row r="75" spans="1:8" x14ac:dyDescent="0.25">
      <c r="A75" s="11">
        <v>29</v>
      </c>
      <c r="B75" s="5"/>
      <c r="C75" s="5"/>
      <c r="D75" s="5"/>
      <c r="E75" s="5"/>
      <c r="F75" s="5"/>
      <c r="G75" s="5"/>
      <c r="H75" s="5">
        <f t="shared" si="3"/>
        <v>5</v>
      </c>
    </row>
    <row r="76" spans="1:8" x14ac:dyDescent="0.25">
      <c r="A76" s="13" t="s">
        <v>35</v>
      </c>
      <c r="B76" s="12">
        <f>SUM(B47:B75)-E76</f>
        <v>74</v>
      </c>
      <c r="C76" s="12">
        <f t="shared" ref="C76:H76" si="4">SUM(C47:C75)</f>
        <v>23</v>
      </c>
      <c r="D76" s="12">
        <f t="shared" si="4"/>
        <v>5</v>
      </c>
      <c r="E76" s="12">
        <f t="shared" si="4"/>
        <v>5</v>
      </c>
      <c r="F76" s="12">
        <f t="shared" si="4"/>
        <v>0</v>
      </c>
      <c r="G76" s="12">
        <f t="shared" si="4"/>
        <v>42</v>
      </c>
      <c r="H76" s="12">
        <f t="shared" si="4"/>
        <v>128</v>
      </c>
    </row>
    <row r="79" spans="1:8" ht="36" x14ac:dyDescent="0.55000000000000004">
      <c r="A79" s="605" t="s">
        <v>1</v>
      </c>
      <c r="B79" s="605"/>
      <c r="C79" s="605"/>
      <c r="D79" s="605"/>
      <c r="E79" s="605"/>
      <c r="F79" s="605"/>
      <c r="G79" s="605"/>
      <c r="H79" s="605"/>
    </row>
    <row r="80" spans="1:8" ht="27" thickBot="1" x14ac:dyDescent="0.45">
      <c r="A80" s="606" t="s">
        <v>0</v>
      </c>
      <c r="B80" s="606"/>
      <c r="C80" s="606"/>
      <c r="D80" s="606"/>
      <c r="E80" s="606"/>
      <c r="F80" s="606"/>
      <c r="G80" s="606"/>
      <c r="H80" s="606"/>
    </row>
    <row r="81" spans="1:8" ht="15.75" x14ac:dyDescent="0.25">
      <c r="A81" s="18" t="s">
        <v>19</v>
      </c>
      <c r="B81" s="19" t="s">
        <v>3</v>
      </c>
      <c r="C81" s="20"/>
      <c r="D81" s="21" t="s">
        <v>18</v>
      </c>
      <c r="E81" s="625" t="s">
        <v>53</v>
      </c>
      <c r="F81" s="626"/>
      <c r="G81" s="19" t="s">
        <v>16</v>
      </c>
      <c r="H81" s="32" t="s">
        <v>42</v>
      </c>
    </row>
    <row r="82" spans="1:8" ht="15.75" x14ac:dyDescent="0.25">
      <c r="A82" s="609" t="s">
        <v>6</v>
      </c>
      <c r="B82" s="610"/>
      <c r="C82" s="610"/>
      <c r="D82" s="610"/>
      <c r="E82" s="610"/>
      <c r="F82" s="611"/>
      <c r="G82" s="1"/>
      <c r="H82" s="2">
        <f>H75</f>
        <v>5</v>
      </c>
    </row>
    <row r="83" spans="1:8" ht="15.75" x14ac:dyDescent="0.25">
      <c r="A83" s="3" t="s">
        <v>7</v>
      </c>
      <c r="B83" s="1"/>
      <c r="C83" s="1"/>
      <c r="D83" s="1"/>
      <c r="E83" s="1"/>
      <c r="F83" s="1"/>
      <c r="G83" s="1"/>
      <c r="H83" s="2">
        <v>10</v>
      </c>
    </row>
    <row r="84" spans="1:8" ht="51.75" thickBot="1" x14ac:dyDescent="0.3">
      <c r="A84" s="40" t="s">
        <v>8</v>
      </c>
      <c r="B84" s="49" t="s">
        <v>9</v>
      </c>
      <c r="C84" s="49" t="s">
        <v>10</v>
      </c>
      <c r="D84" s="49" t="s">
        <v>11</v>
      </c>
      <c r="E84" s="49" t="s">
        <v>12</v>
      </c>
      <c r="F84" s="49" t="s">
        <v>13</v>
      </c>
      <c r="G84" s="49" t="s">
        <v>14</v>
      </c>
      <c r="H84" s="50" t="s">
        <v>15</v>
      </c>
    </row>
    <row r="85" spans="1:8" x14ac:dyDescent="0.25">
      <c r="A85" s="36">
        <v>1</v>
      </c>
      <c r="B85" s="37">
        <v>2</v>
      </c>
      <c r="C85" s="37"/>
      <c r="D85" s="37">
        <v>1</v>
      </c>
      <c r="E85" s="37"/>
      <c r="F85" s="37"/>
      <c r="G85" s="37">
        <v>1</v>
      </c>
      <c r="H85" s="38">
        <f>H82+B85+F85-(C85+D85+G85)-E85</f>
        <v>5</v>
      </c>
    </row>
    <row r="86" spans="1:8" x14ac:dyDescent="0.25">
      <c r="A86" s="26">
        <v>2</v>
      </c>
      <c r="B86" s="5">
        <v>1</v>
      </c>
      <c r="C86" s="5"/>
      <c r="D86" s="5"/>
      <c r="E86" s="5"/>
      <c r="F86" s="5"/>
      <c r="G86" s="5">
        <v>2</v>
      </c>
      <c r="H86" s="2">
        <f>H85+B86+F86-(C86+D86+G86)-E86</f>
        <v>4</v>
      </c>
    </row>
    <row r="87" spans="1:8" x14ac:dyDescent="0.25">
      <c r="A87" s="26">
        <v>3</v>
      </c>
      <c r="B87" s="5">
        <v>2</v>
      </c>
      <c r="C87" s="5">
        <v>1</v>
      </c>
      <c r="D87" s="5"/>
      <c r="E87" s="5"/>
      <c r="F87" s="5"/>
      <c r="G87" s="5">
        <v>1</v>
      </c>
      <c r="H87" s="2">
        <f t="shared" ref="H87:H102" si="5">H86+B87+F87-(C87+D87+G87)-E87</f>
        <v>4</v>
      </c>
    </row>
    <row r="88" spans="1:8" x14ac:dyDescent="0.25">
      <c r="A88" s="26">
        <v>4</v>
      </c>
      <c r="B88" s="5">
        <v>3</v>
      </c>
      <c r="C88" s="5"/>
      <c r="D88" s="5"/>
      <c r="E88" s="5">
        <v>1</v>
      </c>
      <c r="F88" s="5"/>
      <c r="G88" s="5"/>
      <c r="H88" s="2">
        <f t="shared" si="5"/>
        <v>6</v>
      </c>
    </row>
    <row r="89" spans="1:8" x14ac:dyDescent="0.25">
      <c r="A89" s="26">
        <v>5</v>
      </c>
      <c r="B89" s="5">
        <v>2</v>
      </c>
      <c r="C89" s="5"/>
      <c r="D89" s="5"/>
      <c r="E89" s="5"/>
      <c r="F89" s="5"/>
      <c r="G89" s="5">
        <v>1</v>
      </c>
      <c r="H89" s="2">
        <f t="shared" si="5"/>
        <v>7</v>
      </c>
    </row>
    <row r="90" spans="1:8" x14ac:dyDescent="0.25">
      <c r="A90" s="26">
        <v>6</v>
      </c>
      <c r="B90" s="5">
        <v>3</v>
      </c>
      <c r="C90" s="5">
        <v>3</v>
      </c>
      <c r="D90" s="5"/>
      <c r="E90" s="5"/>
      <c r="F90" s="5"/>
      <c r="G90" s="5">
        <v>1</v>
      </c>
      <c r="H90" s="2">
        <f t="shared" si="5"/>
        <v>6</v>
      </c>
    </row>
    <row r="91" spans="1:8" x14ac:dyDescent="0.25">
      <c r="A91" s="26">
        <v>7</v>
      </c>
      <c r="B91" s="5">
        <v>3</v>
      </c>
      <c r="C91" s="5"/>
      <c r="D91" s="5"/>
      <c r="E91" s="5"/>
      <c r="F91" s="5"/>
      <c r="G91" s="5">
        <v>1</v>
      </c>
      <c r="H91" s="2">
        <f t="shared" si="5"/>
        <v>8</v>
      </c>
    </row>
    <row r="92" spans="1:8" x14ac:dyDescent="0.25">
      <c r="A92" s="26">
        <v>8</v>
      </c>
      <c r="B92" s="5">
        <v>2</v>
      </c>
      <c r="C92" s="5"/>
      <c r="D92" s="5">
        <v>1</v>
      </c>
      <c r="E92" s="5"/>
      <c r="F92" s="5"/>
      <c r="G92" s="5">
        <v>3</v>
      </c>
      <c r="H92" s="2">
        <f t="shared" si="5"/>
        <v>6</v>
      </c>
    </row>
    <row r="93" spans="1:8" x14ac:dyDescent="0.25">
      <c r="A93" s="26">
        <v>9</v>
      </c>
      <c r="B93" s="5"/>
      <c r="C93" s="5">
        <v>2</v>
      </c>
      <c r="D93" s="5"/>
      <c r="E93" s="5"/>
      <c r="F93" s="5"/>
      <c r="G93" s="5">
        <v>2</v>
      </c>
      <c r="H93" s="2">
        <f t="shared" si="5"/>
        <v>2</v>
      </c>
    </row>
    <row r="94" spans="1:8" x14ac:dyDescent="0.25">
      <c r="A94" s="26">
        <v>10</v>
      </c>
      <c r="B94" s="5">
        <v>4</v>
      </c>
      <c r="C94" s="5"/>
      <c r="D94" s="5"/>
      <c r="E94" s="5"/>
      <c r="F94" s="5"/>
      <c r="G94" s="5">
        <v>1</v>
      </c>
      <c r="H94" s="2">
        <f t="shared" si="5"/>
        <v>5</v>
      </c>
    </row>
    <row r="95" spans="1:8" x14ac:dyDescent="0.25">
      <c r="A95" s="26">
        <v>11</v>
      </c>
      <c r="B95" s="5">
        <v>2</v>
      </c>
      <c r="C95" s="5">
        <v>2</v>
      </c>
      <c r="D95" s="5"/>
      <c r="E95" s="5"/>
      <c r="F95" s="5"/>
      <c r="G95" s="5"/>
      <c r="H95" s="2">
        <f t="shared" si="5"/>
        <v>5</v>
      </c>
    </row>
    <row r="96" spans="1:8" x14ac:dyDescent="0.25">
      <c r="A96" s="26">
        <v>12</v>
      </c>
      <c r="B96" s="5">
        <v>4</v>
      </c>
      <c r="C96" s="5"/>
      <c r="D96" s="5"/>
      <c r="E96" s="5"/>
      <c r="F96" s="5"/>
      <c r="G96" s="5">
        <v>2</v>
      </c>
      <c r="H96" s="2">
        <f t="shared" si="5"/>
        <v>7</v>
      </c>
    </row>
    <row r="97" spans="1:8" x14ac:dyDescent="0.25">
      <c r="A97" s="26">
        <v>13</v>
      </c>
      <c r="B97" s="5">
        <v>2</v>
      </c>
      <c r="C97" s="5">
        <v>2</v>
      </c>
      <c r="D97" s="5"/>
      <c r="E97" s="5"/>
      <c r="F97" s="5"/>
      <c r="G97" s="5">
        <v>2</v>
      </c>
      <c r="H97" s="2">
        <f t="shared" si="5"/>
        <v>5</v>
      </c>
    </row>
    <row r="98" spans="1:8" x14ac:dyDescent="0.25">
      <c r="A98" s="26">
        <v>14</v>
      </c>
      <c r="B98" s="5">
        <v>3</v>
      </c>
      <c r="C98" s="5">
        <v>2</v>
      </c>
      <c r="D98" s="5"/>
      <c r="E98" s="5"/>
      <c r="F98" s="5"/>
      <c r="G98" s="5">
        <v>1</v>
      </c>
      <c r="H98" s="2">
        <f t="shared" si="5"/>
        <v>5</v>
      </c>
    </row>
    <row r="99" spans="1:8" x14ac:dyDescent="0.25">
      <c r="A99" s="26">
        <v>15</v>
      </c>
      <c r="B99" s="5">
        <v>1</v>
      </c>
      <c r="C99" s="5">
        <v>1</v>
      </c>
      <c r="D99" s="5"/>
      <c r="E99" s="5"/>
      <c r="F99" s="5"/>
      <c r="G99" s="5">
        <v>3</v>
      </c>
      <c r="H99" s="2">
        <f t="shared" si="5"/>
        <v>2</v>
      </c>
    </row>
    <row r="100" spans="1:8" x14ac:dyDescent="0.25">
      <c r="A100" s="26">
        <v>16</v>
      </c>
      <c r="B100" s="5">
        <v>2</v>
      </c>
      <c r="C100" s="5"/>
      <c r="D100" s="5"/>
      <c r="E100" s="5"/>
      <c r="F100" s="5"/>
      <c r="G100" s="5"/>
      <c r="H100" s="2">
        <f t="shared" si="5"/>
        <v>4</v>
      </c>
    </row>
    <row r="101" spans="1:8" x14ac:dyDescent="0.25">
      <c r="A101" s="26">
        <v>17</v>
      </c>
      <c r="B101" s="5">
        <v>1</v>
      </c>
      <c r="C101" s="5">
        <v>1</v>
      </c>
      <c r="D101" s="5"/>
      <c r="E101" s="5"/>
      <c r="F101" s="5"/>
      <c r="G101" s="5">
        <v>1</v>
      </c>
      <c r="H101" s="2">
        <f t="shared" si="5"/>
        <v>3</v>
      </c>
    </row>
    <row r="102" spans="1:8" x14ac:dyDescent="0.25">
      <c r="A102" s="26">
        <v>18</v>
      </c>
      <c r="B102" s="5">
        <v>4</v>
      </c>
      <c r="C102" s="5"/>
      <c r="D102" s="5"/>
      <c r="E102" s="5"/>
      <c r="F102" s="5"/>
      <c r="G102" s="5">
        <v>4</v>
      </c>
      <c r="H102" s="2">
        <f t="shared" si="5"/>
        <v>3</v>
      </c>
    </row>
    <row r="103" spans="1:8" x14ac:dyDescent="0.25">
      <c r="A103" s="26">
        <v>19</v>
      </c>
      <c r="B103" s="5">
        <v>1</v>
      </c>
      <c r="C103" s="5">
        <v>1</v>
      </c>
      <c r="D103" s="5"/>
      <c r="E103" s="5"/>
      <c r="F103" s="5"/>
      <c r="G103" s="5">
        <v>1</v>
      </c>
      <c r="H103" s="2">
        <f>H102+B103+F103-(C103+D103+G103)-E103</f>
        <v>2</v>
      </c>
    </row>
    <row r="104" spans="1:8" x14ac:dyDescent="0.25">
      <c r="A104" s="26">
        <v>20</v>
      </c>
      <c r="B104" s="5"/>
      <c r="C104" s="5"/>
      <c r="D104" s="5"/>
      <c r="E104" s="5"/>
      <c r="F104" s="5"/>
      <c r="G104" s="5"/>
      <c r="H104" s="2">
        <f t="shared" ref="H104:H115" si="6">H103+B104+F104-(C104+D104+G104)-E104</f>
        <v>2</v>
      </c>
    </row>
    <row r="105" spans="1:8" x14ac:dyDescent="0.25">
      <c r="A105" s="26">
        <v>21</v>
      </c>
      <c r="B105" s="5">
        <v>2</v>
      </c>
      <c r="C105" s="5"/>
      <c r="D105" s="5"/>
      <c r="E105" s="5"/>
      <c r="F105" s="5"/>
      <c r="G105" s="5"/>
      <c r="H105" s="2">
        <f t="shared" si="6"/>
        <v>4</v>
      </c>
    </row>
    <row r="106" spans="1:8" x14ac:dyDescent="0.25">
      <c r="A106" s="26">
        <v>22</v>
      </c>
      <c r="B106" s="5"/>
      <c r="C106" s="5"/>
      <c r="D106" s="5"/>
      <c r="E106" s="5"/>
      <c r="F106" s="5"/>
      <c r="G106" s="5">
        <v>2</v>
      </c>
      <c r="H106" s="2">
        <f t="shared" si="6"/>
        <v>2</v>
      </c>
    </row>
    <row r="107" spans="1:8" x14ac:dyDescent="0.25">
      <c r="A107" s="26">
        <v>23</v>
      </c>
      <c r="B107" s="5"/>
      <c r="C107" s="5"/>
      <c r="D107" s="5"/>
      <c r="E107" s="5"/>
      <c r="F107" s="5"/>
      <c r="G107" s="5"/>
      <c r="H107" s="2">
        <f t="shared" si="6"/>
        <v>2</v>
      </c>
    </row>
    <row r="108" spans="1:8" x14ac:dyDescent="0.25">
      <c r="A108" s="26">
        <v>24</v>
      </c>
      <c r="B108" s="5">
        <v>1</v>
      </c>
      <c r="C108" s="5"/>
      <c r="D108" s="5"/>
      <c r="E108" s="5"/>
      <c r="F108" s="5"/>
      <c r="G108" s="5"/>
      <c r="H108" s="2">
        <f t="shared" si="6"/>
        <v>3</v>
      </c>
    </row>
    <row r="109" spans="1:8" x14ac:dyDescent="0.25">
      <c r="A109" s="26">
        <v>25</v>
      </c>
      <c r="B109" s="5">
        <v>1</v>
      </c>
      <c r="C109" s="5"/>
      <c r="D109" s="5"/>
      <c r="E109" s="5"/>
      <c r="F109" s="5"/>
      <c r="G109" s="5"/>
      <c r="H109" s="2">
        <f t="shared" si="6"/>
        <v>4</v>
      </c>
    </row>
    <row r="110" spans="1:8" x14ac:dyDescent="0.25">
      <c r="A110" s="26">
        <v>26</v>
      </c>
      <c r="B110" s="5">
        <v>2</v>
      </c>
      <c r="C110" s="5"/>
      <c r="D110" s="5"/>
      <c r="E110" s="5">
        <v>1</v>
      </c>
      <c r="F110" s="5"/>
      <c r="G110" s="5">
        <v>1</v>
      </c>
      <c r="H110" s="2">
        <f t="shared" si="6"/>
        <v>4</v>
      </c>
    </row>
    <row r="111" spans="1:8" x14ac:dyDescent="0.25">
      <c r="A111" s="26">
        <v>27</v>
      </c>
      <c r="B111" s="5">
        <v>3</v>
      </c>
      <c r="C111" s="5"/>
      <c r="D111" s="5"/>
      <c r="E111" s="5">
        <v>1</v>
      </c>
      <c r="F111" s="5"/>
      <c r="G111" s="5">
        <v>3</v>
      </c>
      <c r="H111" s="2">
        <f t="shared" si="6"/>
        <v>3</v>
      </c>
    </row>
    <row r="112" spans="1:8" x14ac:dyDescent="0.25">
      <c r="A112" s="26">
        <v>28</v>
      </c>
      <c r="B112" s="5">
        <v>1</v>
      </c>
      <c r="C112" s="5"/>
      <c r="D112" s="5"/>
      <c r="E112" s="5"/>
      <c r="F112" s="5"/>
      <c r="G112" s="5">
        <v>1</v>
      </c>
      <c r="H112" s="2">
        <f t="shared" si="6"/>
        <v>3</v>
      </c>
    </row>
    <row r="113" spans="1:8" x14ac:dyDescent="0.25">
      <c r="A113" s="26">
        <v>29</v>
      </c>
      <c r="B113" s="5">
        <v>2</v>
      </c>
      <c r="C113" s="5">
        <v>1</v>
      </c>
      <c r="D113" s="5"/>
      <c r="E113" s="5"/>
      <c r="F113" s="5"/>
      <c r="G113" s="5"/>
      <c r="H113" s="2">
        <f t="shared" si="6"/>
        <v>4</v>
      </c>
    </row>
    <row r="114" spans="1:8" x14ac:dyDescent="0.25">
      <c r="A114" s="26">
        <v>30</v>
      </c>
      <c r="B114" s="5">
        <v>1</v>
      </c>
      <c r="C114" s="5">
        <v>1</v>
      </c>
      <c r="D114" s="5"/>
      <c r="E114" s="5"/>
      <c r="F114" s="5"/>
      <c r="G114" s="5">
        <v>1</v>
      </c>
      <c r="H114" s="2">
        <f t="shared" si="6"/>
        <v>3</v>
      </c>
    </row>
    <row r="115" spans="1:8" x14ac:dyDescent="0.25">
      <c r="A115" s="26">
        <v>31</v>
      </c>
      <c r="B115" s="5">
        <v>1</v>
      </c>
      <c r="C115" s="5"/>
      <c r="D115" s="5"/>
      <c r="E115" s="5"/>
      <c r="F115" s="5"/>
      <c r="G115" s="5">
        <v>1</v>
      </c>
      <c r="H115" s="2">
        <f t="shared" si="6"/>
        <v>3</v>
      </c>
    </row>
    <row r="116" spans="1:8" ht="15.75" thickBot="1" x14ac:dyDescent="0.3">
      <c r="A116" s="52" t="s">
        <v>35</v>
      </c>
      <c r="B116" s="34">
        <f>SUM(B85:B115)-E116</f>
        <v>53</v>
      </c>
      <c r="C116" s="34">
        <f t="shared" ref="C116:H116" si="7">SUM(C85:C115)</f>
        <v>17</v>
      </c>
      <c r="D116" s="34">
        <f t="shared" si="7"/>
        <v>2</v>
      </c>
      <c r="E116" s="34">
        <f t="shared" si="7"/>
        <v>3</v>
      </c>
      <c r="F116" s="34">
        <f t="shared" si="7"/>
        <v>0</v>
      </c>
      <c r="G116" s="34">
        <f t="shared" si="7"/>
        <v>36</v>
      </c>
      <c r="H116" s="35">
        <f t="shared" si="7"/>
        <v>126</v>
      </c>
    </row>
    <row r="119" spans="1:8" ht="36" x14ac:dyDescent="0.55000000000000004">
      <c r="A119" s="605" t="s">
        <v>1</v>
      </c>
      <c r="B119" s="605"/>
      <c r="C119" s="605"/>
      <c r="D119" s="605"/>
      <c r="E119" s="605"/>
      <c r="F119" s="605"/>
      <c r="G119" s="605"/>
      <c r="H119" s="605"/>
    </row>
    <row r="120" spans="1:8" ht="27" thickBot="1" x14ac:dyDescent="0.45">
      <c r="A120" s="606" t="s">
        <v>0</v>
      </c>
      <c r="B120" s="606"/>
      <c r="C120" s="606"/>
      <c r="D120" s="606"/>
      <c r="E120" s="606"/>
      <c r="F120" s="606"/>
      <c r="G120" s="606"/>
      <c r="H120" s="606"/>
    </row>
    <row r="121" spans="1:8" ht="15.75" x14ac:dyDescent="0.25">
      <c r="A121" s="39" t="s">
        <v>2</v>
      </c>
      <c r="B121" s="19" t="s">
        <v>3</v>
      </c>
      <c r="C121" s="20"/>
      <c r="D121" s="21" t="s">
        <v>52</v>
      </c>
      <c r="E121" s="625" t="s">
        <v>53</v>
      </c>
      <c r="F121" s="626"/>
      <c r="G121" s="19" t="s">
        <v>16</v>
      </c>
      <c r="H121" s="62" t="s">
        <v>50</v>
      </c>
    </row>
    <row r="122" spans="1:8" ht="15.75" x14ac:dyDescent="0.25">
      <c r="A122" s="609" t="s">
        <v>6</v>
      </c>
      <c r="B122" s="610"/>
      <c r="C122" s="610"/>
      <c r="D122" s="610"/>
      <c r="E122" s="610"/>
      <c r="F122" s="610"/>
      <c r="G122" s="611"/>
      <c r="H122" s="2">
        <f>H115</f>
        <v>3</v>
      </c>
    </row>
    <row r="123" spans="1:8" ht="15.75" x14ac:dyDescent="0.25">
      <c r="A123" s="3" t="s">
        <v>7</v>
      </c>
      <c r="B123" s="1"/>
      <c r="C123" s="1"/>
      <c r="D123" s="1"/>
      <c r="E123" s="1"/>
      <c r="F123" s="1"/>
      <c r="G123" s="1"/>
      <c r="H123" s="2">
        <v>10</v>
      </c>
    </row>
    <row r="124" spans="1:8" ht="51.75" thickBot="1" x14ac:dyDescent="0.3">
      <c r="A124" s="40" t="s">
        <v>8</v>
      </c>
      <c r="B124" s="41" t="s">
        <v>9</v>
      </c>
      <c r="C124" s="41" t="s">
        <v>10</v>
      </c>
      <c r="D124" s="41" t="s">
        <v>11</v>
      </c>
      <c r="E124" s="41" t="s">
        <v>12</v>
      </c>
      <c r="F124" s="41" t="s">
        <v>13</v>
      </c>
      <c r="G124" s="41" t="s">
        <v>14</v>
      </c>
      <c r="H124" s="42" t="s">
        <v>15</v>
      </c>
    </row>
    <row r="125" spans="1:8" x14ac:dyDescent="0.25">
      <c r="A125" s="36">
        <v>1</v>
      </c>
      <c r="B125" s="37">
        <v>1</v>
      </c>
      <c r="C125" s="37">
        <v>1</v>
      </c>
      <c r="D125" s="37"/>
      <c r="E125" s="37"/>
      <c r="F125" s="37"/>
      <c r="G125" s="37">
        <v>2</v>
      </c>
      <c r="H125" s="38">
        <f>H122+B125+F125-(C125+D125+G125)-E125</f>
        <v>1</v>
      </c>
    </row>
    <row r="126" spans="1:8" x14ac:dyDescent="0.25">
      <c r="A126" s="26">
        <v>2</v>
      </c>
      <c r="B126" s="5">
        <v>4</v>
      </c>
      <c r="C126" s="5"/>
      <c r="D126" s="5"/>
      <c r="E126" s="5"/>
      <c r="F126" s="5"/>
      <c r="G126" s="5"/>
      <c r="H126" s="2">
        <f>H125+B126+F126-(C126+D126+G126)-E126</f>
        <v>5</v>
      </c>
    </row>
    <row r="127" spans="1:8" x14ac:dyDescent="0.25">
      <c r="A127" s="26">
        <v>3</v>
      </c>
      <c r="B127" s="5">
        <v>4</v>
      </c>
      <c r="C127" s="5"/>
      <c r="D127" s="5"/>
      <c r="E127" s="5">
        <v>1</v>
      </c>
      <c r="F127" s="5"/>
      <c r="G127" s="5">
        <v>3</v>
      </c>
      <c r="H127" s="2">
        <f>H126+B127+F127-(C127+D127+G127)-E127</f>
        <v>5</v>
      </c>
    </row>
    <row r="128" spans="1:8" x14ac:dyDescent="0.25">
      <c r="A128" s="26">
        <v>4</v>
      </c>
      <c r="B128" s="5">
        <v>3</v>
      </c>
      <c r="C128" s="5"/>
      <c r="D128" s="5">
        <v>1</v>
      </c>
      <c r="E128" s="5">
        <v>1</v>
      </c>
      <c r="F128" s="5"/>
      <c r="G128" s="5">
        <v>2</v>
      </c>
      <c r="H128" s="2">
        <f t="shared" ref="H128:H154" si="8">H127+B128+F128-(C128+D128+G128)-E128</f>
        <v>4</v>
      </c>
    </row>
    <row r="129" spans="1:8" x14ac:dyDescent="0.25">
      <c r="A129" s="26">
        <v>5</v>
      </c>
      <c r="B129" s="5">
        <v>2</v>
      </c>
      <c r="C129" s="5">
        <v>2</v>
      </c>
      <c r="D129" s="5"/>
      <c r="E129" s="5">
        <v>1</v>
      </c>
      <c r="F129" s="5"/>
      <c r="G129" s="5">
        <v>1</v>
      </c>
      <c r="H129" s="2">
        <f t="shared" si="8"/>
        <v>2</v>
      </c>
    </row>
    <row r="130" spans="1:8" x14ac:dyDescent="0.25">
      <c r="A130" s="26">
        <v>6</v>
      </c>
      <c r="B130" s="5">
        <v>3</v>
      </c>
      <c r="C130" s="5"/>
      <c r="D130" s="5"/>
      <c r="E130" s="5">
        <v>1</v>
      </c>
      <c r="F130" s="5"/>
      <c r="G130" s="5">
        <v>2</v>
      </c>
      <c r="H130" s="2">
        <f t="shared" si="8"/>
        <v>2</v>
      </c>
    </row>
    <row r="131" spans="1:8" x14ac:dyDescent="0.25">
      <c r="A131" s="26">
        <v>7</v>
      </c>
      <c r="B131" s="5">
        <v>2</v>
      </c>
      <c r="C131" s="5">
        <v>2</v>
      </c>
      <c r="D131" s="5"/>
      <c r="E131" s="5"/>
      <c r="F131" s="5"/>
      <c r="G131" s="5"/>
      <c r="H131" s="2">
        <f t="shared" si="8"/>
        <v>2</v>
      </c>
    </row>
    <row r="132" spans="1:8" x14ac:dyDescent="0.25">
      <c r="A132" s="26">
        <v>8</v>
      </c>
      <c r="B132" s="5">
        <v>1</v>
      </c>
      <c r="C132" s="5"/>
      <c r="D132" s="5"/>
      <c r="E132" s="5"/>
      <c r="F132" s="5"/>
      <c r="G132" s="5">
        <v>1</v>
      </c>
      <c r="H132" s="2">
        <f t="shared" si="8"/>
        <v>2</v>
      </c>
    </row>
    <row r="133" spans="1:8" x14ac:dyDescent="0.25">
      <c r="A133" s="26">
        <v>9</v>
      </c>
      <c r="B133" s="5">
        <v>2</v>
      </c>
      <c r="C133" s="5"/>
      <c r="D133" s="5"/>
      <c r="E133" s="5"/>
      <c r="F133" s="5"/>
      <c r="G133" s="5">
        <v>1</v>
      </c>
      <c r="H133" s="2">
        <f t="shared" si="8"/>
        <v>3</v>
      </c>
    </row>
    <row r="134" spans="1:8" x14ac:dyDescent="0.25">
      <c r="A134" s="26">
        <v>10</v>
      </c>
      <c r="B134" s="5">
        <v>2</v>
      </c>
      <c r="C134" s="5">
        <v>1</v>
      </c>
      <c r="D134" s="5"/>
      <c r="E134" s="5"/>
      <c r="F134" s="5"/>
      <c r="G134" s="5">
        <v>2</v>
      </c>
      <c r="H134" s="2">
        <f t="shared" si="8"/>
        <v>2</v>
      </c>
    </row>
    <row r="135" spans="1:8" x14ac:dyDescent="0.25">
      <c r="A135" s="26">
        <v>11</v>
      </c>
      <c r="B135" s="5">
        <v>3</v>
      </c>
      <c r="C135" s="5">
        <v>1</v>
      </c>
      <c r="D135" s="5"/>
      <c r="E135" s="5"/>
      <c r="F135" s="5"/>
      <c r="G135" s="5">
        <v>3</v>
      </c>
      <c r="H135" s="2">
        <f t="shared" si="8"/>
        <v>1</v>
      </c>
    </row>
    <row r="136" spans="1:8" x14ac:dyDescent="0.25">
      <c r="A136" s="26">
        <v>12</v>
      </c>
      <c r="B136" s="5">
        <v>1</v>
      </c>
      <c r="C136" s="5"/>
      <c r="D136" s="5"/>
      <c r="E136" s="5">
        <v>1</v>
      </c>
      <c r="F136" s="5"/>
      <c r="G136" s="5"/>
      <c r="H136" s="2">
        <f t="shared" si="8"/>
        <v>1</v>
      </c>
    </row>
    <row r="137" spans="1:8" x14ac:dyDescent="0.25">
      <c r="A137" s="26">
        <v>13</v>
      </c>
      <c r="B137" s="5">
        <v>4</v>
      </c>
      <c r="C137" s="5"/>
      <c r="D137" s="5"/>
      <c r="E137" s="5"/>
      <c r="F137" s="5"/>
      <c r="G137" s="5">
        <v>1</v>
      </c>
      <c r="H137" s="2">
        <f t="shared" si="8"/>
        <v>4</v>
      </c>
    </row>
    <row r="138" spans="1:8" x14ac:dyDescent="0.25">
      <c r="A138" s="26">
        <v>14</v>
      </c>
      <c r="B138" s="5">
        <v>3</v>
      </c>
      <c r="C138" s="5"/>
      <c r="D138" s="5"/>
      <c r="E138" s="5">
        <v>1</v>
      </c>
      <c r="F138" s="5"/>
      <c r="G138" s="5">
        <v>3</v>
      </c>
      <c r="H138" s="2">
        <f t="shared" si="8"/>
        <v>3</v>
      </c>
    </row>
    <row r="139" spans="1:8" x14ac:dyDescent="0.25">
      <c r="A139" s="26">
        <v>15</v>
      </c>
      <c r="B139" s="5">
        <v>4</v>
      </c>
      <c r="C139" s="5">
        <v>1</v>
      </c>
      <c r="D139" s="5"/>
      <c r="E139" s="5"/>
      <c r="F139" s="5"/>
      <c r="G139" s="5">
        <v>1</v>
      </c>
      <c r="H139" s="2">
        <f t="shared" si="8"/>
        <v>5</v>
      </c>
    </row>
    <row r="140" spans="1:8" x14ac:dyDescent="0.25">
      <c r="A140" s="26">
        <v>16</v>
      </c>
      <c r="B140" s="5">
        <v>1</v>
      </c>
      <c r="C140" s="5"/>
      <c r="D140" s="5"/>
      <c r="E140" s="5"/>
      <c r="F140" s="5"/>
      <c r="G140" s="5">
        <v>3</v>
      </c>
      <c r="H140" s="2">
        <f t="shared" si="8"/>
        <v>3</v>
      </c>
    </row>
    <row r="141" spans="1:8" x14ac:dyDescent="0.25">
      <c r="A141" s="26">
        <v>17</v>
      </c>
      <c r="B141" s="5">
        <v>3</v>
      </c>
      <c r="C141" s="5">
        <v>1</v>
      </c>
      <c r="D141" s="5">
        <v>1</v>
      </c>
      <c r="E141" s="5"/>
      <c r="F141" s="5"/>
      <c r="G141" s="5"/>
      <c r="H141" s="2">
        <f t="shared" si="8"/>
        <v>4</v>
      </c>
    </row>
    <row r="142" spans="1:8" x14ac:dyDescent="0.25">
      <c r="A142" s="26">
        <v>18</v>
      </c>
      <c r="B142" s="5">
        <v>3</v>
      </c>
      <c r="C142" s="5">
        <v>1</v>
      </c>
      <c r="D142" s="5"/>
      <c r="E142" s="5"/>
      <c r="F142" s="5"/>
      <c r="G142" s="5">
        <v>3</v>
      </c>
      <c r="H142" s="2">
        <f t="shared" si="8"/>
        <v>3</v>
      </c>
    </row>
    <row r="143" spans="1:8" x14ac:dyDescent="0.25">
      <c r="A143" s="26">
        <v>19</v>
      </c>
      <c r="B143" s="5">
        <v>1</v>
      </c>
      <c r="C143" s="5">
        <v>1</v>
      </c>
      <c r="D143" s="5"/>
      <c r="E143" s="5"/>
      <c r="F143" s="5"/>
      <c r="G143" s="5">
        <v>1</v>
      </c>
      <c r="H143" s="2">
        <f t="shared" si="8"/>
        <v>2</v>
      </c>
    </row>
    <row r="144" spans="1:8" x14ac:dyDescent="0.25">
      <c r="A144" s="26">
        <v>20</v>
      </c>
      <c r="B144" s="5">
        <v>4</v>
      </c>
      <c r="C144" s="5"/>
      <c r="D144" s="5"/>
      <c r="E144" s="5"/>
      <c r="F144" s="5"/>
      <c r="G144" s="5">
        <v>1</v>
      </c>
      <c r="H144" s="2">
        <f t="shared" si="8"/>
        <v>5</v>
      </c>
    </row>
    <row r="145" spans="1:8" x14ac:dyDescent="0.25">
      <c r="A145" s="26">
        <v>21</v>
      </c>
      <c r="B145" s="5">
        <v>2</v>
      </c>
      <c r="C145" s="5">
        <v>3</v>
      </c>
      <c r="D145" s="5"/>
      <c r="E145" s="5"/>
      <c r="F145" s="5"/>
      <c r="G145" s="5"/>
      <c r="H145" s="2">
        <f t="shared" si="8"/>
        <v>4</v>
      </c>
    </row>
    <row r="146" spans="1:8" x14ac:dyDescent="0.25">
      <c r="A146" s="26">
        <v>22</v>
      </c>
      <c r="B146" s="5">
        <v>4</v>
      </c>
      <c r="C146" s="5">
        <v>1</v>
      </c>
      <c r="D146" s="5"/>
      <c r="E146" s="5"/>
      <c r="F146" s="5"/>
      <c r="G146" s="5">
        <v>3</v>
      </c>
      <c r="H146" s="2">
        <f t="shared" si="8"/>
        <v>4</v>
      </c>
    </row>
    <row r="147" spans="1:8" x14ac:dyDescent="0.25">
      <c r="A147" s="26">
        <v>23</v>
      </c>
      <c r="B147" s="5">
        <v>3</v>
      </c>
      <c r="C147" s="5">
        <v>1</v>
      </c>
      <c r="D147" s="5"/>
      <c r="E147" s="5">
        <v>1</v>
      </c>
      <c r="F147" s="5"/>
      <c r="G147" s="5">
        <v>3</v>
      </c>
      <c r="H147" s="2">
        <f t="shared" si="8"/>
        <v>2</v>
      </c>
    </row>
    <row r="148" spans="1:8" x14ac:dyDescent="0.25">
      <c r="A148" s="26">
        <v>24</v>
      </c>
      <c r="B148" s="5">
        <v>4</v>
      </c>
      <c r="C148" s="5">
        <v>1</v>
      </c>
      <c r="D148" s="5"/>
      <c r="E148" s="5"/>
      <c r="F148" s="5"/>
      <c r="G148" s="5">
        <v>2</v>
      </c>
      <c r="H148" s="2">
        <f t="shared" si="8"/>
        <v>3</v>
      </c>
    </row>
    <row r="149" spans="1:8" x14ac:dyDescent="0.25">
      <c r="A149" s="26">
        <v>25</v>
      </c>
      <c r="B149" s="5">
        <v>6</v>
      </c>
      <c r="C149" s="5">
        <v>2</v>
      </c>
      <c r="D149" s="5"/>
      <c r="E149" s="5"/>
      <c r="F149" s="5"/>
      <c r="G149" s="5">
        <v>4</v>
      </c>
      <c r="H149" s="2">
        <f t="shared" si="8"/>
        <v>3</v>
      </c>
    </row>
    <row r="150" spans="1:8" x14ac:dyDescent="0.25">
      <c r="A150" s="26">
        <v>26</v>
      </c>
      <c r="B150" s="5"/>
      <c r="C150" s="5">
        <v>1</v>
      </c>
      <c r="D150" s="5"/>
      <c r="E150" s="5"/>
      <c r="F150" s="5"/>
      <c r="G150" s="5">
        <v>1</v>
      </c>
      <c r="H150" s="2">
        <f t="shared" si="8"/>
        <v>1</v>
      </c>
    </row>
    <row r="151" spans="1:8" x14ac:dyDescent="0.25">
      <c r="A151" s="26">
        <v>27</v>
      </c>
      <c r="B151" s="406">
        <v>2</v>
      </c>
      <c r="C151" s="5">
        <v>1</v>
      </c>
      <c r="D151" s="5"/>
      <c r="E151" s="5"/>
      <c r="F151" s="5"/>
      <c r="G151" s="5"/>
      <c r="H151" s="2">
        <f t="shared" si="8"/>
        <v>2</v>
      </c>
    </row>
    <row r="152" spans="1:8" x14ac:dyDescent="0.25">
      <c r="A152" s="26">
        <v>28</v>
      </c>
      <c r="B152" s="5">
        <v>1</v>
      </c>
      <c r="C152" s="5"/>
      <c r="D152" s="5"/>
      <c r="E152" s="5"/>
      <c r="F152" s="5"/>
      <c r="G152" s="5"/>
      <c r="H152" s="2">
        <f t="shared" si="8"/>
        <v>3</v>
      </c>
    </row>
    <row r="153" spans="1:8" x14ac:dyDescent="0.25">
      <c r="A153" s="26">
        <v>29</v>
      </c>
      <c r="B153" s="5">
        <v>1</v>
      </c>
      <c r="C153" s="5">
        <v>1</v>
      </c>
      <c r="D153" s="5"/>
      <c r="E153" s="5"/>
      <c r="F153" s="5"/>
      <c r="G153" s="5">
        <v>2</v>
      </c>
      <c r="H153" s="2">
        <f t="shared" si="8"/>
        <v>1</v>
      </c>
    </row>
    <row r="154" spans="1:8" ht="15.75" thickBot="1" x14ac:dyDescent="0.3">
      <c r="A154" s="28">
        <v>30</v>
      </c>
      <c r="B154" s="29">
        <v>2</v>
      </c>
      <c r="C154" s="29"/>
      <c r="D154" s="29"/>
      <c r="E154" s="29"/>
      <c r="F154" s="29"/>
      <c r="G154" s="29"/>
      <c r="H154" s="57">
        <f t="shared" si="8"/>
        <v>3</v>
      </c>
    </row>
    <row r="155" spans="1:8" ht="15.75" thickBot="1" x14ac:dyDescent="0.3">
      <c r="A155" s="60" t="s">
        <v>35</v>
      </c>
      <c r="B155" s="58">
        <f>SUM(B125:B154)-E155</f>
        <v>69</v>
      </c>
      <c r="C155" s="58">
        <f t="shared" ref="C155:H155" si="9">SUM(C125:C154)</f>
        <v>22</v>
      </c>
      <c r="D155" s="58">
        <f t="shared" si="9"/>
        <v>2</v>
      </c>
      <c r="E155" s="58">
        <f t="shared" si="9"/>
        <v>7</v>
      </c>
      <c r="F155" s="58">
        <f t="shared" si="9"/>
        <v>0</v>
      </c>
      <c r="G155" s="58">
        <f t="shared" si="9"/>
        <v>45</v>
      </c>
      <c r="H155" s="59">
        <f t="shared" si="9"/>
        <v>85</v>
      </c>
    </row>
    <row r="158" spans="1:8" ht="36" x14ac:dyDescent="0.55000000000000004">
      <c r="A158" s="605" t="s">
        <v>1</v>
      </c>
      <c r="B158" s="605"/>
      <c r="C158" s="605"/>
      <c r="D158" s="605"/>
      <c r="E158" s="605"/>
      <c r="F158" s="605"/>
      <c r="G158" s="605"/>
      <c r="H158" s="605"/>
    </row>
    <row r="159" spans="1:8" ht="27" thickBot="1" x14ac:dyDescent="0.45">
      <c r="A159" s="606" t="s">
        <v>0</v>
      </c>
      <c r="B159" s="606"/>
      <c r="C159" s="606"/>
      <c r="D159" s="606"/>
      <c r="E159" s="606"/>
      <c r="F159" s="606"/>
      <c r="G159" s="606"/>
      <c r="H159" s="606"/>
    </row>
    <row r="160" spans="1:8" ht="15.75" x14ac:dyDescent="0.25">
      <c r="A160" s="39" t="s">
        <v>2</v>
      </c>
      <c r="B160" s="19" t="s">
        <v>3</v>
      </c>
      <c r="C160" s="20"/>
      <c r="D160" s="21" t="s">
        <v>52</v>
      </c>
      <c r="E160" s="623" t="s">
        <v>53</v>
      </c>
      <c r="F160" s="624"/>
      <c r="G160" s="19" t="s">
        <v>16</v>
      </c>
      <c r="H160" s="32" t="s">
        <v>58</v>
      </c>
    </row>
    <row r="161" spans="1:8" ht="15.75" x14ac:dyDescent="0.25">
      <c r="A161" s="609" t="s">
        <v>6</v>
      </c>
      <c r="B161" s="610"/>
      <c r="C161" s="610"/>
      <c r="D161" s="610"/>
      <c r="E161" s="610"/>
      <c r="F161" s="610"/>
      <c r="G161" s="611"/>
      <c r="H161" s="2">
        <f>H154</f>
        <v>3</v>
      </c>
    </row>
    <row r="162" spans="1:8" ht="15.75" x14ac:dyDescent="0.25">
      <c r="A162" s="3" t="s">
        <v>7</v>
      </c>
      <c r="B162" s="1"/>
      <c r="C162" s="1"/>
      <c r="D162" s="1"/>
      <c r="E162" s="1"/>
      <c r="F162" s="1"/>
      <c r="G162" s="1"/>
      <c r="H162" s="2">
        <v>10</v>
      </c>
    </row>
    <row r="163" spans="1:8" ht="51.75" thickBot="1" x14ac:dyDescent="0.3">
      <c r="A163" s="40" t="s">
        <v>8</v>
      </c>
      <c r="B163" s="41" t="s">
        <v>9</v>
      </c>
      <c r="C163" s="41" t="s">
        <v>10</v>
      </c>
      <c r="D163" s="41" t="s">
        <v>11</v>
      </c>
      <c r="E163" s="41" t="s">
        <v>12</v>
      </c>
      <c r="F163" s="41" t="s">
        <v>13</v>
      </c>
      <c r="G163" s="41" t="s">
        <v>14</v>
      </c>
      <c r="H163" s="42" t="s">
        <v>15</v>
      </c>
    </row>
    <row r="164" spans="1:8" x14ac:dyDescent="0.25">
      <c r="A164" s="36">
        <v>1</v>
      </c>
      <c r="B164" s="37">
        <v>3</v>
      </c>
      <c r="C164" s="37">
        <v>2</v>
      </c>
      <c r="D164" s="37"/>
      <c r="E164" s="37">
        <v>1</v>
      </c>
      <c r="F164" s="37"/>
      <c r="G164" s="37">
        <v>1</v>
      </c>
      <c r="H164" s="38">
        <f>H161+B164+F164-(C164+D164+G164)-E164</f>
        <v>2</v>
      </c>
    </row>
    <row r="165" spans="1:8" x14ac:dyDescent="0.25">
      <c r="A165" s="26">
        <v>2</v>
      </c>
      <c r="B165" s="5">
        <v>3</v>
      </c>
      <c r="C165" s="5"/>
      <c r="D165" s="5"/>
      <c r="E165" s="5">
        <v>1</v>
      </c>
      <c r="F165" s="5"/>
      <c r="G165" s="5">
        <v>1</v>
      </c>
      <c r="H165" s="2">
        <f>H164+B165+F165-(C165+D165+G165)-E165</f>
        <v>3</v>
      </c>
    </row>
    <row r="166" spans="1:8" x14ac:dyDescent="0.25">
      <c r="A166" s="26">
        <v>3</v>
      </c>
      <c r="B166" s="5">
        <v>3</v>
      </c>
      <c r="C166" s="5"/>
      <c r="D166" s="5"/>
      <c r="E166" s="5">
        <v>1</v>
      </c>
      <c r="F166" s="5"/>
      <c r="G166" s="5">
        <v>1</v>
      </c>
      <c r="H166" s="2">
        <f>H165+B166+F166-(C166+D166+G166)-E166</f>
        <v>4</v>
      </c>
    </row>
    <row r="167" spans="1:8" x14ac:dyDescent="0.25">
      <c r="A167" s="26">
        <v>4</v>
      </c>
      <c r="B167" s="5">
        <v>3</v>
      </c>
      <c r="C167" s="5">
        <v>1</v>
      </c>
      <c r="D167" s="5">
        <v>1</v>
      </c>
      <c r="E167" s="5"/>
      <c r="F167" s="5"/>
      <c r="G167" s="5">
        <v>3</v>
      </c>
      <c r="H167" s="2">
        <f t="shared" ref="H167:H194" si="10">H166+B167+F167-(C167+D167+G167)-E167</f>
        <v>2</v>
      </c>
    </row>
    <row r="168" spans="1:8" x14ac:dyDescent="0.25">
      <c r="A168" s="26">
        <v>5</v>
      </c>
      <c r="B168" s="5">
        <v>2</v>
      </c>
      <c r="C168" s="5"/>
      <c r="D168" s="5"/>
      <c r="E168" s="5">
        <v>1</v>
      </c>
      <c r="F168" s="5"/>
      <c r="G168" s="5"/>
      <c r="H168" s="2">
        <f t="shared" si="10"/>
        <v>3</v>
      </c>
    </row>
    <row r="169" spans="1:8" x14ac:dyDescent="0.25">
      <c r="A169" s="26">
        <v>6</v>
      </c>
      <c r="B169" s="5">
        <v>3</v>
      </c>
      <c r="C169" s="5">
        <v>1</v>
      </c>
      <c r="D169" s="5"/>
      <c r="E169" s="5"/>
      <c r="F169" s="5"/>
      <c r="G169" s="5">
        <v>2</v>
      </c>
      <c r="H169" s="2">
        <f t="shared" si="10"/>
        <v>3</v>
      </c>
    </row>
    <row r="170" spans="1:8" x14ac:dyDescent="0.25">
      <c r="A170" s="26">
        <v>7</v>
      </c>
      <c r="B170" s="5"/>
      <c r="C170" s="5"/>
      <c r="D170" s="5"/>
      <c r="E170" s="5"/>
      <c r="F170" s="5"/>
      <c r="G170" s="5">
        <v>1</v>
      </c>
      <c r="H170" s="2">
        <f t="shared" si="10"/>
        <v>2</v>
      </c>
    </row>
    <row r="171" spans="1:8" x14ac:dyDescent="0.25">
      <c r="A171" s="26">
        <v>8</v>
      </c>
      <c r="B171" s="5">
        <v>2</v>
      </c>
      <c r="C171" s="5"/>
      <c r="D171" s="5"/>
      <c r="E171" s="5"/>
      <c r="F171" s="5"/>
      <c r="G171" s="5">
        <v>2</v>
      </c>
      <c r="H171" s="2">
        <f t="shared" si="10"/>
        <v>2</v>
      </c>
    </row>
    <row r="172" spans="1:8" x14ac:dyDescent="0.25">
      <c r="A172" s="26">
        <v>9</v>
      </c>
      <c r="B172" s="5">
        <v>4</v>
      </c>
      <c r="C172" s="5"/>
      <c r="D172" s="5"/>
      <c r="E172" s="5"/>
      <c r="F172" s="5"/>
      <c r="G172" s="5">
        <v>4</v>
      </c>
      <c r="H172" s="2">
        <f t="shared" si="10"/>
        <v>2</v>
      </c>
    </row>
    <row r="173" spans="1:8" x14ac:dyDescent="0.25">
      <c r="A173" s="26">
        <v>10</v>
      </c>
      <c r="B173" s="5">
        <v>1</v>
      </c>
      <c r="C173" s="5"/>
      <c r="D173" s="5"/>
      <c r="E173" s="5"/>
      <c r="F173" s="5"/>
      <c r="G173" s="5">
        <v>1</v>
      </c>
      <c r="H173" s="2">
        <f t="shared" si="10"/>
        <v>2</v>
      </c>
    </row>
    <row r="174" spans="1:8" x14ac:dyDescent="0.25">
      <c r="A174" s="26">
        <v>11</v>
      </c>
      <c r="B174" s="5">
        <v>1</v>
      </c>
      <c r="C174" s="5"/>
      <c r="D174" s="5"/>
      <c r="E174" s="5"/>
      <c r="F174" s="5"/>
      <c r="G174" s="5"/>
      <c r="H174" s="2">
        <f t="shared" si="10"/>
        <v>3</v>
      </c>
    </row>
    <row r="175" spans="1:8" x14ac:dyDescent="0.25">
      <c r="A175" s="26">
        <v>12</v>
      </c>
      <c r="B175" s="5">
        <v>3</v>
      </c>
      <c r="C175" s="5"/>
      <c r="D175" s="5"/>
      <c r="E175" s="5"/>
      <c r="F175" s="5"/>
      <c r="G175" s="5">
        <v>2</v>
      </c>
      <c r="H175" s="2">
        <f t="shared" si="10"/>
        <v>4</v>
      </c>
    </row>
    <row r="176" spans="1:8" x14ac:dyDescent="0.25">
      <c r="A176" s="26">
        <v>13</v>
      </c>
      <c r="B176" s="5">
        <v>5</v>
      </c>
      <c r="C176" s="5"/>
      <c r="D176" s="5"/>
      <c r="E176" s="5"/>
      <c r="F176" s="5"/>
      <c r="G176" s="5">
        <v>1</v>
      </c>
      <c r="H176" s="2">
        <f t="shared" si="10"/>
        <v>8</v>
      </c>
    </row>
    <row r="177" spans="1:8" x14ac:dyDescent="0.25">
      <c r="A177" s="26">
        <v>14</v>
      </c>
      <c r="B177" s="5">
        <v>3</v>
      </c>
      <c r="C177" s="5">
        <v>2</v>
      </c>
      <c r="D177" s="5"/>
      <c r="E177" s="5"/>
      <c r="F177" s="5"/>
      <c r="G177" s="5">
        <v>3</v>
      </c>
      <c r="H177" s="2">
        <f t="shared" si="10"/>
        <v>6</v>
      </c>
    </row>
    <row r="178" spans="1:8" x14ac:dyDescent="0.25">
      <c r="A178" s="26">
        <v>15</v>
      </c>
      <c r="B178" s="5">
        <v>1</v>
      </c>
      <c r="C178" s="5">
        <v>2</v>
      </c>
      <c r="D178" s="5"/>
      <c r="E178" s="5"/>
      <c r="F178" s="5"/>
      <c r="G178" s="5">
        <v>1</v>
      </c>
      <c r="H178" s="2">
        <f>H177+B178+F178-(C178+D178+G178)-E178</f>
        <v>4</v>
      </c>
    </row>
    <row r="179" spans="1:8" x14ac:dyDescent="0.25">
      <c r="A179" s="26">
        <v>16</v>
      </c>
      <c r="B179" s="5">
        <v>1</v>
      </c>
      <c r="C179" s="5">
        <v>1</v>
      </c>
      <c r="D179" s="5"/>
      <c r="E179" s="5"/>
      <c r="F179" s="5"/>
      <c r="G179" s="5">
        <v>1</v>
      </c>
      <c r="H179" s="2">
        <f t="shared" si="10"/>
        <v>3</v>
      </c>
    </row>
    <row r="180" spans="1:8" x14ac:dyDescent="0.25">
      <c r="A180" s="26">
        <v>17</v>
      </c>
      <c r="B180" s="5">
        <v>1</v>
      </c>
      <c r="C180" s="5"/>
      <c r="D180" s="5"/>
      <c r="E180" s="5"/>
      <c r="F180" s="5"/>
      <c r="G180" s="5"/>
      <c r="H180" s="2">
        <f t="shared" si="10"/>
        <v>4</v>
      </c>
    </row>
    <row r="181" spans="1:8" x14ac:dyDescent="0.25">
      <c r="A181" s="26">
        <v>18</v>
      </c>
      <c r="B181" s="5">
        <v>1</v>
      </c>
      <c r="C181" s="5"/>
      <c r="D181" s="5"/>
      <c r="E181" s="5"/>
      <c r="F181" s="5"/>
      <c r="G181" s="5">
        <v>2</v>
      </c>
      <c r="H181" s="2">
        <f t="shared" si="10"/>
        <v>3</v>
      </c>
    </row>
    <row r="182" spans="1:8" x14ac:dyDescent="0.25">
      <c r="A182" s="26">
        <v>19</v>
      </c>
      <c r="B182" s="5">
        <v>2</v>
      </c>
      <c r="C182" s="5"/>
      <c r="D182" s="5"/>
      <c r="E182" s="5"/>
      <c r="F182" s="5"/>
      <c r="G182" s="5">
        <v>1</v>
      </c>
      <c r="H182" s="2">
        <f t="shared" si="10"/>
        <v>4</v>
      </c>
    </row>
    <row r="183" spans="1:8" x14ac:dyDescent="0.25">
      <c r="A183" s="26">
        <v>20</v>
      </c>
      <c r="B183" s="5">
        <v>1</v>
      </c>
      <c r="C183" s="5">
        <v>1</v>
      </c>
      <c r="D183" s="5"/>
      <c r="E183" s="5"/>
      <c r="F183" s="5"/>
      <c r="G183" s="5">
        <v>3</v>
      </c>
      <c r="H183" s="2">
        <f t="shared" si="10"/>
        <v>1</v>
      </c>
    </row>
    <row r="184" spans="1:8" x14ac:dyDescent="0.25">
      <c r="A184" s="26">
        <v>21</v>
      </c>
      <c r="B184" s="5">
        <v>3</v>
      </c>
      <c r="C184" s="5"/>
      <c r="D184" s="5"/>
      <c r="E184" s="5"/>
      <c r="F184" s="5"/>
      <c r="G184" s="5">
        <v>1</v>
      </c>
      <c r="H184" s="2">
        <f t="shared" si="10"/>
        <v>3</v>
      </c>
    </row>
    <row r="185" spans="1:8" x14ac:dyDescent="0.25">
      <c r="A185" s="26">
        <v>22</v>
      </c>
      <c r="B185" s="5">
        <v>1</v>
      </c>
      <c r="C185" s="5">
        <v>1</v>
      </c>
      <c r="D185" s="5"/>
      <c r="E185" s="5"/>
      <c r="F185" s="5"/>
      <c r="G185" s="5">
        <v>1</v>
      </c>
      <c r="H185" s="2">
        <f t="shared" si="10"/>
        <v>2</v>
      </c>
    </row>
    <row r="186" spans="1:8" x14ac:dyDescent="0.25">
      <c r="A186" s="26">
        <v>23</v>
      </c>
      <c r="B186" s="5">
        <v>3</v>
      </c>
      <c r="C186" s="5"/>
      <c r="D186" s="5"/>
      <c r="E186" s="5"/>
      <c r="F186" s="5"/>
      <c r="G186" s="5"/>
      <c r="H186" s="2">
        <f t="shared" si="10"/>
        <v>5</v>
      </c>
    </row>
    <row r="187" spans="1:8" x14ac:dyDescent="0.25">
      <c r="A187" s="26">
        <v>24</v>
      </c>
      <c r="B187" s="5">
        <v>1</v>
      </c>
      <c r="C187" s="5"/>
      <c r="D187" s="5">
        <v>1</v>
      </c>
      <c r="E187" s="5"/>
      <c r="F187" s="5"/>
      <c r="G187" s="5">
        <v>2</v>
      </c>
      <c r="H187" s="2">
        <f t="shared" si="10"/>
        <v>3</v>
      </c>
    </row>
    <row r="188" spans="1:8" x14ac:dyDescent="0.25">
      <c r="A188" s="26">
        <v>25</v>
      </c>
      <c r="B188" s="5">
        <v>3</v>
      </c>
      <c r="C188" s="5"/>
      <c r="D188" s="5"/>
      <c r="E188" s="5">
        <v>1</v>
      </c>
      <c r="F188" s="5"/>
      <c r="G188" s="5">
        <v>3</v>
      </c>
      <c r="H188" s="2">
        <f t="shared" si="10"/>
        <v>2</v>
      </c>
    </row>
    <row r="189" spans="1:8" x14ac:dyDescent="0.25">
      <c r="A189" s="26">
        <v>26</v>
      </c>
      <c r="B189" s="5">
        <v>5</v>
      </c>
      <c r="C189" s="5">
        <v>1</v>
      </c>
      <c r="D189" s="5">
        <v>1</v>
      </c>
      <c r="E189" s="5"/>
      <c r="F189" s="5"/>
      <c r="G189" s="5">
        <v>1</v>
      </c>
      <c r="H189" s="2">
        <f t="shared" si="10"/>
        <v>4</v>
      </c>
    </row>
    <row r="190" spans="1:8" x14ac:dyDescent="0.25">
      <c r="A190" s="26">
        <v>27</v>
      </c>
      <c r="B190" s="5">
        <v>2</v>
      </c>
      <c r="C190" s="5">
        <v>2</v>
      </c>
      <c r="D190" s="5"/>
      <c r="E190" s="5"/>
      <c r="F190" s="5"/>
      <c r="G190" s="5">
        <v>2</v>
      </c>
      <c r="H190" s="2">
        <f t="shared" si="10"/>
        <v>2</v>
      </c>
    </row>
    <row r="191" spans="1:8" x14ac:dyDescent="0.25">
      <c r="A191" s="26">
        <v>28</v>
      </c>
      <c r="B191" s="5">
        <v>2</v>
      </c>
      <c r="C191" s="5"/>
      <c r="D191" s="5"/>
      <c r="E191" s="5"/>
      <c r="F191" s="5"/>
      <c r="G191" s="5">
        <v>1</v>
      </c>
      <c r="H191" s="2">
        <f t="shared" si="10"/>
        <v>3</v>
      </c>
    </row>
    <row r="192" spans="1:8" x14ac:dyDescent="0.25">
      <c r="A192" s="26">
        <v>29</v>
      </c>
      <c r="B192" s="5">
        <v>1</v>
      </c>
      <c r="C192" s="5">
        <v>1</v>
      </c>
      <c r="D192" s="5"/>
      <c r="E192" s="5"/>
      <c r="F192" s="5"/>
      <c r="G192" s="5">
        <v>1</v>
      </c>
      <c r="H192" s="2">
        <f t="shared" si="10"/>
        <v>2</v>
      </c>
    </row>
    <row r="193" spans="1:8" x14ac:dyDescent="0.25">
      <c r="A193" s="28">
        <v>30</v>
      </c>
      <c r="B193" s="29">
        <v>1</v>
      </c>
      <c r="C193" s="29">
        <v>1</v>
      </c>
      <c r="D193" s="29"/>
      <c r="E193" s="29"/>
      <c r="F193" s="29"/>
      <c r="G193" s="29"/>
      <c r="H193" s="57">
        <f t="shared" si="10"/>
        <v>2</v>
      </c>
    </row>
    <row r="194" spans="1:8" ht="15.75" thickBot="1" x14ac:dyDescent="0.3">
      <c r="A194" s="63">
        <v>31</v>
      </c>
      <c r="B194" s="29">
        <v>2</v>
      </c>
      <c r="C194" s="29"/>
      <c r="D194" s="29"/>
      <c r="E194" s="29"/>
      <c r="F194" s="29"/>
      <c r="G194" s="29">
        <v>2</v>
      </c>
      <c r="H194" s="29">
        <f t="shared" si="10"/>
        <v>2</v>
      </c>
    </row>
    <row r="195" spans="1:8" ht="15.75" thickBot="1" x14ac:dyDescent="0.3">
      <c r="A195" s="60" t="s">
        <v>35</v>
      </c>
      <c r="B195" s="58">
        <f>SUM(B164:B194)-E195</f>
        <v>62</v>
      </c>
      <c r="C195" s="58">
        <f t="shared" ref="C195:H195" si="11">SUM(C164:C194)</f>
        <v>16</v>
      </c>
      <c r="D195" s="58">
        <f t="shared" si="11"/>
        <v>3</v>
      </c>
      <c r="E195" s="58">
        <f t="shared" si="11"/>
        <v>5</v>
      </c>
      <c r="F195" s="58">
        <f t="shared" si="11"/>
        <v>0</v>
      </c>
      <c r="G195" s="58">
        <f t="shared" si="11"/>
        <v>44</v>
      </c>
      <c r="H195" s="59">
        <f t="shared" si="11"/>
        <v>95</v>
      </c>
    </row>
    <row r="198" spans="1:8" ht="36" x14ac:dyDescent="0.55000000000000004">
      <c r="A198" s="605" t="s">
        <v>1</v>
      </c>
      <c r="B198" s="605"/>
      <c r="C198" s="605"/>
      <c r="D198" s="605"/>
      <c r="E198" s="605"/>
      <c r="F198" s="605"/>
      <c r="G198" s="605"/>
      <c r="H198" s="605"/>
    </row>
    <row r="199" spans="1:8" ht="27" thickBot="1" x14ac:dyDescent="0.45">
      <c r="A199" s="606" t="s">
        <v>0</v>
      </c>
      <c r="B199" s="606"/>
      <c r="C199" s="606"/>
      <c r="D199" s="606"/>
      <c r="E199" s="606"/>
      <c r="F199" s="606"/>
      <c r="G199" s="606"/>
      <c r="H199" s="606"/>
    </row>
    <row r="200" spans="1:8" ht="15.75" x14ac:dyDescent="0.25">
      <c r="A200" s="39" t="s">
        <v>2</v>
      </c>
      <c r="B200" s="19" t="s">
        <v>3</v>
      </c>
      <c r="C200" s="20"/>
      <c r="D200" s="21" t="s">
        <v>52</v>
      </c>
      <c r="E200" s="623" t="s">
        <v>53</v>
      </c>
      <c r="F200" s="624"/>
      <c r="G200" s="19" t="s">
        <v>16</v>
      </c>
      <c r="H200" s="32" t="s">
        <v>60</v>
      </c>
    </row>
    <row r="201" spans="1:8" ht="15.75" x14ac:dyDescent="0.25">
      <c r="A201" s="609" t="s">
        <v>6</v>
      </c>
      <c r="B201" s="610"/>
      <c r="C201" s="610"/>
      <c r="D201" s="610"/>
      <c r="E201" s="610"/>
      <c r="F201" s="610"/>
      <c r="G201" s="611"/>
      <c r="H201" s="2">
        <f>H194</f>
        <v>2</v>
      </c>
    </row>
    <row r="202" spans="1:8" ht="15.75" x14ac:dyDescent="0.25">
      <c r="A202" s="3" t="s">
        <v>7</v>
      </c>
      <c r="B202" s="1"/>
      <c r="C202" s="1"/>
      <c r="D202" s="1"/>
      <c r="E202" s="1"/>
      <c r="F202" s="1"/>
      <c r="G202" s="1"/>
      <c r="H202" s="2">
        <v>10</v>
      </c>
    </row>
    <row r="203" spans="1:8" ht="51.75" thickBot="1" x14ac:dyDescent="0.3">
      <c r="A203" s="40" t="s">
        <v>8</v>
      </c>
      <c r="B203" s="41" t="s">
        <v>9</v>
      </c>
      <c r="C203" s="41" t="s">
        <v>10</v>
      </c>
      <c r="D203" s="41" t="s">
        <v>11</v>
      </c>
      <c r="E203" s="41" t="s">
        <v>12</v>
      </c>
      <c r="F203" s="41" t="s">
        <v>13</v>
      </c>
      <c r="G203" s="41" t="s">
        <v>14</v>
      </c>
      <c r="H203" s="42" t="s">
        <v>15</v>
      </c>
    </row>
    <row r="204" spans="1:8" x14ac:dyDescent="0.25">
      <c r="A204" s="36">
        <v>1</v>
      </c>
      <c r="B204" s="37">
        <v>1</v>
      </c>
      <c r="C204" s="37">
        <v>2</v>
      </c>
      <c r="D204" s="37"/>
      <c r="E204" s="37">
        <v>1</v>
      </c>
      <c r="F204" s="37"/>
      <c r="G204" s="37"/>
      <c r="H204" s="38">
        <f>H201+B204+F204-(C204+D204+G204)-E204</f>
        <v>0</v>
      </c>
    </row>
    <row r="205" spans="1:8" x14ac:dyDescent="0.25">
      <c r="A205" s="26">
        <v>2</v>
      </c>
      <c r="B205" s="5">
        <v>1</v>
      </c>
      <c r="C205" s="5"/>
      <c r="D205" s="5"/>
      <c r="E205" s="5"/>
      <c r="F205" s="5"/>
      <c r="G205" s="5"/>
      <c r="H205" s="2">
        <f>H204+B205+F205-(C205+D205+G205)-E205</f>
        <v>1</v>
      </c>
    </row>
    <row r="206" spans="1:8" x14ac:dyDescent="0.25">
      <c r="A206" s="26">
        <v>3</v>
      </c>
      <c r="B206" s="5">
        <v>2</v>
      </c>
      <c r="C206" s="5">
        <v>1</v>
      </c>
      <c r="D206" s="5"/>
      <c r="E206" s="5"/>
      <c r="F206" s="5"/>
      <c r="G206" s="5">
        <v>1</v>
      </c>
      <c r="H206" s="2">
        <f>H205+B206+F206-(C206+D206+G206)-E206</f>
        <v>1</v>
      </c>
    </row>
    <row r="207" spans="1:8" x14ac:dyDescent="0.25">
      <c r="A207" s="26">
        <v>4</v>
      </c>
      <c r="B207" s="5"/>
      <c r="C207" s="5"/>
      <c r="D207" s="5"/>
      <c r="E207" s="5"/>
      <c r="F207" s="5"/>
      <c r="G207" s="5"/>
      <c r="H207" s="2">
        <f t="shared" ref="H207:H233" si="12">H206+B207+F207-(C207+D207+G207)-E207</f>
        <v>1</v>
      </c>
    </row>
    <row r="208" spans="1:8" x14ac:dyDescent="0.25">
      <c r="A208" s="26">
        <v>5</v>
      </c>
      <c r="B208" s="5"/>
      <c r="C208" s="5">
        <v>1</v>
      </c>
      <c r="D208" s="5"/>
      <c r="E208" s="5"/>
      <c r="F208" s="5"/>
      <c r="G208" s="5"/>
      <c r="H208" s="2">
        <f t="shared" si="12"/>
        <v>0</v>
      </c>
    </row>
    <row r="209" spans="1:8" x14ac:dyDescent="0.25">
      <c r="A209" s="26">
        <v>6</v>
      </c>
      <c r="B209" s="5"/>
      <c r="C209" s="5"/>
      <c r="D209" s="5"/>
      <c r="E209" s="5"/>
      <c r="F209" s="5"/>
      <c r="G209" s="5"/>
      <c r="H209" s="2">
        <f t="shared" si="12"/>
        <v>0</v>
      </c>
    </row>
    <row r="210" spans="1:8" x14ac:dyDescent="0.25">
      <c r="A210" s="26">
        <v>7</v>
      </c>
      <c r="B210" s="5"/>
      <c r="C210" s="5"/>
      <c r="D210" s="5"/>
      <c r="E210" s="5"/>
      <c r="F210" s="5"/>
      <c r="G210" s="5"/>
      <c r="H210" s="2">
        <f t="shared" si="12"/>
        <v>0</v>
      </c>
    </row>
    <row r="211" spans="1:8" x14ac:dyDescent="0.25">
      <c r="A211" s="26">
        <v>8</v>
      </c>
      <c r="B211" s="5"/>
      <c r="C211" s="5"/>
      <c r="D211" s="5"/>
      <c r="E211" s="5"/>
      <c r="F211" s="5"/>
      <c r="G211" s="5"/>
      <c r="H211" s="2">
        <f t="shared" si="12"/>
        <v>0</v>
      </c>
    </row>
    <row r="212" spans="1:8" x14ac:dyDescent="0.25">
      <c r="A212" s="26">
        <v>9</v>
      </c>
      <c r="B212" s="5"/>
      <c r="C212" s="5"/>
      <c r="D212" s="5"/>
      <c r="E212" s="5"/>
      <c r="F212" s="5"/>
      <c r="G212" s="5"/>
      <c r="H212" s="2">
        <f t="shared" si="12"/>
        <v>0</v>
      </c>
    </row>
    <row r="213" spans="1:8" x14ac:dyDescent="0.25">
      <c r="A213" s="26">
        <v>10</v>
      </c>
      <c r="B213" s="5"/>
      <c r="C213" s="5"/>
      <c r="D213" s="5"/>
      <c r="E213" s="5"/>
      <c r="F213" s="5"/>
      <c r="G213" s="5"/>
      <c r="H213" s="2">
        <f t="shared" si="12"/>
        <v>0</v>
      </c>
    </row>
    <row r="214" spans="1:8" x14ac:dyDescent="0.25">
      <c r="A214" s="26">
        <v>11</v>
      </c>
      <c r="B214" s="5"/>
      <c r="C214" s="5"/>
      <c r="D214" s="5"/>
      <c r="E214" s="5"/>
      <c r="F214" s="5"/>
      <c r="G214" s="5"/>
      <c r="H214" s="2">
        <f t="shared" si="12"/>
        <v>0</v>
      </c>
    </row>
    <row r="215" spans="1:8" x14ac:dyDescent="0.25">
      <c r="A215" s="26">
        <v>12</v>
      </c>
      <c r="B215" s="5"/>
      <c r="C215" s="5"/>
      <c r="D215" s="5"/>
      <c r="E215" s="5"/>
      <c r="F215" s="5"/>
      <c r="G215" s="5"/>
      <c r="H215" s="2">
        <f t="shared" si="12"/>
        <v>0</v>
      </c>
    </row>
    <row r="216" spans="1:8" x14ac:dyDescent="0.25">
      <c r="A216" s="26">
        <v>13</v>
      </c>
      <c r="B216" s="5"/>
      <c r="C216" s="5"/>
      <c r="D216" s="5"/>
      <c r="E216" s="5"/>
      <c r="F216" s="5"/>
      <c r="G216" s="5"/>
      <c r="H216" s="2">
        <f t="shared" si="12"/>
        <v>0</v>
      </c>
    </row>
    <row r="217" spans="1:8" x14ac:dyDescent="0.25">
      <c r="A217" s="26">
        <v>14</v>
      </c>
      <c r="B217" s="5">
        <v>2</v>
      </c>
      <c r="C217" s="5"/>
      <c r="D217" s="5"/>
      <c r="E217" s="5"/>
      <c r="F217" s="5"/>
      <c r="G217" s="5"/>
      <c r="H217" s="2">
        <f t="shared" si="12"/>
        <v>2</v>
      </c>
    </row>
    <row r="218" spans="1:8" x14ac:dyDescent="0.25">
      <c r="A218" s="26">
        <v>15</v>
      </c>
      <c r="B218" s="5"/>
      <c r="C218" s="5">
        <v>1</v>
      </c>
      <c r="D218" s="5"/>
      <c r="E218" s="5"/>
      <c r="F218" s="5"/>
      <c r="G218" s="5"/>
      <c r="H218" s="2">
        <f t="shared" si="12"/>
        <v>1</v>
      </c>
    </row>
    <row r="219" spans="1:8" x14ac:dyDescent="0.25">
      <c r="A219" s="26">
        <v>16</v>
      </c>
      <c r="B219" s="5">
        <v>3</v>
      </c>
      <c r="C219" s="5"/>
      <c r="D219" s="5"/>
      <c r="E219" s="5">
        <v>1</v>
      </c>
      <c r="F219" s="5"/>
      <c r="G219" s="5">
        <v>1</v>
      </c>
      <c r="H219" s="2">
        <f t="shared" si="12"/>
        <v>2</v>
      </c>
    </row>
    <row r="220" spans="1:8" x14ac:dyDescent="0.25">
      <c r="A220" s="26">
        <v>17</v>
      </c>
      <c r="B220" s="5">
        <v>3</v>
      </c>
      <c r="C220" s="5"/>
      <c r="D220" s="5"/>
      <c r="E220" s="5"/>
      <c r="F220" s="5"/>
      <c r="G220" s="5">
        <v>1</v>
      </c>
      <c r="H220" s="2">
        <f t="shared" si="12"/>
        <v>4</v>
      </c>
    </row>
    <row r="221" spans="1:8" x14ac:dyDescent="0.25">
      <c r="A221" s="26">
        <v>18</v>
      </c>
      <c r="B221" s="5">
        <v>2</v>
      </c>
      <c r="C221" s="5">
        <v>2</v>
      </c>
      <c r="D221" s="5">
        <v>1</v>
      </c>
      <c r="E221" s="5"/>
      <c r="F221" s="5"/>
      <c r="G221" s="5">
        <v>2</v>
      </c>
      <c r="H221" s="2">
        <f t="shared" si="12"/>
        <v>1</v>
      </c>
    </row>
    <row r="222" spans="1:8" x14ac:dyDescent="0.25">
      <c r="A222" s="26">
        <v>19</v>
      </c>
      <c r="B222" s="5">
        <v>5</v>
      </c>
      <c r="C222" s="5"/>
      <c r="D222" s="5">
        <v>1</v>
      </c>
      <c r="E222" s="5">
        <v>2</v>
      </c>
      <c r="F222" s="5"/>
      <c r="G222" s="5"/>
      <c r="H222" s="2">
        <f t="shared" si="12"/>
        <v>3</v>
      </c>
    </row>
    <row r="223" spans="1:8" x14ac:dyDescent="0.25">
      <c r="A223" s="26">
        <v>20</v>
      </c>
      <c r="B223" s="5">
        <v>4</v>
      </c>
      <c r="C223" s="5">
        <v>3</v>
      </c>
      <c r="D223" s="5"/>
      <c r="E223" s="5"/>
      <c r="F223" s="5"/>
      <c r="G223" s="5">
        <v>1</v>
      </c>
      <c r="H223" s="2">
        <f t="shared" si="12"/>
        <v>3</v>
      </c>
    </row>
    <row r="224" spans="1:8" x14ac:dyDescent="0.25">
      <c r="A224" s="26">
        <v>21</v>
      </c>
      <c r="B224" s="5"/>
      <c r="C224" s="5"/>
      <c r="D224" s="5">
        <v>1</v>
      </c>
      <c r="E224" s="5"/>
      <c r="F224" s="5"/>
      <c r="G224" s="5">
        <v>1</v>
      </c>
      <c r="H224" s="2">
        <f t="shared" si="12"/>
        <v>1</v>
      </c>
    </row>
    <row r="225" spans="1:8" x14ac:dyDescent="0.25">
      <c r="A225" s="26">
        <v>22</v>
      </c>
      <c r="B225" s="5"/>
      <c r="C225" s="5">
        <v>1</v>
      </c>
      <c r="D225" s="5"/>
      <c r="E225" s="5"/>
      <c r="F225" s="5"/>
      <c r="G225" s="5"/>
      <c r="H225" s="2">
        <f t="shared" si="12"/>
        <v>0</v>
      </c>
    </row>
    <row r="226" spans="1:8" x14ac:dyDescent="0.25">
      <c r="A226" s="26">
        <v>23</v>
      </c>
      <c r="B226" s="5">
        <v>2</v>
      </c>
      <c r="C226" s="5"/>
      <c r="D226" s="5"/>
      <c r="E226" s="5"/>
      <c r="F226" s="5"/>
      <c r="G226" s="5"/>
      <c r="H226" s="2">
        <f t="shared" si="12"/>
        <v>2</v>
      </c>
    </row>
    <row r="227" spans="1:8" x14ac:dyDescent="0.25">
      <c r="A227" s="26">
        <v>24</v>
      </c>
      <c r="B227" s="5">
        <v>4</v>
      </c>
      <c r="C227" s="5"/>
      <c r="D227" s="5"/>
      <c r="E227" s="5"/>
      <c r="F227" s="5"/>
      <c r="G227" s="5"/>
      <c r="H227" s="2">
        <f t="shared" si="12"/>
        <v>6</v>
      </c>
    </row>
    <row r="228" spans="1:8" x14ac:dyDescent="0.25">
      <c r="A228" s="26">
        <v>25</v>
      </c>
      <c r="B228" s="5">
        <v>2</v>
      </c>
      <c r="C228" s="5">
        <v>2</v>
      </c>
      <c r="D228" s="5"/>
      <c r="E228" s="5"/>
      <c r="F228" s="5"/>
      <c r="G228" s="5"/>
      <c r="H228" s="2">
        <f t="shared" si="12"/>
        <v>6</v>
      </c>
    </row>
    <row r="229" spans="1:8" x14ac:dyDescent="0.25">
      <c r="A229" s="26">
        <v>26</v>
      </c>
      <c r="B229" s="5">
        <v>3</v>
      </c>
      <c r="C229" s="5">
        <v>2</v>
      </c>
      <c r="D229" s="5"/>
      <c r="E229" s="5"/>
      <c r="F229" s="5"/>
      <c r="G229" s="5">
        <v>1</v>
      </c>
      <c r="H229" s="2">
        <f t="shared" si="12"/>
        <v>6</v>
      </c>
    </row>
    <row r="230" spans="1:8" x14ac:dyDescent="0.25">
      <c r="A230" s="26">
        <v>27</v>
      </c>
      <c r="B230" s="5">
        <v>5</v>
      </c>
      <c r="C230" s="5">
        <v>2</v>
      </c>
      <c r="D230" s="5"/>
      <c r="E230" s="5"/>
      <c r="F230" s="5"/>
      <c r="G230" s="5">
        <v>6</v>
      </c>
      <c r="H230" s="2">
        <f t="shared" si="12"/>
        <v>3</v>
      </c>
    </row>
    <row r="231" spans="1:8" x14ac:dyDescent="0.25">
      <c r="A231" s="26">
        <v>28</v>
      </c>
      <c r="B231" s="5">
        <v>2</v>
      </c>
      <c r="C231" s="5">
        <v>1</v>
      </c>
      <c r="D231" s="5"/>
      <c r="E231" s="5"/>
      <c r="F231" s="5"/>
      <c r="G231" s="5">
        <v>1</v>
      </c>
      <c r="H231" s="2">
        <f t="shared" si="12"/>
        <v>3</v>
      </c>
    </row>
    <row r="232" spans="1:8" x14ac:dyDescent="0.25">
      <c r="A232" s="26">
        <v>29</v>
      </c>
      <c r="B232" s="5">
        <v>1</v>
      </c>
      <c r="C232" s="5"/>
      <c r="D232" s="5"/>
      <c r="E232" s="5">
        <v>1</v>
      </c>
      <c r="F232" s="5"/>
      <c r="G232" s="5">
        <v>1</v>
      </c>
      <c r="H232" s="2">
        <f t="shared" si="12"/>
        <v>2</v>
      </c>
    </row>
    <row r="233" spans="1:8" ht="15.75" thickBot="1" x14ac:dyDescent="0.3">
      <c r="A233" s="28">
        <v>30</v>
      </c>
      <c r="B233" s="29">
        <v>3</v>
      </c>
      <c r="C233" s="29">
        <v>1</v>
      </c>
      <c r="D233" s="29"/>
      <c r="E233" s="29"/>
      <c r="F233" s="29"/>
      <c r="G233" s="29">
        <v>2</v>
      </c>
      <c r="H233" s="57">
        <f t="shared" si="12"/>
        <v>2</v>
      </c>
    </row>
    <row r="234" spans="1:8" ht="15.75" thickBot="1" x14ac:dyDescent="0.3">
      <c r="A234" s="60" t="s">
        <v>35</v>
      </c>
      <c r="B234" s="58">
        <f>SUM(B204:B233)-E234</f>
        <v>40</v>
      </c>
      <c r="C234" s="58">
        <f t="shared" ref="C234:H234" si="13">SUM(C204:C233)</f>
        <v>19</v>
      </c>
      <c r="D234" s="58">
        <f t="shared" si="13"/>
        <v>3</v>
      </c>
      <c r="E234" s="58">
        <f t="shared" si="13"/>
        <v>5</v>
      </c>
      <c r="F234" s="58">
        <f t="shared" si="13"/>
        <v>0</v>
      </c>
      <c r="G234" s="58">
        <f t="shared" si="13"/>
        <v>18</v>
      </c>
      <c r="H234" s="59">
        <f t="shared" si="13"/>
        <v>50</v>
      </c>
    </row>
    <row r="237" spans="1:8" ht="36" x14ac:dyDescent="0.55000000000000004">
      <c r="A237" s="605" t="s">
        <v>1</v>
      </c>
      <c r="B237" s="605"/>
      <c r="C237" s="605"/>
      <c r="D237" s="605"/>
      <c r="E237" s="605"/>
      <c r="F237" s="605"/>
      <c r="G237" s="605"/>
      <c r="H237" s="605"/>
    </row>
    <row r="238" spans="1:8" ht="27" thickBot="1" x14ac:dyDescent="0.45">
      <c r="A238" s="606" t="s">
        <v>0</v>
      </c>
      <c r="B238" s="606"/>
      <c r="C238" s="606"/>
      <c r="D238" s="606"/>
      <c r="E238" s="606"/>
      <c r="F238" s="606"/>
      <c r="G238" s="606"/>
      <c r="H238" s="606"/>
    </row>
    <row r="239" spans="1:8" ht="15.75" x14ac:dyDescent="0.25">
      <c r="A239" s="39" t="s">
        <v>2</v>
      </c>
      <c r="B239" s="19" t="s">
        <v>3</v>
      </c>
      <c r="C239" s="20"/>
      <c r="D239" s="21" t="s">
        <v>52</v>
      </c>
      <c r="E239" s="623" t="s">
        <v>53</v>
      </c>
      <c r="F239" s="624"/>
      <c r="G239" s="19" t="s">
        <v>16</v>
      </c>
      <c r="H239" s="32" t="s">
        <v>61</v>
      </c>
    </row>
    <row r="240" spans="1:8" ht="15.75" x14ac:dyDescent="0.25">
      <c r="A240" s="609" t="s">
        <v>6</v>
      </c>
      <c r="B240" s="610"/>
      <c r="C240" s="610"/>
      <c r="D240" s="610"/>
      <c r="E240" s="610"/>
      <c r="F240" s="610"/>
      <c r="G240" s="611"/>
      <c r="H240" s="2">
        <f>H233</f>
        <v>2</v>
      </c>
    </row>
    <row r="241" spans="1:8" ht="15.75" x14ac:dyDescent="0.25">
      <c r="A241" s="3" t="s">
        <v>7</v>
      </c>
      <c r="B241" s="1"/>
      <c r="C241" s="1"/>
      <c r="D241" s="1"/>
      <c r="E241" s="1"/>
      <c r="F241" s="1"/>
      <c r="G241" s="1"/>
      <c r="H241" s="2">
        <v>10</v>
      </c>
    </row>
    <row r="242" spans="1:8" ht="51.75" thickBot="1" x14ac:dyDescent="0.3">
      <c r="A242" s="40" t="s">
        <v>8</v>
      </c>
      <c r="B242" s="41" t="s">
        <v>9</v>
      </c>
      <c r="C242" s="41" t="s">
        <v>10</v>
      </c>
      <c r="D242" s="41" t="s">
        <v>11</v>
      </c>
      <c r="E242" s="41" t="s">
        <v>12</v>
      </c>
      <c r="F242" s="41" t="s">
        <v>13</v>
      </c>
      <c r="G242" s="41" t="s">
        <v>14</v>
      </c>
      <c r="H242" s="42" t="s">
        <v>15</v>
      </c>
    </row>
    <row r="243" spans="1:8" x14ac:dyDescent="0.25">
      <c r="A243" s="36">
        <v>1</v>
      </c>
      <c r="B243" s="37">
        <v>6</v>
      </c>
      <c r="C243" s="37">
        <v>1</v>
      </c>
      <c r="D243" s="37"/>
      <c r="E243" s="37"/>
      <c r="F243" s="37"/>
      <c r="G243" s="37"/>
      <c r="H243" s="38">
        <f>H240+B243+F243-(C243+D243+G243)-E243</f>
        <v>7</v>
      </c>
    </row>
    <row r="244" spans="1:8" x14ac:dyDescent="0.25">
      <c r="A244" s="26">
        <v>2</v>
      </c>
      <c r="B244" s="5">
        <v>2</v>
      </c>
      <c r="C244" s="5">
        <v>3</v>
      </c>
      <c r="D244" s="5"/>
      <c r="E244" s="5"/>
      <c r="F244" s="5"/>
      <c r="G244" s="5">
        <v>2</v>
      </c>
      <c r="H244" s="2">
        <f>H243+B244+F244-(C244+D244+G244)-E244</f>
        <v>4</v>
      </c>
    </row>
    <row r="245" spans="1:8" x14ac:dyDescent="0.25">
      <c r="A245" s="26">
        <v>3</v>
      </c>
      <c r="B245" s="5"/>
      <c r="C245" s="5">
        <v>1</v>
      </c>
      <c r="D245" s="5"/>
      <c r="E245" s="5"/>
      <c r="F245" s="5"/>
      <c r="G245" s="5">
        <v>2</v>
      </c>
      <c r="H245" s="2">
        <f>H244+B245+F245-(C245+D245+G245)-E245</f>
        <v>1</v>
      </c>
    </row>
    <row r="246" spans="1:8" x14ac:dyDescent="0.25">
      <c r="A246" s="26">
        <v>4</v>
      </c>
      <c r="B246" s="5">
        <v>4</v>
      </c>
      <c r="C246" s="5"/>
      <c r="D246" s="5"/>
      <c r="E246" s="5"/>
      <c r="F246" s="5"/>
      <c r="G246" s="5">
        <v>2</v>
      </c>
      <c r="H246" s="2">
        <f t="shared" ref="H246:H273" si="14">H245+B246+F246-(C246+D246+G246)-E246</f>
        <v>3</v>
      </c>
    </row>
    <row r="247" spans="1:8" x14ac:dyDescent="0.25">
      <c r="A247" s="26">
        <v>5</v>
      </c>
      <c r="B247" s="5">
        <v>2</v>
      </c>
      <c r="C247" s="5"/>
      <c r="D247" s="5"/>
      <c r="E247" s="5"/>
      <c r="F247" s="5"/>
      <c r="G247" s="5">
        <v>2</v>
      </c>
      <c r="H247" s="2">
        <f t="shared" si="14"/>
        <v>3</v>
      </c>
    </row>
    <row r="248" spans="1:8" x14ac:dyDescent="0.25">
      <c r="A248" s="26">
        <v>6</v>
      </c>
      <c r="B248" s="5">
        <v>3</v>
      </c>
      <c r="C248" s="5"/>
      <c r="D248" s="5"/>
      <c r="E248" s="5"/>
      <c r="F248" s="5"/>
      <c r="G248" s="5">
        <v>1</v>
      </c>
      <c r="H248" s="2">
        <f t="shared" si="14"/>
        <v>5</v>
      </c>
    </row>
    <row r="249" spans="1:8" ht="16.5" customHeight="1" x14ac:dyDescent="0.25">
      <c r="A249" s="26">
        <v>7</v>
      </c>
      <c r="B249" s="5">
        <v>4</v>
      </c>
      <c r="C249" s="5">
        <v>1</v>
      </c>
      <c r="D249" s="5"/>
      <c r="E249" s="5">
        <v>1</v>
      </c>
      <c r="F249" s="5"/>
      <c r="G249" s="5">
        <v>1</v>
      </c>
      <c r="H249" s="2">
        <f t="shared" si="14"/>
        <v>6</v>
      </c>
    </row>
    <row r="250" spans="1:8" x14ac:dyDescent="0.25">
      <c r="A250" s="499">
        <v>8</v>
      </c>
      <c r="B250" s="306">
        <v>3</v>
      </c>
      <c r="C250" s="306">
        <v>2</v>
      </c>
      <c r="D250" s="306"/>
      <c r="E250" s="306">
        <v>1</v>
      </c>
      <c r="F250" s="306"/>
      <c r="G250" s="306"/>
      <c r="H250" s="500">
        <f t="shared" si="14"/>
        <v>6</v>
      </c>
    </row>
    <row r="251" spans="1:8" x14ac:dyDescent="0.25">
      <c r="A251" s="26">
        <v>9</v>
      </c>
      <c r="B251" s="5">
        <v>4</v>
      </c>
      <c r="C251" s="5">
        <v>3</v>
      </c>
      <c r="D251" s="5"/>
      <c r="E251" s="5"/>
      <c r="F251" s="5"/>
      <c r="G251" s="5">
        <v>1</v>
      </c>
      <c r="H251" s="2">
        <f t="shared" si="14"/>
        <v>6</v>
      </c>
    </row>
    <row r="252" spans="1:8" x14ac:dyDescent="0.25">
      <c r="A252" s="26">
        <v>10</v>
      </c>
      <c r="B252" s="5">
        <v>3</v>
      </c>
      <c r="C252" s="5">
        <v>2</v>
      </c>
      <c r="D252" s="5"/>
      <c r="E252" s="5"/>
      <c r="F252" s="5"/>
      <c r="G252" s="5"/>
      <c r="H252" s="2">
        <f t="shared" si="14"/>
        <v>7</v>
      </c>
    </row>
    <row r="253" spans="1:8" x14ac:dyDescent="0.25">
      <c r="A253" s="26">
        <v>11</v>
      </c>
      <c r="B253" s="5">
        <v>1</v>
      </c>
      <c r="C253" s="5">
        <v>1</v>
      </c>
      <c r="D253" s="5"/>
      <c r="E253" s="5"/>
      <c r="F253" s="5"/>
      <c r="G253" s="5">
        <v>4</v>
      </c>
      <c r="H253" s="2">
        <f t="shared" si="14"/>
        <v>3</v>
      </c>
    </row>
    <row r="254" spans="1:8" x14ac:dyDescent="0.25">
      <c r="A254" s="26">
        <v>12</v>
      </c>
      <c r="B254" s="5">
        <v>2</v>
      </c>
      <c r="C254" s="5"/>
      <c r="D254" s="5"/>
      <c r="E254" s="5"/>
      <c r="F254" s="5"/>
      <c r="G254" s="5">
        <v>1</v>
      </c>
      <c r="H254" s="2">
        <f t="shared" si="14"/>
        <v>4</v>
      </c>
    </row>
    <row r="255" spans="1:8" x14ac:dyDescent="0.25">
      <c r="A255" s="26">
        <v>13</v>
      </c>
      <c r="B255" s="5">
        <v>1</v>
      </c>
      <c r="C255" s="5"/>
      <c r="D255" s="5"/>
      <c r="E255" s="5"/>
      <c r="F255" s="5"/>
      <c r="G255" s="5">
        <v>1</v>
      </c>
      <c r="H255" s="2">
        <f t="shared" si="14"/>
        <v>4</v>
      </c>
    </row>
    <row r="256" spans="1:8" x14ac:dyDescent="0.25">
      <c r="A256" s="26">
        <v>14</v>
      </c>
      <c r="B256" s="5">
        <v>3</v>
      </c>
      <c r="C256" s="5">
        <v>3</v>
      </c>
      <c r="D256" s="5"/>
      <c r="E256" s="5"/>
      <c r="F256" s="5"/>
      <c r="G256" s="5">
        <v>2</v>
      </c>
      <c r="H256" s="2">
        <f t="shared" si="14"/>
        <v>2</v>
      </c>
    </row>
    <row r="257" spans="1:8" x14ac:dyDescent="0.25">
      <c r="A257" s="26">
        <v>15</v>
      </c>
      <c r="B257" s="5">
        <v>4</v>
      </c>
      <c r="C257" s="5">
        <v>1</v>
      </c>
      <c r="D257" s="5"/>
      <c r="E257" s="5"/>
      <c r="F257" s="5"/>
      <c r="G257" s="5">
        <v>2</v>
      </c>
      <c r="H257" s="2">
        <f t="shared" si="14"/>
        <v>3</v>
      </c>
    </row>
    <row r="258" spans="1:8" x14ac:dyDescent="0.25">
      <c r="A258" s="26">
        <v>16</v>
      </c>
      <c r="B258" s="5">
        <v>5</v>
      </c>
      <c r="C258" s="5">
        <v>1</v>
      </c>
      <c r="D258" s="5"/>
      <c r="E258" s="5"/>
      <c r="F258" s="5"/>
      <c r="G258" s="5">
        <v>1</v>
      </c>
      <c r="H258" s="2">
        <f t="shared" si="14"/>
        <v>6</v>
      </c>
    </row>
    <row r="259" spans="1:8" x14ac:dyDescent="0.25">
      <c r="A259" s="26">
        <v>17</v>
      </c>
      <c r="B259" s="5">
        <v>2</v>
      </c>
      <c r="C259" s="5">
        <v>3</v>
      </c>
      <c r="D259" s="5"/>
      <c r="E259" s="5"/>
      <c r="F259" s="5"/>
      <c r="G259" s="5">
        <v>4</v>
      </c>
      <c r="H259" s="2">
        <f t="shared" si="14"/>
        <v>1</v>
      </c>
    </row>
    <row r="260" spans="1:8" x14ac:dyDescent="0.25">
      <c r="A260" s="26">
        <v>18</v>
      </c>
      <c r="B260" s="5">
        <v>6</v>
      </c>
      <c r="C260" s="5"/>
      <c r="D260" s="5"/>
      <c r="E260" s="5"/>
      <c r="F260" s="5"/>
      <c r="G260" s="5"/>
      <c r="H260" s="2">
        <f t="shared" si="14"/>
        <v>7</v>
      </c>
    </row>
    <row r="261" spans="1:8" x14ac:dyDescent="0.25">
      <c r="A261" s="26">
        <v>19</v>
      </c>
      <c r="B261" s="5">
        <v>1</v>
      </c>
      <c r="C261" s="5">
        <v>1</v>
      </c>
      <c r="D261" s="5">
        <v>1</v>
      </c>
      <c r="E261" s="5"/>
      <c r="F261" s="5"/>
      <c r="G261" s="5"/>
      <c r="H261" s="2">
        <f t="shared" si="14"/>
        <v>6</v>
      </c>
    </row>
    <row r="262" spans="1:8" x14ac:dyDescent="0.25">
      <c r="A262" s="26">
        <v>20</v>
      </c>
      <c r="B262" s="5">
        <v>2</v>
      </c>
      <c r="C262" s="5">
        <v>1</v>
      </c>
      <c r="D262" s="5"/>
      <c r="E262" s="5"/>
      <c r="F262" s="5"/>
      <c r="G262" s="5">
        <v>1</v>
      </c>
      <c r="H262" s="2">
        <f t="shared" si="14"/>
        <v>6</v>
      </c>
    </row>
    <row r="263" spans="1:8" x14ac:dyDescent="0.25">
      <c r="A263" s="26">
        <v>21</v>
      </c>
      <c r="B263" s="5">
        <v>2</v>
      </c>
      <c r="C263" s="5"/>
      <c r="D263" s="5"/>
      <c r="E263" s="5"/>
      <c r="F263" s="5"/>
      <c r="G263" s="5">
        <v>2</v>
      </c>
      <c r="H263" s="2">
        <f t="shared" si="14"/>
        <v>6</v>
      </c>
    </row>
    <row r="264" spans="1:8" x14ac:dyDescent="0.25">
      <c r="A264" s="26">
        <v>22</v>
      </c>
      <c r="B264" s="5">
        <v>1</v>
      </c>
      <c r="C264" s="5">
        <v>1</v>
      </c>
      <c r="D264" s="5"/>
      <c r="E264" s="5"/>
      <c r="F264" s="5"/>
      <c r="G264" s="5">
        <v>2</v>
      </c>
      <c r="H264" s="2">
        <f t="shared" si="14"/>
        <v>4</v>
      </c>
    </row>
    <row r="265" spans="1:8" x14ac:dyDescent="0.25">
      <c r="A265" s="26">
        <v>23</v>
      </c>
      <c r="B265" s="5">
        <v>2</v>
      </c>
      <c r="C265" s="5">
        <v>1</v>
      </c>
      <c r="D265" s="5"/>
      <c r="E265" s="5"/>
      <c r="F265" s="5"/>
      <c r="G265" s="5">
        <v>1</v>
      </c>
      <c r="H265" s="2">
        <f t="shared" si="14"/>
        <v>4</v>
      </c>
    </row>
    <row r="266" spans="1:8" x14ac:dyDescent="0.25">
      <c r="A266" s="26">
        <v>24</v>
      </c>
      <c r="B266" s="5">
        <v>2</v>
      </c>
      <c r="C266" s="5">
        <v>2</v>
      </c>
      <c r="D266" s="5"/>
      <c r="E266" s="5"/>
      <c r="F266" s="5"/>
      <c r="G266" s="5">
        <v>1</v>
      </c>
      <c r="H266" s="2">
        <f t="shared" si="14"/>
        <v>3</v>
      </c>
    </row>
    <row r="267" spans="1:8" x14ac:dyDescent="0.25">
      <c r="A267" s="26">
        <v>25</v>
      </c>
      <c r="B267" s="5">
        <v>1</v>
      </c>
      <c r="C267" s="5">
        <v>2</v>
      </c>
      <c r="D267" s="5"/>
      <c r="E267" s="5"/>
      <c r="F267" s="5"/>
      <c r="G267" s="5">
        <v>1</v>
      </c>
      <c r="H267" s="2">
        <f t="shared" si="14"/>
        <v>1</v>
      </c>
    </row>
    <row r="268" spans="1:8" x14ac:dyDescent="0.25">
      <c r="A268" s="26">
        <v>26</v>
      </c>
      <c r="B268" s="5">
        <v>5</v>
      </c>
      <c r="C268" s="5">
        <v>1</v>
      </c>
      <c r="D268" s="5"/>
      <c r="E268" s="5"/>
      <c r="F268" s="5"/>
      <c r="G268" s="5">
        <v>2</v>
      </c>
      <c r="H268" s="2">
        <f t="shared" si="14"/>
        <v>3</v>
      </c>
    </row>
    <row r="269" spans="1:8" x14ac:dyDescent="0.25">
      <c r="A269" s="26">
        <v>27</v>
      </c>
      <c r="B269" s="5">
        <v>3</v>
      </c>
      <c r="C269" s="5"/>
      <c r="D269" s="5"/>
      <c r="E269" s="5"/>
      <c r="F269" s="5"/>
      <c r="G269" s="5">
        <v>3</v>
      </c>
      <c r="H269" s="2">
        <f t="shared" si="14"/>
        <v>3</v>
      </c>
    </row>
    <row r="270" spans="1:8" x14ac:dyDescent="0.25">
      <c r="A270" s="26">
        <v>28</v>
      </c>
      <c r="B270" s="5">
        <v>3</v>
      </c>
      <c r="C270" s="5">
        <v>3</v>
      </c>
      <c r="D270" s="5"/>
      <c r="E270" s="5">
        <v>1</v>
      </c>
      <c r="F270" s="5"/>
      <c r="G270" s="5"/>
      <c r="H270" s="2">
        <f t="shared" si="14"/>
        <v>2</v>
      </c>
    </row>
    <row r="271" spans="1:8" x14ac:dyDescent="0.25">
      <c r="A271" s="26">
        <v>29</v>
      </c>
      <c r="B271" s="5">
        <v>6</v>
      </c>
      <c r="C271" s="5">
        <v>1</v>
      </c>
      <c r="D271" s="5"/>
      <c r="E271" s="5"/>
      <c r="F271" s="5"/>
      <c r="G271" s="5">
        <v>5</v>
      </c>
      <c r="H271" s="2">
        <f t="shared" si="14"/>
        <v>2</v>
      </c>
    </row>
    <row r="272" spans="1:8" x14ac:dyDescent="0.25">
      <c r="A272" s="11">
        <v>30</v>
      </c>
      <c r="B272" s="5">
        <v>1</v>
      </c>
      <c r="C272" s="5">
        <v>2</v>
      </c>
      <c r="D272" s="5"/>
      <c r="E272" s="5"/>
      <c r="F272" s="5"/>
      <c r="G272" s="5"/>
      <c r="H272" s="5">
        <f t="shared" si="14"/>
        <v>1</v>
      </c>
    </row>
    <row r="273" spans="1:8" ht="15.75" thickBot="1" x14ac:dyDescent="0.3">
      <c r="A273" s="63">
        <v>31</v>
      </c>
      <c r="B273" s="29">
        <v>1</v>
      </c>
      <c r="C273" s="29"/>
      <c r="D273" s="29"/>
      <c r="E273" s="29"/>
      <c r="F273" s="29"/>
      <c r="G273" s="29">
        <v>1</v>
      </c>
      <c r="H273" s="5">
        <f t="shared" si="14"/>
        <v>1</v>
      </c>
    </row>
    <row r="274" spans="1:8" ht="15.75" thickBot="1" x14ac:dyDescent="0.3">
      <c r="A274" s="60" t="s">
        <v>35</v>
      </c>
      <c r="B274" s="58">
        <f>SUM(B243:B273)-E274</f>
        <v>82</v>
      </c>
      <c r="C274" s="58">
        <f t="shared" ref="C274:H274" si="15">SUM(C243:C273)</f>
        <v>37</v>
      </c>
      <c r="D274" s="58">
        <f t="shared" si="15"/>
        <v>1</v>
      </c>
      <c r="E274" s="58">
        <f t="shared" si="15"/>
        <v>3</v>
      </c>
      <c r="F274" s="58">
        <f t="shared" si="15"/>
        <v>0</v>
      </c>
      <c r="G274" s="58">
        <f t="shared" si="15"/>
        <v>45</v>
      </c>
      <c r="H274" s="58">
        <f t="shared" si="15"/>
        <v>120</v>
      </c>
    </row>
    <row r="277" spans="1:8" ht="36" x14ac:dyDescent="0.55000000000000004">
      <c r="A277" s="605" t="s">
        <v>1</v>
      </c>
      <c r="B277" s="605"/>
      <c r="C277" s="605"/>
      <c r="D277" s="605"/>
      <c r="E277" s="605"/>
      <c r="F277" s="605"/>
      <c r="G277" s="605"/>
      <c r="H277" s="605"/>
    </row>
    <row r="278" spans="1:8" ht="27" thickBot="1" x14ac:dyDescent="0.45">
      <c r="A278" s="606" t="s">
        <v>0</v>
      </c>
      <c r="B278" s="606"/>
      <c r="C278" s="606"/>
      <c r="D278" s="606"/>
      <c r="E278" s="606"/>
      <c r="F278" s="606"/>
      <c r="G278" s="606"/>
      <c r="H278" s="606"/>
    </row>
    <row r="279" spans="1:8" ht="15.75" x14ac:dyDescent="0.25">
      <c r="A279" s="39" t="s">
        <v>2</v>
      </c>
      <c r="B279" s="19" t="s">
        <v>3</v>
      </c>
      <c r="C279" s="20"/>
      <c r="D279" s="21" t="s">
        <v>52</v>
      </c>
      <c r="E279" s="623" t="s">
        <v>53</v>
      </c>
      <c r="F279" s="624"/>
      <c r="G279" s="19" t="s">
        <v>16</v>
      </c>
      <c r="H279" s="32" t="s">
        <v>62</v>
      </c>
    </row>
    <row r="280" spans="1:8" ht="15.75" x14ac:dyDescent="0.25">
      <c r="A280" s="609" t="s">
        <v>6</v>
      </c>
      <c r="B280" s="610"/>
      <c r="C280" s="610"/>
      <c r="D280" s="610"/>
      <c r="E280" s="610"/>
      <c r="F280" s="610"/>
      <c r="G280" s="611"/>
      <c r="H280" s="2">
        <f>H273</f>
        <v>1</v>
      </c>
    </row>
    <row r="281" spans="1:8" ht="15.75" x14ac:dyDescent="0.25">
      <c r="A281" s="3" t="s">
        <v>7</v>
      </c>
      <c r="B281" s="1"/>
      <c r="C281" s="1"/>
      <c r="D281" s="1"/>
      <c r="E281" s="1"/>
      <c r="F281" s="1"/>
      <c r="G281" s="1"/>
      <c r="H281" s="2">
        <v>10</v>
      </c>
    </row>
    <row r="282" spans="1:8" ht="51.75" thickBot="1" x14ac:dyDescent="0.3">
      <c r="A282" s="40" t="s">
        <v>8</v>
      </c>
      <c r="B282" s="41" t="s">
        <v>9</v>
      </c>
      <c r="C282" s="41" t="s">
        <v>10</v>
      </c>
      <c r="D282" s="41" t="s">
        <v>11</v>
      </c>
      <c r="E282" s="41" t="s">
        <v>12</v>
      </c>
      <c r="F282" s="41" t="s">
        <v>13</v>
      </c>
      <c r="G282" s="41" t="s">
        <v>14</v>
      </c>
      <c r="H282" s="42" t="s">
        <v>15</v>
      </c>
    </row>
    <row r="283" spans="1:8" x14ac:dyDescent="0.25">
      <c r="A283" s="36">
        <v>1</v>
      </c>
      <c r="B283" s="37">
        <v>2</v>
      </c>
      <c r="C283" s="37"/>
      <c r="D283" s="37"/>
      <c r="E283" s="37"/>
      <c r="F283" s="37"/>
      <c r="G283" s="37">
        <v>2</v>
      </c>
      <c r="H283" s="38">
        <f>H280+B283+F283-(C283+D283+G283)-E283</f>
        <v>1</v>
      </c>
    </row>
    <row r="284" spans="1:8" x14ac:dyDescent="0.25">
      <c r="A284" s="26">
        <v>2</v>
      </c>
      <c r="B284" s="5">
        <v>3</v>
      </c>
      <c r="C284" s="5"/>
      <c r="D284" s="5"/>
      <c r="E284" s="5"/>
      <c r="F284" s="5"/>
      <c r="G284" s="5">
        <v>2</v>
      </c>
      <c r="H284" s="2">
        <f>H283+B284+F284-(C284+D284+G284)-E284</f>
        <v>2</v>
      </c>
    </row>
    <row r="285" spans="1:8" x14ac:dyDescent="0.25">
      <c r="A285" s="26">
        <v>3</v>
      </c>
      <c r="B285" s="5">
        <v>2</v>
      </c>
      <c r="C285" s="5">
        <v>1</v>
      </c>
      <c r="D285" s="5">
        <v>1</v>
      </c>
      <c r="E285" s="5"/>
      <c r="F285" s="5"/>
      <c r="G285" s="5">
        <v>1</v>
      </c>
      <c r="H285" s="2">
        <f>H284+B285+F285-(C285+D285+G285)-E285</f>
        <v>1</v>
      </c>
    </row>
    <row r="286" spans="1:8" x14ac:dyDescent="0.25">
      <c r="A286" s="26">
        <v>4</v>
      </c>
      <c r="B286" s="5">
        <v>2</v>
      </c>
      <c r="C286" s="5">
        <v>3</v>
      </c>
      <c r="D286" s="5"/>
      <c r="E286" s="5"/>
      <c r="F286" s="5"/>
      <c r="G286" s="5"/>
      <c r="H286" s="2">
        <f t="shared" ref="H286:H313" si="16">H285+B286+F286-(C286+D286+G286)-E286</f>
        <v>0</v>
      </c>
    </row>
    <row r="287" spans="1:8" x14ac:dyDescent="0.25">
      <c r="A287" s="26">
        <v>5</v>
      </c>
      <c r="B287" s="5">
        <v>4</v>
      </c>
      <c r="C287" s="5"/>
      <c r="D287" s="5"/>
      <c r="E287" s="5"/>
      <c r="F287" s="5"/>
      <c r="G287" s="5">
        <v>2</v>
      </c>
      <c r="H287" s="2">
        <f t="shared" si="16"/>
        <v>2</v>
      </c>
    </row>
    <row r="288" spans="1:8" x14ac:dyDescent="0.25">
      <c r="A288" s="26">
        <v>6</v>
      </c>
      <c r="B288" s="5">
        <v>3</v>
      </c>
      <c r="C288" s="5"/>
      <c r="D288" s="5"/>
      <c r="E288" s="5"/>
      <c r="F288" s="5"/>
      <c r="G288" s="5">
        <v>2</v>
      </c>
      <c r="H288" s="2">
        <f t="shared" si="16"/>
        <v>3</v>
      </c>
    </row>
    <row r="289" spans="1:8" x14ac:dyDescent="0.25">
      <c r="A289" s="496">
        <v>7</v>
      </c>
      <c r="B289" s="497"/>
      <c r="C289" s="497">
        <v>1</v>
      </c>
      <c r="D289" s="497"/>
      <c r="E289" s="497"/>
      <c r="F289" s="497"/>
      <c r="G289" s="497">
        <v>2</v>
      </c>
      <c r="H289" s="498">
        <f t="shared" si="16"/>
        <v>0</v>
      </c>
    </row>
    <row r="290" spans="1:8" x14ac:dyDescent="0.25">
      <c r="A290" s="26">
        <v>8</v>
      </c>
      <c r="B290" s="5">
        <v>3</v>
      </c>
      <c r="C290" s="5"/>
      <c r="D290" s="5"/>
      <c r="E290" s="5">
        <v>1</v>
      </c>
      <c r="F290" s="5"/>
      <c r="G290" s="5"/>
      <c r="H290" s="2">
        <f t="shared" si="16"/>
        <v>2</v>
      </c>
    </row>
    <row r="291" spans="1:8" x14ac:dyDescent="0.25">
      <c r="A291" s="26">
        <v>9</v>
      </c>
      <c r="B291" s="5">
        <v>1</v>
      </c>
      <c r="C291" s="5"/>
      <c r="D291" s="5"/>
      <c r="E291" s="5"/>
      <c r="F291" s="5"/>
      <c r="G291" s="5"/>
      <c r="H291" s="2">
        <f t="shared" si="16"/>
        <v>3</v>
      </c>
    </row>
    <row r="292" spans="1:8" x14ac:dyDescent="0.25">
      <c r="A292" s="26">
        <v>10</v>
      </c>
      <c r="B292" s="5">
        <v>2</v>
      </c>
      <c r="C292" s="5">
        <v>1</v>
      </c>
      <c r="D292" s="5">
        <v>1</v>
      </c>
      <c r="E292" s="5"/>
      <c r="F292" s="5"/>
      <c r="G292" s="5">
        <v>1</v>
      </c>
      <c r="H292" s="2">
        <f t="shared" si="16"/>
        <v>2</v>
      </c>
    </row>
    <row r="293" spans="1:8" x14ac:dyDescent="0.25">
      <c r="A293" s="26">
        <v>11</v>
      </c>
      <c r="B293" s="5">
        <v>3</v>
      </c>
      <c r="C293" s="5">
        <v>1</v>
      </c>
      <c r="D293" s="5"/>
      <c r="E293" s="5"/>
      <c r="F293" s="5"/>
      <c r="G293" s="5">
        <v>2</v>
      </c>
      <c r="H293" s="2">
        <f t="shared" si="16"/>
        <v>2</v>
      </c>
    </row>
    <row r="294" spans="1:8" x14ac:dyDescent="0.25">
      <c r="A294" s="26">
        <v>12</v>
      </c>
      <c r="B294" s="5">
        <v>5</v>
      </c>
      <c r="C294" s="5">
        <v>2</v>
      </c>
      <c r="D294" s="5"/>
      <c r="E294" s="5"/>
      <c r="F294" s="5"/>
      <c r="G294" s="5">
        <v>2</v>
      </c>
      <c r="H294" s="2">
        <f t="shared" si="16"/>
        <v>3</v>
      </c>
    </row>
    <row r="295" spans="1:8" x14ac:dyDescent="0.25">
      <c r="A295" s="26">
        <v>13</v>
      </c>
      <c r="B295" s="5">
        <v>1</v>
      </c>
      <c r="C295" s="5">
        <v>1</v>
      </c>
      <c r="D295" s="5"/>
      <c r="E295" s="5"/>
      <c r="F295" s="5"/>
      <c r="G295" s="5">
        <v>1</v>
      </c>
      <c r="H295" s="2">
        <f t="shared" si="16"/>
        <v>2</v>
      </c>
    </row>
    <row r="296" spans="1:8" x14ac:dyDescent="0.25">
      <c r="A296" s="26">
        <v>14</v>
      </c>
      <c r="B296" s="5">
        <v>2</v>
      </c>
      <c r="C296" s="5">
        <v>1</v>
      </c>
      <c r="D296" s="5"/>
      <c r="E296" s="5"/>
      <c r="F296" s="5"/>
      <c r="G296" s="5">
        <v>1</v>
      </c>
      <c r="H296" s="2">
        <f t="shared" si="16"/>
        <v>2</v>
      </c>
    </row>
    <row r="297" spans="1:8" x14ac:dyDescent="0.25">
      <c r="A297" s="26">
        <v>15</v>
      </c>
      <c r="B297" s="5">
        <v>2</v>
      </c>
      <c r="C297" s="5">
        <v>1</v>
      </c>
      <c r="D297" s="5"/>
      <c r="E297" s="5"/>
      <c r="F297" s="5"/>
      <c r="G297" s="5">
        <v>1</v>
      </c>
      <c r="H297" s="2">
        <f>H296+B297+F297-(C297+D297+G297)-E297</f>
        <v>2</v>
      </c>
    </row>
    <row r="298" spans="1:8" x14ac:dyDescent="0.25">
      <c r="A298" s="26">
        <v>16</v>
      </c>
      <c r="B298" s="5">
        <v>2</v>
      </c>
      <c r="C298" s="5">
        <v>1</v>
      </c>
      <c r="D298" s="5"/>
      <c r="E298" s="5">
        <v>1</v>
      </c>
      <c r="F298" s="5"/>
      <c r="G298" s="5">
        <v>1</v>
      </c>
      <c r="H298" s="2">
        <f t="shared" si="16"/>
        <v>1</v>
      </c>
    </row>
    <row r="299" spans="1:8" x14ac:dyDescent="0.25">
      <c r="A299" s="26">
        <v>17</v>
      </c>
      <c r="B299" s="5">
        <v>2</v>
      </c>
      <c r="C299" s="5"/>
      <c r="D299" s="5"/>
      <c r="E299" s="5"/>
      <c r="F299" s="5"/>
      <c r="G299" s="5"/>
      <c r="H299" s="2">
        <f t="shared" si="16"/>
        <v>3</v>
      </c>
    </row>
    <row r="300" spans="1:8" x14ac:dyDescent="0.25">
      <c r="A300" s="26">
        <v>18</v>
      </c>
      <c r="B300" s="5">
        <v>2</v>
      </c>
      <c r="C300" s="5">
        <v>2</v>
      </c>
      <c r="D300" s="5"/>
      <c r="E300" s="5"/>
      <c r="F300" s="5"/>
      <c r="G300" s="5">
        <v>1</v>
      </c>
      <c r="H300" s="2">
        <f t="shared" si="16"/>
        <v>2</v>
      </c>
    </row>
    <row r="301" spans="1:8" x14ac:dyDescent="0.25">
      <c r="A301" s="26">
        <v>19</v>
      </c>
      <c r="B301" s="5">
        <v>3</v>
      </c>
      <c r="C301" s="5">
        <v>1</v>
      </c>
      <c r="D301" s="5"/>
      <c r="E301" s="5">
        <v>1</v>
      </c>
      <c r="F301" s="5"/>
      <c r="G301" s="5"/>
      <c r="H301" s="2">
        <f t="shared" si="16"/>
        <v>3</v>
      </c>
    </row>
    <row r="302" spans="1:8" x14ac:dyDescent="0.25">
      <c r="A302" s="26">
        <v>20</v>
      </c>
      <c r="B302" s="5">
        <v>2</v>
      </c>
      <c r="C302" s="5"/>
      <c r="D302" s="5"/>
      <c r="E302" s="5"/>
      <c r="F302" s="5"/>
      <c r="G302" s="5">
        <v>2</v>
      </c>
      <c r="H302" s="2">
        <f t="shared" si="16"/>
        <v>3</v>
      </c>
    </row>
    <row r="303" spans="1:8" x14ac:dyDescent="0.25">
      <c r="A303" s="26">
        <v>21</v>
      </c>
      <c r="B303" s="5"/>
      <c r="C303" s="5">
        <v>2</v>
      </c>
      <c r="D303" s="5"/>
      <c r="E303" s="5"/>
      <c r="F303" s="5"/>
      <c r="G303" s="5"/>
      <c r="H303" s="2">
        <f t="shared" si="16"/>
        <v>1</v>
      </c>
    </row>
    <row r="304" spans="1:8" x14ac:dyDescent="0.25">
      <c r="A304" s="26">
        <v>22</v>
      </c>
      <c r="B304" s="5">
        <v>1</v>
      </c>
      <c r="C304" s="5"/>
      <c r="D304" s="5"/>
      <c r="E304" s="5"/>
      <c r="F304" s="5"/>
      <c r="G304" s="5">
        <v>1</v>
      </c>
      <c r="H304" s="2">
        <f t="shared" si="16"/>
        <v>1</v>
      </c>
    </row>
    <row r="305" spans="1:8" x14ac:dyDescent="0.25">
      <c r="A305" s="26">
        <v>23</v>
      </c>
      <c r="B305" s="5">
        <v>4</v>
      </c>
      <c r="C305" s="5"/>
      <c r="D305" s="5"/>
      <c r="E305" s="5"/>
      <c r="F305" s="5"/>
      <c r="G305" s="5">
        <v>2</v>
      </c>
      <c r="H305" s="2">
        <f t="shared" si="16"/>
        <v>3</v>
      </c>
    </row>
    <row r="306" spans="1:8" x14ac:dyDescent="0.25">
      <c r="A306" s="26">
        <v>24</v>
      </c>
      <c r="B306" s="5">
        <v>2</v>
      </c>
      <c r="C306" s="5">
        <v>1</v>
      </c>
      <c r="D306" s="5"/>
      <c r="E306" s="5"/>
      <c r="F306" s="5"/>
      <c r="G306" s="5">
        <v>1</v>
      </c>
      <c r="H306" s="2">
        <f t="shared" si="16"/>
        <v>3</v>
      </c>
    </row>
    <row r="307" spans="1:8" x14ac:dyDescent="0.25">
      <c r="A307" s="26">
        <v>25</v>
      </c>
      <c r="B307" s="5">
        <v>1</v>
      </c>
      <c r="C307" s="5"/>
      <c r="D307" s="5"/>
      <c r="E307" s="5"/>
      <c r="F307" s="5"/>
      <c r="G307" s="5">
        <v>3</v>
      </c>
      <c r="H307" s="2">
        <f t="shared" si="16"/>
        <v>1</v>
      </c>
    </row>
    <row r="308" spans="1:8" x14ac:dyDescent="0.25">
      <c r="A308" s="26">
        <v>26</v>
      </c>
      <c r="B308" s="5">
        <v>2</v>
      </c>
      <c r="C308" s="5"/>
      <c r="D308" s="5"/>
      <c r="E308" s="5"/>
      <c r="F308" s="5"/>
      <c r="G308" s="5">
        <v>1</v>
      </c>
      <c r="H308" s="2">
        <f t="shared" si="16"/>
        <v>2</v>
      </c>
    </row>
    <row r="309" spans="1:8" x14ac:dyDescent="0.25">
      <c r="A309" s="26">
        <v>27</v>
      </c>
      <c r="B309" s="5"/>
      <c r="C309" s="5">
        <v>1</v>
      </c>
      <c r="D309" s="5"/>
      <c r="E309" s="5"/>
      <c r="F309" s="5"/>
      <c r="G309" s="5"/>
      <c r="H309" s="2">
        <f t="shared" si="16"/>
        <v>1</v>
      </c>
    </row>
    <row r="310" spans="1:8" x14ac:dyDescent="0.25">
      <c r="A310" s="26">
        <v>28</v>
      </c>
      <c r="B310" s="5">
        <v>3</v>
      </c>
      <c r="C310" s="5"/>
      <c r="D310" s="5"/>
      <c r="E310" s="5"/>
      <c r="F310" s="5"/>
      <c r="G310" s="5"/>
      <c r="H310" s="2">
        <f t="shared" si="16"/>
        <v>4</v>
      </c>
    </row>
    <row r="311" spans="1:8" x14ac:dyDescent="0.25">
      <c r="A311" s="26">
        <v>29</v>
      </c>
      <c r="B311" s="5">
        <v>2</v>
      </c>
      <c r="C311" s="5">
        <v>1</v>
      </c>
      <c r="D311" s="5"/>
      <c r="E311" s="5"/>
      <c r="F311" s="5"/>
      <c r="G311" s="5">
        <v>2</v>
      </c>
      <c r="H311" s="2">
        <f>H310+B311+F311-(C311+D311+G311)-E311</f>
        <v>3</v>
      </c>
    </row>
    <row r="312" spans="1:8" x14ac:dyDescent="0.25">
      <c r="A312" s="26">
        <v>30</v>
      </c>
      <c r="B312" s="5">
        <v>2</v>
      </c>
      <c r="C312" s="5">
        <v>1</v>
      </c>
      <c r="D312" s="5"/>
      <c r="E312" s="5"/>
      <c r="F312" s="5"/>
      <c r="G312" s="5">
        <v>1</v>
      </c>
      <c r="H312" s="2">
        <f t="shared" si="16"/>
        <v>3</v>
      </c>
    </row>
    <row r="313" spans="1:8" ht="15.75" thickBot="1" x14ac:dyDescent="0.3">
      <c r="A313" s="28">
        <v>31</v>
      </c>
      <c r="B313" s="29"/>
      <c r="C313" s="29">
        <v>2</v>
      </c>
      <c r="D313" s="29"/>
      <c r="E313" s="29"/>
      <c r="F313" s="29"/>
      <c r="G313" s="29"/>
      <c r="H313" s="2">
        <f t="shared" si="16"/>
        <v>1</v>
      </c>
    </row>
    <row r="314" spans="1:8" ht="15.75" thickBot="1" x14ac:dyDescent="0.3">
      <c r="A314" s="60" t="s">
        <v>35</v>
      </c>
      <c r="B314" s="58">
        <f>SUM(B283:B313)-E314</f>
        <v>60</v>
      </c>
      <c r="C314" s="58">
        <f t="shared" ref="C314:H314" si="17">SUM(C283:C313)</f>
        <v>24</v>
      </c>
      <c r="D314" s="58">
        <f t="shared" si="17"/>
        <v>2</v>
      </c>
      <c r="E314" s="58">
        <f t="shared" si="17"/>
        <v>3</v>
      </c>
      <c r="F314" s="58">
        <f t="shared" si="17"/>
        <v>0</v>
      </c>
      <c r="G314" s="58">
        <f t="shared" si="17"/>
        <v>34</v>
      </c>
      <c r="H314" s="59">
        <f t="shared" si="17"/>
        <v>62</v>
      </c>
    </row>
    <row r="317" spans="1:8" ht="36" x14ac:dyDescent="0.55000000000000004">
      <c r="A317" s="605" t="s">
        <v>1</v>
      </c>
      <c r="B317" s="605"/>
      <c r="C317" s="605"/>
      <c r="D317" s="605"/>
      <c r="E317" s="605"/>
      <c r="F317" s="605"/>
      <c r="G317" s="605"/>
      <c r="H317" s="605"/>
    </row>
    <row r="318" spans="1:8" ht="27" thickBot="1" x14ac:dyDescent="0.45">
      <c r="A318" s="606" t="s">
        <v>0</v>
      </c>
      <c r="B318" s="606"/>
      <c r="C318" s="606"/>
      <c r="D318" s="606"/>
      <c r="E318" s="606"/>
      <c r="F318" s="606"/>
      <c r="G318" s="606"/>
      <c r="H318" s="606"/>
    </row>
    <row r="319" spans="1:8" ht="15.75" x14ac:dyDescent="0.25">
      <c r="A319" s="39" t="s">
        <v>2</v>
      </c>
      <c r="B319" s="19" t="s">
        <v>3</v>
      </c>
      <c r="C319" s="20"/>
      <c r="D319" s="21" t="s">
        <v>52</v>
      </c>
      <c r="E319" s="623" t="s">
        <v>53</v>
      </c>
      <c r="F319" s="624"/>
      <c r="G319" s="19" t="s">
        <v>16</v>
      </c>
      <c r="H319" s="32" t="s">
        <v>63</v>
      </c>
    </row>
    <row r="320" spans="1:8" ht="15.75" x14ac:dyDescent="0.25">
      <c r="A320" s="609" t="s">
        <v>6</v>
      </c>
      <c r="B320" s="610"/>
      <c r="C320" s="610"/>
      <c r="D320" s="610"/>
      <c r="E320" s="610"/>
      <c r="F320" s="610"/>
      <c r="G320" s="611"/>
      <c r="H320" s="2">
        <f>H313</f>
        <v>1</v>
      </c>
    </row>
    <row r="321" spans="1:8" ht="15.75" x14ac:dyDescent="0.25">
      <c r="A321" s="3" t="s">
        <v>7</v>
      </c>
      <c r="B321" s="1"/>
      <c r="C321" s="1"/>
      <c r="D321" s="1"/>
      <c r="E321" s="1"/>
      <c r="F321" s="1"/>
      <c r="G321" s="1"/>
      <c r="H321" s="2">
        <v>10</v>
      </c>
    </row>
    <row r="322" spans="1:8" ht="51.75" thickBot="1" x14ac:dyDescent="0.3">
      <c r="A322" s="40" t="s">
        <v>8</v>
      </c>
      <c r="B322" s="41" t="s">
        <v>9</v>
      </c>
      <c r="C322" s="41" t="s">
        <v>10</v>
      </c>
      <c r="D322" s="41" t="s">
        <v>11</v>
      </c>
      <c r="E322" s="41" t="s">
        <v>12</v>
      </c>
      <c r="F322" s="41" t="s">
        <v>13</v>
      </c>
      <c r="G322" s="41" t="s">
        <v>14</v>
      </c>
      <c r="H322" s="42" t="s">
        <v>15</v>
      </c>
    </row>
    <row r="323" spans="1:8" x14ac:dyDescent="0.25">
      <c r="A323" s="36">
        <v>1</v>
      </c>
      <c r="B323" s="37">
        <v>1</v>
      </c>
      <c r="C323" s="37"/>
      <c r="D323" s="37"/>
      <c r="E323" s="37"/>
      <c r="F323" s="37"/>
      <c r="G323" s="37"/>
      <c r="H323" s="38">
        <f>H320+B323+F323-(C323+D323+G323)-E323</f>
        <v>2</v>
      </c>
    </row>
    <row r="324" spans="1:8" x14ac:dyDescent="0.25">
      <c r="A324" s="26">
        <v>2</v>
      </c>
      <c r="B324" s="5">
        <v>2</v>
      </c>
      <c r="C324" s="5"/>
      <c r="D324" s="5"/>
      <c r="E324" s="5"/>
      <c r="F324" s="5"/>
      <c r="G324" s="5">
        <v>2</v>
      </c>
      <c r="H324" s="2">
        <f>H323+B324+F324-(C324+D324+G324)-E324</f>
        <v>2</v>
      </c>
    </row>
    <row r="325" spans="1:8" x14ac:dyDescent="0.25">
      <c r="A325" s="26">
        <v>3</v>
      </c>
      <c r="B325" s="5">
        <v>3</v>
      </c>
      <c r="C325" s="5">
        <v>1</v>
      </c>
      <c r="D325" s="5"/>
      <c r="E325" s="5">
        <v>1</v>
      </c>
      <c r="F325" s="5"/>
      <c r="G325" s="5">
        <v>1</v>
      </c>
      <c r="H325" s="2">
        <f>H324+B325+F325-(C325+D325+G325)-E325</f>
        <v>2</v>
      </c>
    </row>
    <row r="326" spans="1:8" x14ac:dyDescent="0.25">
      <c r="A326" s="26">
        <v>4</v>
      </c>
      <c r="B326" s="5">
        <v>4</v>
      </c>
      <c r="C326" s="5">
        <v>1</v>
      </c>
      <c r="D326" s="5"/>
      <c r="E326" s="5"/>
      <c r="F326" s="5"/>
      <c r="G326" s="5">
        <v>3</v>
      </c>
      <c r="H326" s="2">
        <f t="shared" ref="H326:H352" si="18">H325+B326+F326-(C326+D326+G326)-E326</f>
        <v>2</v>
      </c>
    </row>
    <row r="327" spans="1:8" x14ac:dyDescent="0.25">
      <c r="A327" s="26">
        <v>5</v>
      </c>
      <c r="B327" s="5">
        <v>3</v>
      </c>
      <c r="C327" s="5"/>
      <c r="D327" s="5"/>
      <c r="E327" s="5"/>
      <c r="F327" s="5"/>
      <c r="G327" s="5"/>
      <c r="H327" s="2">
        <f t="shared" si="18"/>
        <v>5</v>
      </c>
    </row>
    <row r="328" spans="1:8" x14ac:dyDescent="0.25">
      <c r="A328" s="26">
        <v>6</v>
      </c>
      <c r="B328" s="5">
        <v>2</v>
      </c>
      <c r="C328" s="5">
        <v>1</v>
      </c>
      <c r="D328" s="5"/>
      <c r="E328" s="5">
        <v>1</v>
      </c>
      <c r="F328" s="5"/>
      <c r="G328" s="5">
        <v>2</v>
      </c>
      <c r="H328" s="2">
        <f t="shared" si="18"/>
        <v>3</v>
      </c>
    </row>
    <row r="329" spans="1:8" x14ac:dyDescent="0.25">
      <c r="A329" s="26">
        <v>7</v>
      </c>
      <c r="B329" s="5">
        <v>4</v>
      </c>
      <c r="C329" s="5">
        <v>2</v>
      </c>
      <c r="D329" s="5"/>
      <c r="E329" s="5"/>
      <c r="F329" s="5"/>
      <c r="G329" s="5"/>
      <c r="H329" s="2">
        <f t="shared" si="18"/>
        <v>5</v>
      </c>
    </row>
    <row r="330" spans="1:8" x14ac:dyDescent="0.25">
      <c r="A330" s="26">
        <v>8</v>
      </c>
      <c r="B330" s="5">
        <v>4</v>
      </c>
      <c r="C330" s="5">
        <v>2</v>
      </c>
      <c r="D330" s="5"/>
      <c r="E330" s="5"/>
      <c r="F330" s="5"/>
      <c r="G330" s="5">
        <v>1</v>
      </c>
      <c r="H330" s="2">
        <f t="shared" si="18"/>
        <v>6</v>
      </c>
    </row>
    <row r="331" spans="1:8" ht="14.25" customHeight="1" x14ac:dyDescent="0.25">
      <c r="A331" s="26">
        <v>9</v>
      </c>
      <c r="B331" s="5"/>
      <c r="C331" s="5">
        <v>2</v>
      </c>
      <c r="D331" s="5"/>
      <c r="E331" s="5"/>
      <c r="F331" s="5"/>
      <c r="G331" s="5"/>
      <c r="H331" s="2">
        <f t="shared" si="18"/>
        <v>4</v>
      </c>
    </row>
    <row r="332" spans="1:8" x14ac:dyDescent="0.25">
      <c r="A332" s="26">
        <v>10</v>
      </c>
      <c r="B332" s="5">
        <v>3</v>
      </c>
      <c r="C332" s="5"/>
      <c r="D332" s="5">
        <v>1</v>
      </c>
      <c r="E332" s="5"/>
      <c r="F332" s="5"/>
      <c r="G332" s="5">
        <v>2</v>
      </c>
      <c r="H332" s="2">
        <f t="shared" si="18"/>
        <v>4</v>
      </c>
    </row>
    <row r="333" spans="1:8" x14ac:dyDescent="0.25">
      <c r="A333" s="26">
        <v>11</v>
      </c>
      <c r="B333" s="5">
        <v>2</v>
      </c>
      <c r="C333" s="5"/>
      <c r="D333" s="5"/>
      <c r="E333" s="5">
        <v>1</v>
      </c>
      <c r="F333" s="5"/>
      <c r="G333" s="5">
        <v>2</v>
      </c>
      <c r="H333" s="2">
        <f t="shared" si="18"/>
        <v>3</v>
      </c>
    </row>
    <row r="334" spans="1:8" x14ac:dyDescent="0.25">
      <c r="A334" s="26">
        <v>12</v>
      </c>
      <c r="B334" s="5"/>
      <c r="C334" s="5">
        <v>1</v>
      </c>
      <c r="D334" s="5"/>
      <c r="E334" s="5"/>
      <c r="F334" s="5"/>
      <c r="G334" s="5"/>
      <c r="H334" s="2">
        <f t="shared" si="18"/>
        <v>2</v>
      </c>
    </row>
    <row r="335" spans="1:8" x14ac:dyDescent="0.25">
      <c r="A335" s="26">
        <v>13</v>
      </c>
      <c r="B335" s="5">
        <v>3</v>
      </c>
      <c r="C335" s="5"/>
      <c r="D335" s="5"/>
      <c r="E335" s="5"/>
      <c r="F335" s="5"/>
      <c r="G335" s="5">
        <v>1</v>
      </c>
      <c r="H335" s="2">
        <f t="shared" si="18"/>
        <v>4</v>
      </c>
    </row>
    <row r="336" spans="1:8" x14ac:dyDescent="0.25">
      <c r="A336" s="26">
        <v>14</v>
      </c>
      <c r="B336" s="5">
        <v>1</v>
      </c>
      <c r="C336" s="5">
        <v>1</v>
      </c>
      <c r="D336" s="5"/>
      <c r="E336" s="5"/>
      <c r="F336" s="5"/>
      <c r="G336" s="5"/>
      <c r="H336" s="2">
        <f t="shared" si="18"/>
        <v>4</v>
      </c>
    </row>
    <row r="337" spans="1:8" x14ac:dyDescent="0.25">
      <c r="A337" s="26">
        <v>15</v>
      </c>
      <c r="B337" s="5">
        <v>1</v>
      </c>
      <c r="C337" s="5">
        <v>1</v>
      </c>
      <c r="D337" s="5"/>
      <c r="E337" s="5"/>
      <c r="F337" s="5"/>
      <c r="G337" s="5">
        <v>1</v>
      </c>
      <c r="H337" s="2">
        <f t="shared" si="18"/>
        <v>3</v>
      </c>
    </row>
    <row r="338" spans="1:8" x14ac:dyDescent="0.25">
      <c r="A338" s="26">
        <v>16</v>
      </c>
      <c r="B338" s="5">
        <v>1</v>
      </c>
      <c r="C338" s="5">
        <v>1</v>
      </c>
      <c r="D338" s="5"/>
      <c r="E338" s="5"/>
      <c r="F338" s="5"/>
      <c r="G338" s="5"/>
      <c r="H338" s="2">
        <f t="shared" si="18"/>
        <v>3</v>
      </c>
    </row>
    <row r="339" spans="1:8" x14ac:dyDescent="0.25">
      <c r="A339" s="26">
        <v>17</v>
      </c>
      <c r="B339" s="5">
        <v>4</v>
      </c>
      <c r="C339" s="5"/>
      <c r="D339" s="5"/>
      <c r="E339" s="5"/>
      <c r="F339" s="5"/>
      <c r="G339" s="5">
        <v>1</v>
      </c>
      <c r="H339" s="2">
        <f t="shared" si="18"/>
        <v>6</v>
      </c>
    </row>
    <row r="340" spans="1:8" x14ac:dyDescent="0.25">
      <c r="A340" s="26">
        <v>18</v>
      </c>
      <c r="B340" s="5">
        <v>2</v>
      </c>
      <c r="C340" s="5">
        <v>1</v>
      </c>
      <c r="D340" s="5"/>
      <c r="E340" s="5"/>
      <c r="F340" s="5"/>
      <c r="G340" s="5">
        <v>3</v>
      </c>
      <c r="H340" s="2">
        <f t="shared" si="18"/>
        <v>4</v>
      </c>
    </row>
    <row r="341" spans="1:8" x14ac:dyDescent="0.25">
      <c r="A341" s="26">
        <v>19</v>
      </c>
      <c r="B341" s="5">
        <v>2</v>
      </c>
      <c r="C341" s="5"/>
      <c r="D341" s="5"/>
      <c r="E341" s="5"/>
      <c r="F341" s="5"/>
      <c r="G341" s="5">
        <v>1</v>
      </c>
      <c r="H341" s="2">
        <f t="shared" si="18"/>
        <v>5</v>
      </c>
    </row>
    <row r="342" spans="1:8" x14ac:dyDescent="0.25">
      <c r="A342" s="26">
        <v>20</v>
      </c>
      <c r="B342" s="5">
        <v>2</v>
      </c>
      <c r="C342" s="5">
        <v>2</v>
      </c>
      <c r="D342" s="5"/>
      <c r="E342" s="5"/>
      <c r="F342" s="5"/>
      <c r="G342" s="5">
        <v>1</v>
      </c>
      <c r="H342" s="2">
        <f t="shared" si="18"/>
        <v>4</v>
      </c>
    </row>
    <row r="343" spans="1:8" x14ac:dyDescent="0.25">
      <c r="A343" s="26">
        <v>21</v>
      </c>
      <c r="B343" s="5">
        <v>1</v>
      </c>
      <c r="C343" s="5">
        <v>1</v>
      </c>
      <c r="D343" s="5"/>
      <c r="E343" s="5"/>
      <c r="F343" s="5"/>
      <c r="G343" s="5">
        <v>2</v>
      </c>
      <c r="H343" s="2">
        <f t="shared" si="18"/>
        <v>2</v>
      </c>
    </row>
    <row r="344" spans="1:8" x14ac:dyDescent="0.25">
      <c r="A344" s="26">
        <v>22</v>
      </c>
      <c r="B344" s="5">
        <v>2</v>
      </c>
      <c r="C344" s="5"/>
      <c r="D344" s="5"/>
      <c r="E344" s="5"/>
      <c r="F344" s="5"/>
      <c r="G344" s="5">
        <v>2</v>
      </c>
      <c r="H344" s="2">
        <f t="shared" si="18"/>
        <v>2</v>
      </c>
    </row>
    <row r="345" spans="1:8" x14ac:dyDescent="0.25">
      <c r="A345" s="26">
        <v>23</v>
      </c>
      <c r="B345" s="5">
        <v>1</v>
      </c>
      <c r="C345" s="5"/>
      <c r="D345" s="5"/>
      <c r="E345" s="5">
        <v>1</v>
      </c>
      <c r="F345" s="5"/>
      <c r="G345" s="5"/>
      <c r="H345" s="2">
        <f t="shared" si="18"/>
        <v>2</v>
      </c>
    </row>
    <row r="346" spans="1:8" x14ac:dyDescent="0.25">
      <c r="A346" s="26">
        <v>24</v>
      </c>
      <c r="B346" s="5">
        <v>1</v>
      </c>
      <c r="C346" s="5"/>
      <c r="D346" s="5"/>
      <c r="E346" s="5"/>
      <c r="F346" s="5"/>
      <c r="G346" s="5"/>
      <c r="H346" s="2">
        <f t="shared" si="18"/>
        <v>3</v>
      </c>
    </row>
    <row r="347" spans="1:8" x14ac:dyDescent="0.25">
      <c r="A347" s="26">
        <v>25</v>
      </c>
      <c r="B347" s="5">
        <v>2</v>
      </c>
      <c r="C347" s="5"/>
      <c r="D347" s="5"/>
      <c r="E347" s="5">
        <v>1</v>
      </c>
      <c r="F347" s="5"/>
      <c r="G347" s="5"/>
      <c r="H347" s="2">
        <f t="shared" si="18"/>
        <v>4</v>
      </c>
    </row>
    <row r="348" spans="1:8" x14ac:dyDescent="0.25">
      <c r="A348" s="26">
        <v>26</v>
      </c>
      <c r="B348" s="5">
        <v>1</v>
      </c>
      <c r="C348" s="5">
        <v>1</v>
      </c>
      <c r="D348" s="5"/>
      <c r="E348" s="5"/>
      <c r="F348" s="5"/>
      <c r="G348" s="5">
        <v>2</v>
      </c>
      <c r="H348" s="2">
        <f t="shared" si="18"/>
        <v>2</v>
      </c>
    </row>
    <row r="349" spans="1:8" x14ac:dyDescent="0.25">
      <c r="A349" s="26">
        <v>27</v>
      </c>
      <c r="B349" s="5">
        <v>4</v>
      </c>
      <c r="C349" s="5">
        <v>1</v>
      </c>
      <c r="D349" s="5"/>
      <c r="E349" s="5"/>
      <c r="F349" s="5"/>
      <c r="G349" s="5"/>
      <c r="H349" s="2">
        <f t="shared" si="18"/>
        <v>5</v>
      </c>
    </row>
    <row r="350" spans="1:8" x14ac:dyDescent="0.25">
      <c r="A350" s="26">
        <v>28</v>
      </c>
      <c r="B350" s="5">
        <v>2</v>
      </c>
      <c r="C350" s="5">
        <v>1</v>
      </c>
      <c r="D350" s="5"/>
      <c r="E350" s="5"/>
      <c r="F350" s="5"/>
      <c r="G350" s="5">
        <v>2</v>
      </c>
      <c r="H350" s="2">
        <f t="shared" si="18"/>
        <v>4</v>
      </c>
    </row>
    <row r="351" spans="1:8" x14ac:dyDescent="0.25">
      <c r="A351" s="26">
        <v>29</v>
      </c>
      <c r="B351" s="5">
        <v>1</v>
      </c>
      <c r="C351" s="5">
        <v>1</v>
      </c>
      <c r="D351" s="5"/>
      <c r="E351" s="5">
        <v>1</v>
      </c>
      <c r="F351" s="5"/>
      <c r="G351" s="5"/>
      <c r="H351" s="2">
        <f t="shared" si="18"/>
        <v>3</v>
      </c>
    </row>
    <row r="352" spans="1:8" ht="15.75" thickBot="1" x14ac:dyDescent="0.3">
      <c r="A352" s="26">
        <v>30</v>
      </c>
      <c r="B352" s="5">
        <v>4</v>
      </c>
      <c r="C352" s="5">
        <v>1</v>
      </c>
      <c r="D352" s="5"/>
      <c r="E352" s="5"/>
      <c r="F352" s="5"/>
      <c r="G352" s="5">
        <v>1</v>
      </c>
      <c r="H352" s="2">
        <f t="shared" si="18"/>
        <v>5</v>
      </c>
    </row>
    <row r="353" spans="1:25" ht="15.75" thickBot="1" x14ac:dyDescent="0.3">
      <c r="A353" s="60" t="s">
        <v>35</v>
      </c>
      <c r="B353" s="58">
        <f>SUM(B323:B352)-E353</f>
        <v>57</v>
      </c>
      <c r="C353" s="58">
        <f t="shared" ref="C353:H353" si="19">SUM(C323:C352)</f>
        <v>22</v>
      </c>
      <c r="D353" s="58">
        <f t="shared" si="19"/>
        <v>1</v>
      </c>
      <c r="E353" s="58">
        <f t="shared" si="19"/>
        <v>6</v>
      </c>
      <c r="F353" s="58">
        <f t="shared" si="19"/>
        <v>0</v>
      </c>
      <c r="G353" s="58">
        <f t="shared" si="19"/>
        <v>30</v>
      </c>
      <c r="H353" s="59">
        <f t="shared" si="19"/>
        <v>105</v>
      </c>
    </row>
    <row r="356" spans="1:25" ht="36" x14ac:dyDescent="0.55000000000000004">
      <c r="A356" s="605" t="s">
        <v>1</v>
      </c>
      <c r="B356" s="605"/>
      <c r="C356" s="605"/>
      <c r="D356" s="605"/>
      <c r="E356" s="605"/>
      <c r="F356" s="605"/>
      <c r="G356" s="605"/>
      <c r="H356" s="605"/>
      <c r="J356" s="605" t="s">
        <v>1</v>
      </c>
      <c r="K356" s="605"/>
      <c r="L356" s="605"/>
      <c r="M356" s="605"/>
      <c r="N356" s="605"/>
      <c r="O356" s="605"/>
      <c r="P356" s="605"/>
      <c r="Q356" s="605"/>
      <c r="R356" s="605"/>
      <c r="S356" s="605"/>
      <c r="T356" s="605"/>
      <c r="U356" s="605"/>
      <c r="V356" s="605"/>
      <c r="W356" s="605"/>
      <c r="X356" s="525"/>
    </row>
    <row r="357" spans="1:25" ht="27" thickBot="1" x14ac:dyDescent="0.45">
      <c r="A357" s="606" t="s">
        <v>0</v>
      </c>
      <c r="B357" s="606"/>
      <c r="C357" s="606"/>
      <c r="D357" s="606"/>
      <c r="E357" s="606"/>
      <c r="F357" s="606"/>
      <c r="G357" s="606"/>
      <c r="H357" s="606"/>
      <c r="J357" s="606" t="s">
        <v>0</v>
      </c>
      <c r="K357" s="606"/>
      <c r="L357" s="606"/>
      <c r="M357" s="606"/>
      <c r="N357" s="606"/>
      <c r="O357" s="606"/>
      <c r="P357" s="606"/>
      <c r="Q357" s="606"/>
      <c r="R357" s="606"/>
      <c r="S357" s="606"/>
      <c r="T357" s="606"/>
      <c r="U357" s="606"/>
      <c r="V357" s="606"/>
      <c r="W357" s="606"/>
      <c r="X357" s="524"/>
    </row>
    <row r="358" spans="1:25" ht="15.75" x14ac:dyDescent="0.25">
      <c r="A358" s="39" t="s">
        <v>2</v>
      </c>
      <c r="B358" s="19" t="s">
        <v>3</v>
      </c>
      <c r="C358" s="20"/>
      <c r="D358" s="21" t="s">
        <v>52</v>
      </c>
      <c r="E358" s="623" t="s">
        <v>53</v>
      </c>
      <c r="F358" s="624"/>
      <c r="G358" s="19" t="s">
        <v>16</v>
      </c>
      <c r="H358" s="32" t="s">
        <v>64</v>
      </c>
      <c r="J358" s="1" t="s">
        <v>2</v>
      </c>
      <c r="K358" s="4" t="s">
        <v>3</v>
      </c>
      <c r="L358" s="4"/>
      <c r="M358" s="5"/>
      <c r="N358" s="5"/>
      <c r="O358" s="1" t="s">
        <v>52</v>
      </c>
      <c r="P358" s="1"/>
      <c r="Q358" s="627" t="s">
        <v>53</v>
      </c>
      <c r="R358" s="627"/>
      <c r="S358" s="627"/>
      <c r="T358" s="531"/>
      <c r="U358" s="4" t="s">
        <v>16</v>
      </c>
      <c r="V358" s="4"/>
      <c r="W358" s="628" t="s">
        <v>1286</v>
      </c>
      <c r="X358" s="629"/>
      <c r="Y358" s="5"/>
    </row>
    <row r="359" spans="1:25" ht="15.75" x14ac:dyDescent="0.25">
      <c r="A359" s="609" t="s">
        <v>6</v>
      </c>
      <c r="B359" s="610"/>
      <c r="C359" s="610"/>
      <c r="D359" s="610"/>
      <c r="E359" s="610"/>
      <c r="F359" s="611"/>
      <c r="G359" s="1"/>
      <c r="H359" s="2">
        <f>H352</f>
        <v>5</v>
      </c>
      <c r="J359" s="620" t="s">
        <v>6</v>
      </c>
      <c r="K359" s="620"/>
      <c r="L359" s="620"/>
      <c r="M359" s="620"/>
      <c r="N359" s="620"/>
      <c r="O359" s="620"/>
      <c r="P359" s="620"/>
      <c r="Q359" s="620"/>
      <c r="R359" s="620"/>
      <c r="S359" s="620"/>
      <c r="T359" s="526"/>
      <c r="U359" s="1"/>
      <c r="V359" s="1"/>
      <c r="W359" s="532">
        <v>5</v>
      </c>
      <c r="X359" s="532">
        <v>0</v>
      </c>
      <c r="Y359" s="532">
        <v>5</v>
      </c>
    </row>
    <row r="360" spans="1:25" ht="15.75" x14ac:dyDescent="0.25">
      <c r="A360" s="3" t="s">
        <v>7</v>
      </c>
      <c r="B360" s="1"/>
      <c r="C360" s="1"/>
      <c r="D360" s="1"/>
      <c r="E360" s="1"/>
      <c r="F360" s="1"/>
      <c r="G360" s="1"/>
      <c r="H360" s="2">
        <v>10</v>
      </c>
      <c r="J360" s="1" t="s">
        <v>7</v>
      </c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532">
        <v>10</v>
      </c>
      <c r="X360" s="532">
        <v>10</v>
      </c>
      <c r="Y360" s="532">
        <v>20</v>
      </c>
    </row>
    <row r="361" spans="1:25" ht="64.5" customHeight="1" thickBot="1" x14ac:dyDescent="0.3">
      <c r="A361" s="40" t="s">
        <v>8</v>
      </c>
      <c r="B361" s="41" t="s">
        <v>9</v>
      </c>
      <c r="C361" s="41" t="s">
        <v>10</v>
      </c>
      <c r="D361" s="41" t="s">
        <v>11</v>
      </c>
      <c r="E361" s="41" t="s">
        <v>12</v>
      </c>
      <c r="F361" s="41" t="s">
        <v>13</v>
      </c>
      <c r="G361" s="41" t="s">
        <v>14</v>
      </c>
      <c r="H361" s="42" t="s">
        <v>15</v>
      </c>
      <c r="J361" s="9" t="s">
        <v>8</v>
      </c>
      <c r="K361" s="630" t="s">
        <v>1279</v>
      </c>
      <c r="L361" s="630"/>
      <c r="M361" s="630" t="s">
        <v>1280</v>
      </c>
      <c r="N361" s="630"/>
      <c r="O361" s="630" t="s">
        <v>1281</v>
      </c>
      <c r="P361" s="630"/>
      <c r="Q361" s="630" t="s">
        <v>1282</v>
      </c>
      <c r="R361" s="630"/>
      <c r="S361" s="630" t="s">
        <v>1283</v>
      </c>
      <c r="T361" s="630"/>
      <c r="U361" s="630" t="s">
        <v>1284</v>
      </c>
      <c r="V361" s="630"/>
      <c r="W361" s="631" t="s">
        <v>1285</v>
      </c>
      <c r="X361" s="632"/>
      <c r="Y361" s="5" t="s">
        <v>35</v>
      </c>
    </row>
    <row r="362" spans="1:25" x14ac:dyDescent="0.25">
      <c r="A362" s="36">
        <v>1</v>
      </c>
      <c r="B362" s="527"/>
      <c r="C362" s="527"/>
      <c r="D362" s="527"/>
      <c r="E362" s="527"/>
      <c r="F362" s="527"/>
      <c r="G362" s="527"/>
      <c r="H362" s="38">
        <f>H359+B362+F362-(C362+D362+G362)-E362</f>
        <v>5</v>
      </c>
      <c r="J362" s="11">
        <v>1</v>
      </c>
      <c r="K362" s="268">
        <v>1</v>
      </c>
      <c r="L362" s="268">
        <v>2</v>
      </c>
      <c r="M362" s="268"/>
      <c r="N362" s="268">
        <v>1</v>
      </c>
      <c r="O362" s="268"/>
      <c r="P362" s="268"/>
      <c r="Q362" s="268"/>
      <c r="R362" s="268"/>
      <c r="S362" s="268"/>
      <c r="T362" s="268"/>
      <c r="U362" s="268">
        <v>1</v>
      </c>
      <c r="V362" s="268">
        <v>2</v>
      </c>
      <c r="W362" s="5">
        <f>((W359+K362+S362)-(M362+O362+U362)-Q362)</f>
        <v>5</v>
      </c>
      <c r="X362" s="5">
        <f>((X359+L362+T362)-(N362+P362+V362)-R362)</f>
        <v>-1</v>
      </c>
      <c r="Y362" s="5">
        <f>SUM(W362:X362)</f>
        <v>4</v>
      </c>
    </row>
    <row r="363" spans="1:25" x14ac:dyDescent="0.25">
      <c r="A363" s="26">
        <v>2</v>
      </c>
      <c r="B363" s="268"/>
      <c r="C363" s="268"/>
      <c r="D363" s="268"/>
      <c r="E363" s="268"/>
      <c r="F363" s="268"/>
      <c r="G363" s="268"/>
      <c r="H363" s="2">
        <f>H362+B363+F363-(C363+D363+G363)-E363</f>
        <v>5</v>
      </c>
      <c r="J363" s="11">
        <v>2</v>
      </c>
      <c r="K363" s="268">
        <v>4</v>
      </c>
      <c r="L363" s="268">
        <v>1</v>
      </c>
      <c r="M363" s="268">
        <v>1</v>
      </c>
      <c r="N363" s="268"/>
      <c r="O363" s="268"/>
      <c r="P363" s="268"/>
      <c r="Q363" s="268">
        <v>1</v>
      </c>
      <c r="R363" s="268"/>
      <c r="S363" s="268"/>
      <c r="T363" s="268"/>
      <c r="U363" s="268">
        <v>1</v>
      </c>
      <c r="V363" s="268">
        <v>1</v>
      </c>
      <c r="W363" s="5">
        <f>((W362+K363+S363)-(M363+O363+U363)-Q363)</f>
        <v>6</v>
      </c>
      <c r="X363" s="5">
        <f>((X362+L363+T363)-(N363+P363+V363)-R363)</f>
        <v>-1</v>
      </c>
      <c r="Y363" s="5">
        <f t="shared" ref="Y363:Y392" si="20">SUM(W363:X363)</f>
        <v>5</v>
      </c>
    </row>
    <row r="364" spans="1:25" x14ac:dyDescent="0.25">
      <c r="A364" s="26">
        <v>3</v>
      </c>
      <c r="B364" s="268"/>
      <c r="C364" s="268"/>
      <c r="D364" s="268"/>
      <c r="E364" s="268"/>
      <c r="F364" s="268"/>
      <c r="G364" s="268"/>
      <c r="H364" s="2">
        <f t="shared" ref="H364:H375" si="21">H363+B364+F364-(C364+D364+G364)-E364</f>
        <v>5</v>
      </c>
      <c r="J364" s="11">
        <v>3</v>
      </c>
      <c r="K364" s="268">
        <v>1</v>
      </c>
      <c r="L364" s="268">
        <v>2</v>
      </c>
      <c r="M364" s="268">
        <v>2</v>
      </c>
      <c r="N364" s="268"/>
      <c r="O364" s="268">
        <v>1</v>
      </c>
      <c r="P364" s="268"/>
      <c r="Q364" s="268"/>
      <c r="R364" s="268"/>
      <c r="S364" s="268"/>
      <c r="T364" s="268"/>
      <c r="U364" s="268"/>
      <c r="V364" s="268"/>
      <c r="W364" s="5">
        <f t="shared" ref="W364:W392" si="22">((W363+K364+S364)-(M364+O364+U364)-Q364)</f>
        <v>4</v>
      </c>
      <c r="X364" s="5">
        <f t="shared" ref="X364:X392" si="23">((X363+L364+T364)-(N364+P364+V364)-R364)</f>
        <v>1</v>
      </c>
      <c r="Y364" s="5">
        <f t="shared" si="20"/>
        <v>5</v>
      </c>
    </row>
    <row r="365" spans="1:25" x14ac:dyDescent="0.25">
      <c r="A365" s="26">
        <v>4</v>
      </c>
      <c r="B365" s="268"/>
      <c r="C365" s="268"/>
      <c r="D365" s="268"/>
      <c r="E365" s="268"/>
      <c r="F365" s="268"/>
      <c r="G365" s="268"/>
      <c r="H365" s="2">
        <f t="shared" si="21"/>
        <v>5</v>
      </c>
      <c r="J365" s="11">
        <v>4</v>
      </c>
      <c r="K365" s="268">
        <v>1</v>
      </c>
      <c r="L365" s="268">
        <v>1</v>
      </c>
      <c r="M365" s="268"/>
      <c r="N365" s="268"/>
      <c r="O365" s="268"/>
      <c r="P365" s="268"/>
      <c r="Q365" s="268"/>
      <c r="R365" s="268"/>
      <c r="S365" s="268"/>
      <c r="T365" s="268"/>
      <c r="U365" s="268">
        <v>1</v>
      </c>
      <c r="V365" s="268">
        <v>2</v>
      </c>
      <c r="W365" s="5">
        <f t="shared" si="22"/>
        <v>4</v>
      </c>
      <c r="X365" s="5">
        <f t="shared" si="23"/>
        <v>0</v>
      </c>
      <c r="Y365" s="5">
        <f t="shared" si="20"/>
        <v>4</v>
      </c>
    </row>
    <row r="366" spans="1:25" x14ac:dyDescent="0.25">
      <c r="A366" s="26">
        <v>5</v>
      </c>
      <c r="B366" s="268"/>
      <c r="C366" s="268"/>
      <c r="D366" s="268"/>
      <c r="E366" s="268"/>
      <c r="F366" s="268"/>
      <c r="G366" s="268"/>
      <c r="H366" s="2">
        <f t="shared" si="21"/>
        <v>5</v>
      </c>
      <c r="J366" s="11">
        <v>5</v>
      </c>
      <c r="K366" s="268">
        <v>1</v>
      </c>
      <c r="L366" s="268">
        <v>1</v>
      </c>
      <c r="M366" s="268"/>
      <c r="N366" s="268">
        <v>2</v>
      </c>
      <c r="O366" s="268"/>
      <c r="P366" s="268"/>
      <c r="Q366" s="268"/>
      <c r="R366" s="268"/>
      <c r="S366" s="268"/>
      <c r="T366" s="268"/>
      <c r="U366" s="268"/>
      <c r="V366" s="268"/>
      <c r="W366" s="5">
        <f t="shared" si="22"/>
        <v>5</v>
      </c>
      <c r="X366" s="5">
        <f t="shared" si="23"/>
        <v>-1</v>
      </c>
      <c r="Y366" s="5">
        <f t="shared" si="20"/>
        <v>4</v>
      </c>
    </row>
    <row r="367" spans="1:25" x14ac:dyDescent="0.25">
      <c r="A367" s="26">
        <v>6</v>
      </c>
      <c r="B367" s="268"/>
      <c r="C367" s="268"/>
      <c r="D367" s="268"/>
      <c r="E367" s="268"/>
      <c r="F367" s="268"/>
      <c r="G367" s="268"/>
      <c r="H367" s="2">
        <f t="shared" si="21"/>
        <v>5</v>
      </c>
      <c r="J367" s="11">
        <v>6</v>
      </c>
      <c r="K367" s="268">
        <v>3</v>
      </c>
      <c r="L367" s="268">
        <v>2</v>
      </c>
      <c r="M367" s="268">
        <v>1</v>
      </c>
      <c r="N367" s="268"/>
      <c r="O367" s="268"/>
      <c r="P367" s="268"/>
      <c r="Q367" s="268">
        <v>1</v>
      </c>
      <c r="R367" s="268"/>
      <c r="S367" s="268"/>
      <c r="T367" s="268"/>
      <c r="U367" s="268">
        <v>1</v>
      </c>
      <c r="V367" s="268"/>
      <c r="W367" s="5">
        <f t="shared" si="22"/>
        <v>5</v>
      </c>
      <c r="X367" s="5">
        <f t="shared" si="23"/>
        <v>1</v>
      </c>
      <c r="Y367" s="5">
        <f t="shared" si="20"/>
        <v>6</v>
      </c>
    </row>
    <row r="368" spans="1:25" x14ac:dyDescent="0.25">
      <c r="A368" s="26">
        <v>7</v>
      </c>
      <c r="B368" s="268"/>
      <c r="C368" s="268"/>
      <c r="D368" s="268"/>
      <c r="E368" s="268"/>
      <c r="F368" s="268"/>
      <c r="G368" s="268"/>
      <c r="H368" s="2">
        <f t="shared" si="21"/>
        <v>5</v>
      </c>
      <c r="J368" s="11">
        <v>7</v>
      </c>
      <c r="K368" s="268">
        <v>4</v>
      </c>
      <c r="L368" s="268">
        <v>1</v>
      </c>
      <c r="M368" s="268">
        <v>1</v>
      </c>
      <c r="N368" s="268">
        <v>1</v>
      </c>
      <c r="O368" s="268">
        <v>1</v>
      </c>
      <c r="P368" s="268"/>
      <c r="Q368" s="268"/>
      <c r="R368" s="268"/>
      <c r="S368" s="268"/>
      <c r="T368" s="268"/>
      <c r="U368" s="268">
        <v>3</v>
      </c>
      <c r="V368" s="268"/>
      <c r="W368" s="5">
        <f t="shared" si="22"/>
        <v>4</v>
      </c>
      <c r="X368" s="5">
        <f t="shared" si="23"/>
        <v>1</v>
      </c>
      <c r="Y368" s="5">
        <f t="shared" si="20"/>
        <v>5</v>
      </c>
    </row>
    <row r="369" spans="1:25" x14ac:dyDescent="0.25">
      <c r="A369" s="26">
        <v>8</v>
      </c>
      <c r="B369" s="268"/>
      <c r="C369" s="268"/>
      <c r="D369" s="268"/>
      <c r="E369" s="268"/>
      <c r="F369" s="268"/>
      <c r="G369" s="268"/>
      <c r="H369" s="2">
        <f t="shared" si="21"/>
        <v>5</v>
      </c>
      <c r="J369" s="11">
        <v>8</v>
      </c>
      <c r="K369" s="268">
        <v>3</v>
      </c>
      <c r="L369" s="268">
        <v>1</v>
      </c>
      <c r="M369" s="268">
        <v>1</v>
      </c>
      <c r="N369" s="268">
        <v>1</v>
      </c>
      <c r="O369" s="268"/>
      <c r="P369" s="268"/>
      <c r="Q369" s="268">
        <v>1</v>
      </c>
      <c r="R369" s="268"/>
      <c r="S369" s="268"/>
      <c r="T369" s="268"/>
      <c r="U369" s="268">
        <v>2</v>
      </c>
      <c r="V369" s="268"/>
      <c r="W369" s="5">
        <f t="shared" si="22"/>
        <v>3</v>
      </c>
      <c r="X369" s="5">
        <f t="shared" si="23"/>
        <v>1</v>
      </c>
      <c r="Y369" s="5">
        <f t="shared" si="20"/>
        <v>4</v>
      </c>
    </row>
    <row r="370" spans="1:25" x14ac:dyDescent="0.25">
      <c r="A370" s="26">
        <v>9</v>
      </c>
      <c r="B370" s="268"/>
      <c r="C370" s="268"/>
      <c r="D370" s="268"/>
      <c r="E370" s="268"/>
      <c r="F370" s="268"/>
      <c r="G370" s="268"/>
      <c r="H370" s="2">
        <f t="shared" si="21"/>
        <v>5</v>
      </c>
      <c r="J370" s="11">
        <v>9</v>
      </c>
      <c r="K370" s="268">
        <v>2</v>
      </c>
      <c r="L370" s="268">
        <v>4</v>
      </c>
      <c r="M370" s="268">
        <v>1</v>
      </c>
      <c r="N370" s="268"/>
      <c r="O370" s="268"/>
      <c r="P370" s="268"/>
      <c r="Q370" s="268"/>
      <c r="R370" s="268"/>
      <c r="S370" s="268"/>
      <c r="T370" s="268"/>
      <c r="U370" s="268"/>
      <c r="V370" s="268">
        <v>2</v>
      </c>
      <c r="W370" s="5">
        <f t="shared" si="22"/>
        <v>4</v>
      </c>
      <c r="X370" s="5">
        <f t="shared" si="23"/>
        <v>3</v>
      </c>
      <c r="Y370" s="5">
        <f t="shared" si="20"/>
        <v>7</v>
      </c>
    </row>
    <row r="371" spans="1:25" x14ac:dyDescent="0.25">
      <c r="A371" s="26">
        <v>10</v>
      </c>
      <c r="B371" s="268"/>
      <c r="C371" s="268"/>
      <c r="D371" s="268"/>
      <c r="E371" s="268"/>
      <c r="F371" s="268"/>
      <c r="G371" s="268"/>
      <c r="H371" s="2">
        <f t="shared" si="21"/>
        <v>5</v>
      </c>
      <c r="J371" s="11">
        <v>10</v>
      </c>
      <c r="K371" s="268">
        <v>3</v>
      </c>
      <c r="L371" s="268">
        <v>2</v>
      </c>
      <c r="M371" s="268"/>
      <c r="N371" s="268">
        <v>3</v>
      </c>
      <c r="O371" s="268"/>
      <c r="P371" s="268"/>
      <c r="Q371" s="268">
        <v>1</v>
      </c>
      <c r="R371" s="268"/>
      <c r="S371" s="268"/>
      <c r="T371" s="268"/>
      <c r="U371" s="268">
        <v>3</v>
      </c>
      <c r="V371" s="268"/>
      <c r="W371" s="5">
        <f t="shared" si="22"/>
        <v>3</v>
      </c>
      <c r="X371" s="5">
        <f t="shared" si="23"/>
        <v>2</v>
      </c>
      <c r="Y371" s="5">
        <f t="shared" si="20"/>
        <v>5</v>
      </c>
    </row>
    <row r="372" spans="1:25" x14ac:dyDescent="0.25">
      <c r="A372" s="26">
        <v>11</v>
      </c>
      <c r="B372" s="268"/>
      <c r="C372" s="268"/>
      <c r="D372" s="268"/>
      <c r="E372" s="268"/>
      <c r="F372" s="268"/>
      <c r="G372" s="268"/>
      <c r="H372" s="2">
        <f t="shared" si="21"/>
        <v>5</v>
      </c>
      <c r="J372" s="11">
        <v>11</v>
      </c>
      <c r="K372" s="268">
        <v>1</v>
      </c>
      <c r="L372" s="268"/>
      <c r="M372" s="268">
        <v>1</v>
      </c>
      <c r="N372" s="268">
        <v>1</v>
      </c>
      <c r="O372" s="268"/>
      <c r="P372" s="268"/>
      <c r="Q372" s="268"/>
      <c r="R372" s="268"/>
      <c r="S372" s="268"/>
      <c r="T372" s="268"/>
      <c r="U372" s="268"/>
      <c r="V372" s="268"/>
      <c r="W372" s="5">
        <f t="shared" si="22"/>
        <v>3</v>
      </c>
      <c r="X372" s="5">
        <f t="shared" si="23"/>
        <v>1</v>
      </c>
      <c r="Y372" s="5">
        <f t="shared" si="20"/>
        <v>4</v>
      </c>
    </row>
    <row r="373" spans="1:25" x14ac:dyDescent="0.25">
      <c r="A373" s="26">
        <v>12</v>
      </c>
      <c r="B373" s="268"/>
      <c r="C373" s="268"/>
      <c r="D373" s="268"/>
      <c r="E373" s="268"/>
      <c r="F373" s="268"/>
      <c r="G373" s="268"/>
      <c r="H373" s="2">
        <f t="shared" si="21"/>
        <v>5</v>
      </c>
      <c r="J373" s="11">
        <v>12</v>
      </c>
      <c r="K373" s="268">
        <v>2</v>
      </c>
      <c r="L373" s="268">
        <v>7</v>
      </c>
      <c r="M373" s="268"/>
      <c r="N373" s="268"/>
      <c r="O373" s="268"/>
      <c r="P373" s="268"/>
      <c r="Q373" s="268">
        <v>1</v>
      </c>
      <c r="R373" s="268"/>
      <c r="S373" s="268"/>
      <c r="T373" s="268"/>
      <c r="U373" s="268"/>
      <c r="V373" s="268">
        <v>3</v>
      </c>
      <c r="W373" s="5">
        <f t="shared" si="22"/>
        <v>4</v>
      </c>
      <c r="X373" s="5">
        <f t="shared" si="23"/>
        <v>5</v>
      </c>
      <c r="Y373" s="5">
        <f t="shared" si="20"/>
        <v>9</v>
      </c>
    </row>
    <row r="374" spans="1:25" x14ac:dyDescent="0.25">
      <c r="A374" s="26">
        <v>13</v>
      </c>
      <c r="B374" s="268"/>
      <c r="C374" s="268"/>
      <c r="D374" s="268"/>
      <c r="E374" s="268"/>
      <c r="F374" s="268"/>
      <c r="G374" s="268"/>
      <c r="H374" s="2">
        <f t="shared" si="21"/>
        <v>5</v>
      </c>
      <c r="J374" s="11">
        <v>13</v>
      </c>
      <c r="K374" s="268">
        <v>4</v>
      </c>
      <c r="L374" s="268">
        <v>2</v>
      </c>
      <c r="M374" s="268"/>
      <c r="N374" s="268">
        <v>4</v>
      </c>
      <c r="O374" s="268"/>
      <c r="P374" s="268"/>
      <c r="Q374" s="268"/>
      <c r="R374" s="268"/>
      <c r="S374" s="268"/>
      <c r="T374" s="268"/>
      <c r="U374" s="268">
        <v>2</v>
      </c>
      <c r="V374" s="268">
        <v>2</v>
      </c>
      <c r="W374" s="5">
        <f t="shared" si="22"/>
        <v>6</v>
      </c>
      <c r="X374" s="5">
        <f t="shared" si="23"/>
        <v>1</v>
      </c>
      <c r="Y374" s="5">
        <f t="shared" si="20"/>
        <v>7</v>
      </c>
    </row>
    <row r="375" spans="1:25" x14ac:dyDescent="0.25">
      <c r="A375" s="26">
        <v>14</v>
      </c>
      <c r="B375" s="268"/>
      <c r="C375" s="268"/>
      <c r="D375" s="268"/>
      <c r="E375" s="268"/>
      <c r="F375" s="268"/>
      <c r="G375" s="268"/>
      <c r="H375" s="2">
        <f t="shared" si="21"/>
        <v>5</v>
      </c>
      <c r="J375" s="11">
        <v>14</v>
      </c>
      <c r="K375" s="268">
        <v>3</v>
      </c>
      <c r="L375" s="268">
        <v>2</v>
      </c>
      <c r="M375" s="268">
        <v>1</v>
      </c>
      <c r="N375" s="268"/>
      <c r="O375" s="268"/>
      <c r="P375" s="268"/>
      <c r="Q375" s="268"/>
      <c r="R375" s="268"/>
      <c r="S375" s="268"/>
      <c r="T375" s="268"/>
      <c r="U375" s="268">
        <v>3</v>
      </c>
      <c r="V375" s="268"/>
      <c r="W375" s="5">
        <f t="shared" si="22"/>
        <v>5</v>
      </c>
      <c r="X375" s="5">
        <f t="shared" si="23"/>
        <v>3</v>
      </c>
      <c r="Y375" s="5">
        <f t="shared" si="20"/>
        <v>8</v>
      </c>
    </row>
    <row r="376" spans="1:25" x14ac:dyDescent="0.25">
      <c r="A376" s="26">
        <v>15</v>
      </c>
      <c r="B376" s="268"/>
      <c r="C376" s="268"/>
      <c r="D376" s="268"/>
      <c r="E376" s="268"/>
      <c r="F376" s="268"/>
      <c r="G376" s="268"/>
      <c r="H376" s="2">
        <f>H375+B376+F376-(C376+D376+G376)-E376</f>
        <v>5</v>
      </c>
      <c r="J376" s="11">
        <v>15</v>
      </c>
      <c r="K376" s="268">
        <v>3</v>
      </c>
      <c r="L376" s="268">
        <v>1</v>
      </c>
      <c r="M376" s="268">
        <v>1</v>
      </c>
      <c r="N376" s="268">
        <v>2</v>
      </c>
      <c r="O376" s="268"/>
      <c r="P376" s="268"/>
      <c r="Q376" s="268"/>
      <c r="R376" s="268"/>
      <c r="S376" s="268"/>
      <c r="T376" s="268"/>
      <c r="U376" s="268">
        <v>1</v>
      </c>
      <c r="V376" s="268">
        <v>1</v>
      </c>
      <c r="W376" s="5">
        <f t="shared" si="22"/>
        <v>6</v>
      </c>
      <c r="X376" s="5">
        <f t="shared" si="23"/>
        <v>1</v>
      </c>
      <c r="Y376" s="5">
        <f t="shared" si="20"/>
        <v>7</v>
      </c>
    </row>
    <row r="377" spans="1:25" x14ac:dyDescent="0.25">
      <c r="A377" s="26">
        <v>16</v>
      </c>
      <c r="B377" s="268"/>
      <c r="C377" s="268"/>
      <c r="D377" s="268"/>
      <c r="E377" s="268"/>
      <c r="F377" s="268"/>
      <c r="G377" s="268"/>
      <c r="H377" s="2">
        <f>H376+B377+F377-(C377+D377+G377)-E377</f>
        <v>5</v>
      </c>
      <c r="J377" s="11">
        <v>16</v>
      </c>
      <c r="K377" s="268">
        <v>1</v>
      </c>
      <c r="L377" s="268">
        <v>3</v>
      </c>
      <c r="M377" s="268">
        <v>1</v>
      </c>
      <c r="N377" s="268"/>
      <c r="O377" s="268"/>
      <c r="P377" s="268"/>
      <c r="Q377" s="268"/>
      <c r="R377" s="268">
        <v>1</v>
      </c>
      <c r="S377" s="268"/>
      <c r="T377" s="268"/>
      <c r="U377" s="268">
        <v>4</v>
      </c>
      <c r="V377" s="268">
        <v>1</v>
      </c>
      <c r="W377" s="5">
        <f t="shared" si="22"/>
        <v>2</v>
      </c>
      <c r="X377" s="5">
        <f t="shared" si="23"/>
        <v>2</v>
      </c>
      <c r="Y377" s="5">
        <f t="shared" si="20"/>
        <v>4</v>
      </c>
    </row>
    <row r="378" spans="1:25" x14ac:dyDescent="0.25">
      <c r="A378" s="26">
        <v>17</v>
      </c>
      <c r="B378" s="268"/>
      <c r="C378" s="268"/>
      <c r="D378" s="268"/>
      <c r="E378" s="268"/>
      <c r="F378" s="268"/>
      <c r="G378" s="268"/>
      <c r="H378" s="2">
        <f t="shared" ref="H378:H391" si="24">H377+B378+F378-(C378+D378+G378)-E378</f>
        <v>5</v>
      </c>
      <c r="J378" s="11">
        <v>17</v>
      </c>
      <c r="K378" s="268"/>
      <c r="L378" s="268">
        <v>3</v>
      </c>
      <c r="M378" s="268">
        <v>1</v>
      </c>
      <c r="N378" s="268">
        <v>2</v>
      </c>
      <c r="O378" s="268"/>
      <c r="P378" s="268"/>
      <c r="Q378" s="268"/>
      <c r="R378" s="268">
        <v>1</v>
      </c>
      <c r="S378" s="268"/>
      <c r="T378" s="268"/>
      <c r="U378" s="268"/>
      <c r="V378" s="268"/>
      <c r="W378" s="5">
        <f t="shared" si="22"/>
        <v>1</v>
      </c>
      <c r="X378" s="5">
        <f t="shared" si="23"/>
        <v>2</v>
      </c>
      <c r="Y378" s="5">
        <f t="shared" si="20"/>
        <v>3</v>
      </c>
    </row>
    <row r="379" spans="1:25" x14ac:dyDescent="0.25">
      <c r="A379" s="26">
        <v>18</v>
      </c>
      <c r="B379" s="268"/>
      <c r="C379" s="268"/>
      <c r="D379" s="268"/>
      <c r="E379" s="268"/>
      <c r="F379" s="268"/>
      <c r="G379" s="268"/>
      <c r="H379" s="2">
        <f t="shared" si="24"/>
        <v>5</v>
      </c>
      <c r="J379" s="11">
        <v>18</v>
      </c>
      <c r="K379" s="268">
        <v>2</v>
      </c>
      <c r="L379" s="268">
        <v>1</v>
      </c>
      <c r="M379" s="268"/>
      <c r="N379" s="268"/>
      <c r="O379" s="268"/>
      <c r="P379" s="268"/>
      <c r="Q379" s="268"/>
      <c r="R379" s="268"/>
      <c r="S379" s="268"/>
      <c r="T379" s="268"/>
      <c r="U379" s="268">
        <v>1</v>
      </c>
      <c r="V379" s="268"/>
      <c r="W379" s="5">
        <f t="shared" si="22"/>
        <v>2</v>
      </c>
      <c r="X379" s="5">
        <f t="shared" si="23"/>
        <v>3</v>
      </c>
      <c r="Y379" s="5">
        <f t="shared" si="20"/>
        <v>5</v>
      </c>
    </row>
    <row r="380" spans="1:25" x14ac:dyDescent="0.25">
      <c r="A380" s="26">
        <v>19</v>
      </c>
      <c r="B380" s="268"/>
      <c r="C380" s="268"/>
      <c r="D380" s="268"/>
      <c r="E380" s="268"/>
      <c r="F380" s="268"/>
      <c r="G380" s="268"/>
      <c r="H380" s="2">
        <f t="shared" si="24"/>
        <v>5</v>
      </c>
      <c r="J380" s="11">
        <v>19</v>
      </c>
      <c r="K380" s="268">
        <v>2</v>
      </c>
      <c r="L380" s="268"/>
      <c r="M380" s="268">
        <v>1</v>
      </c>
      <c r="N380" s="268">
        <v>1</v>
      </c>
      <c r="O380" s="268"/>
      <c r="P380" s="268"/>
      <c r="Q380" s="268"/>
      <c r="R380" s="268"/>
      <c r="S380" s="268"/>
      <c r="T380" s="268"/>
      <c r="U380" s="268"/>
      <c r="V380" s="268"/>
      <c r="W380" s="5">
        <f t="shared" si="22"/>
        <v>3</v>
      </c>
      <c r="X380" s="5">
        <f t="shared" si="23"/>
        <v>2</v>
      </c>
      <c r="Y380" s="5">
        <f t="shared" si="20"/>
        <v>5</v>
      </c>
    </row>
    <row r="381" spans="1:25" x14ac:dyDescent="0.25">
      <c r="A381" s="26">
        <v>20</v>
      </c>
      <c r="B381" s="268"/>
      <c r="C381" s="268"/>
      <c r="D381" s="268"/>
      <c r="E381" s="268"/>
      <c r="F381" s="268"/>
      <c r="G381" s="268"/>
      <c r="H381" s="2">
        <f t="shared" si="24"/>
        <v>5</v>
      </c>
      <c r="J381" s="11">
        <v>20</v>
      </c>
      <c r="K381" s="268">
        <v>3</v>
      </c>
      <c r="L381" s="268">
        <v>1</v>
      </c>
      <c r="M381" s="268">
        <v>1</v>
      </c>
      <c r="N381" s="268">
        <v>1</v>
      </c>
      <c r="O381" s="268">
        <v>1</v>
      </c>
      <c r="P381" s="268"/>
      <c r="Q381" s="268"/>
      <c r="R381" s="268"/>
      <c r="S381" s="268"/>
      <c r="T381" s="268"/>
      <c r="U381" s="268"/>
      <c r="V381" s="268">
        <v>1</v>
      </c>
      <c r="W381" s="5">
        <f t="shared" si="22"/>
        <v>4</v>
      </c>
      <c r="X381" s="5">
        <f t="shared" si="23"/>
        <v>1</v>
      </c>
      <c r="Y381" s="5">
        <f t="shared" si="20"/>
        <v>5</v>
      </c>
    </row>
    <row r="382" spans="1:25" x14ac:dyDescent="0.25">
      <c r="A382" s="26">
        <v>21</v>
      </c>
      <c r="B382" s="268"/>
      <c r="C382" s="268"/>
      <c r="D382" s="268"/>
      <c r="E382" s="268"/>
      <c r="F382" s="268"/>
      <c r="G382" s="268"/>
      <c r="H382" s="2">
        <f t="shared" si="24"/>
        <v>5</v>
      </c>
      <c r="J382" s="11">
        <v>21</v>
      </c>
      <c r="K382" s="268">
        <v>1</v>
      </c>
      <c r="L382" s="268">
        <v>1</v>
      </c>
      <c r="M382" s="268">
        <v>1</v>
      </c>
      <c r="N382" s="268"/>
      <c r="O382" s="268"/>
      <c r="P382" s="268"/>
      <c r="Q382" s="268"/>
      <c r="R382" s="268">
        <v>1</v>
      </c>
      <c r="S382" s="268"/>
      <c r="T382" s="268"/>
      <c r="U382" s="268">
        <v>1</v>
      </c>
      <c r="V382" s="268">
        <v>1</v>
      </c>
      <c r="W382" s="5">
        <f t="shared" si="22"/>
        <v>3</v>
      </c>
      <c r="X382" s="5">
        <f t="shared" si="23"/>
        <v>0</v>
      </c>
      <c r="Y382" s="5">
        <f t="shared" si="20"/>
        <v>3</v>
      </c>
    </row>
    <row r="383" spans="1:25" x14ac:dyDescent="0.25">
      <c r="A383" s="26">
        <v>22</v>
      </c>
      <c r="B383" s="268"/>
      <c r="C383" s="268"/>
      <c r="D383" s="268"/>
      <c r="E383" s="268"/>
      <c r="F383" s="268"/>
      <c r="G383" s="268"/>
      <c r="H383" s="2">
        <f t="shared" si="24"/>
        <v>5</v>
      </c>
      <c r="J383" s="11">
        <v>22</v>
      </c>
      <c r="K383" s="268">
        <v>3</v>
      </c>
      <c r="L383" s="268"/>
      <c r="M383" s="268">
        <v>2</v>
      </c>
      <c r="N383" s="268"/>
      <c r="O383" s="268"/>
      <c r="P383" s="268"/>
      <c r="Q383" s="268"/>
      <c r="R383" s="268"/>
      <c r="S383" s="268"/>
      <c r="T383" s="268"/>
      <c r="U383" s="268">
        <v>1</v>
      </c>
      <c r="V383" s="268"/>
      <c r="W383" s="5">
        <f t="shared" si="22"/>
        <v>3</v>
      </c>
      <c r="X383" s="5">
        <f t="shared" si="23"/>
        <v>0</v>
      </c>
      <c r="Y383" s="5">
        <f t="shared" si="20"/>
        <v>3</v>
      </c>
    </row>
    <row r="384" spans="1:25" x14ac:dyDescent="0.25">
      <c r="A384" s="26">
        <v>23</v>
      </c>
      <c r="B384" s="268"/>
      <c r="C384" s="268"/>
      <c r="D384" s="268"/>
      <c r="E384" s="268"/>
      <c r="F384" s="268"/>
      <c r="G384" s="268"/>
      <c r="H384" s="2">
        <f t="shared" si="24"/>
        <v>5</v>
      </c>
      <c r="J384" s="11">
        <v>23</v>
      </c>
      <c r="K384" s="268">
        <v>1</v>
      </c>
      <c r="L384" s="268">
        <v>2</v>
      </c>
      <c r="M384" s="268">
        <v>1</v>
      </c>
      <c r="N384" s="268">
        <v>2</v>
      </c>
      <c r="O384" s="268"/>
      <c r="P384" s="268"/>
      <c r="Q384" s="268"/>
      <c r="R384" s="268"/>
      <c r="S384" s="268"/>
      <c r="T384" s="268"/>
      <c r="U384" s="268"/>
      <c r="V384" s="268"/>
      <c r="W384" s="5">
        <f t="shared" si="22"/>
        <v>3</v>
      </c>
      <c r="X384" s="5">
        <f t="shared" si="23"/>
        <v>0</v>
      </c>
      <c r="Y384" s="5">
        <f t="shared" si="20"/>
        <v>3</v>
      </c>
    </row>
    <row r="385" spans="1:25" x14ac:dyDescent="0.25">
      <c r="A385" s="26">
        <v>24</v>
      </c>
      <c r="B385" s="268"/>
      <c r="C385" s="268"/>
      <c r="D385" s="268"/>
      <c r="E385" s="268"/>
      <c r="F385" s="268"/>
      <c r="G385" s="268"/>
      <c r="H385" s="2">
        <f t="shared" si="24"/>
        <v>5</v>
      </c>
      <c r="J385" s="11">
        <v>24</v>
      </c>
      <c r="K385" s="268"/>
      <c r="L385" s="268">
        <v>2</v>
      </c>
      <c r="M385" s="268"/>
      <c r="N385" s="268"/>
      <c r="O385" s="268"/>
      <c r="P385" s="268"/>
      <c r="Q385" s="268"/>
      <c r="R385" s="268"/>
      <c r="S385" s="268"/>
      <c r="T385" s="268"/>
      <c r="U385" s="268">
        <v>2</v>
      </c>
      <c r="V385" s="268">
        <v>1</v>
      </c>
      <c r="W385" s="5">
        <f t="shared" si="22"/>
        <v>1</v>
      </c>
      <c r="X385" s="5">
        <f t="shared" si="23"/>
        <v>1</v>
      </c>
      <c r="Y385" s="5">
        <f t="shared" si="20"/>
        <v>2</v>
      </c>
    </row>
    <row r="386" spans="1:25" x14ac:dyDescent="0.25">
      <c r="A386" s="26">
        <v>25</v>
      </c>
      <c r="B386" s="268"/>
      <c r="C386" s="268"/>
      <c r="D386" s="268"/>
      <c r="E386" s="268"/>
      <c r="F386" s="268"/>
      <c r="G386" s="268"/>
      <c r="H386" s="2">
        <f t="shared" si="24"/>
        <v>5</v>
      </c>
      <c r="J386" s="11">
        <v>25</v>
      </c>
      <c r="K386" s="268">
        <v>4</v>
      </c>
      <c r="L386" s="268">
        <v>4</v>
      </c>
      <c r="M386" s="268">
        <v>1</v>
      </c>
      <c r="N386" s="268">
        <v>2</v>
      </c>
      <c r="O386" s="268"/>
      <c r="P386" s="268"/>
      <c r="Q386" s="268"/>
      <c r="R386" s="268"/>
      <c r="S386" s="268"/>
      <c r="T386" s="268"/>
      <c r="U386" s="268"/>
      <c r="V386" s="268"/>
      <c r="W386" s="5">
        <f t="shared" si="22"/>
        <v>4</v>
      </c>
      <c r="X386" s="5">
        <f t="shared" si="23"/>
        <v>3</v>
      </c>
      <c r="Y386" s="5">
        <f t="shared" si="20"/>
        <v>7</v>
      </c>
    </row>
    <row r="387" spans="1:25" x14ac:dyDescent="0.25">
      <c r="A387" s="26">
        <v>26</v>
      </c>
      <c r="B387" s="268"/>
      <c r="C387" s="268"/>
      <c r="D387" s="268"/>
      <c r="E387" s="268"/>
      <c r="F387" s="268"/>
      <c r="G387" s="268"/>
      <c r="H387" s="2">
        <f t="shared" si="24"/>
        <v>5</v>
      </c>
      <c r="J387" s="11">
        <v>26</v>
      </c>
      <c r="K387" s="268">
        <v>2</v>
      </c>
      <c r="L387" s="268">
        <v>2</v>
      </c>
      <c r="M387" s="268"/>
      <c r="N387" s="268"/>
      <c r="O387" s="268"/>
      <c r="P387" s="268"/>
      <c r="Q387" s="268"/>
      <c r="R387" s="268"/>
      <c r="S387" s="268"/>
      <c r="T387" s="268"/>
      <c r="U387" s="268">
        <v>3</v>
      </c>
      <c r="V387" s="268">
        <v>3</v>
      </c>
      <c r="W387" s="5">
        <f t="shared" si="22"/>
        <v>3</v>
      </c>
      <c r="X387" s="5">
        <f t="shared" si="23"/>
        <v>2</v>
      </c>
      <c r="Y387" s="5">
        <f t="shared" si="20"/>
        <v>5</v>
      </c>
    </row>
    <row r="388" spans="1:25" x14ac:dyDescent="0.25">
      <c r="A388" s="26">
        <v>27</v>
      </c>
      <c r="B388" s="268"/>
      <c r="C388" s="268"/>
      <c r="D388" s="268"/>
      <c r="E388" s="268"/>
      <c r="F388" s="268"/>
      <c r="G388" s="268"/>
      <c r="H388" s="2">
        <f t="shared" si="24"/>
        <v>5</v>
      </c>
      <c r="J388" s="11">
        <v>27</v>
      </c>
      <c r="K388" s="268"/>
      <c r="L388" s="268">
        <v>3</v>
      </c>
      <c r="M388" s="268">
        <v>2</v>
      </c>
      <c r="N388" s="268"/>
      <c r="O388" s="268"/>
      <c r="P388" s="268"/>
      <c r="Q388" s="268"/>
      <c r="R388" s="268"/>
      <c r="S388" s="268"/>
      <c r="T388" s="268"/>
      <c r="U388" s="268">
        <v>1</v>
      </c>
      <c r="V388" s="268">
        <v>3</v>
      </c>
      <c r="W388" s="5">
        <f t="shared" si="22"/>
        <v>0</v>
      </c>
      <c r="X388" s="5">
        <f t="shared" si="23"/>
        <v>2</v>
      </c>
      <c r="Y388" s="5">
        <f t="shared" si="20"/>
        <v>2</v>
      </c>
    </row>
    <row r="389" spans="1:25" x14ac:dyDescent="0.25">
      <c r="A389" s="26">
        <v>28</v>
      </c>
      <c r="B389" s="268"/>
      <c r="C389" s="268"/>
      <c r="D389" s="268"/>
      <c r="E389" s="268"/>
      <c r="F389" s="268"/>
      <c r="G389" s="268"/>
      <c r="H389" s="2">
        <f t="shared" si="24"/>
        <v>5</v>
      </c>
      <c r="J389" s="11">
        <v>28</v>
      </c>
      <c r="K389" s="268">
        <v>1</v>
      </c>
      <c r="L389" s="268">
        <v>3</v>
      </c>
      <c r="M389" s="268"/>
      <c r="N389" s="268">
        <v>2</v>
      </c>
      <c r="O389" s="268"/>
      <c r="P389" s="268"/>
      <c r="Q389" s="268"/>
      <c r="R389" s="268"/>
      <c r="S389" s="268"/>
      <c r="T389" s="268"/>
      <c r="U389" s="268"/>
      <c r="V389" s="268"/>
      <c r="W389" s="5">
        <f t="shared" si="22"/>
        <v>1</v>
      </c>
      <c r="X389" s="5">
        <f t="shared" si="23"/>
        <v>3</v>
      </c>
      <c r="Y389" s="5">
        <f t="shared" si="20"/>
        <v>4</v>
      </c>
    </row>
    <row r="390" spans="1:25" x14ac:dyDescent="0.25">
      <c r="A390" s="26">
        <v>29</v>
      </c>
      <c r="B390" s="268"/>
      <c r="C390" s="268"/>
      <c r="D390" s="268"/>
      <c r="E390" s="268"/>
      <c r="F390" s="268"/>
      <c r="G390" s="268"/>
      <c r="H390" s="2">
        <f t="shared" si="24"/>
        <v>5</v>
      </c>
      <c r="J390" s="11">
        <v>29</v>
      </c>
      <c r="K390" s="268">
        <v>2</v>
      </c>
      <c r="L390" s="268">
        <v>2</v>
      </c>
      <c r="M390" s="268">
        <v>2</v>
      </c>
      <c r="N390" s="268">
        <v>1</v>
      </c>
      <c r="O390" s="268"/>
      <c r="P390" s="268"/>
      <c r="Q390" s="268"/>
      <c r="R390" s="268"/>
      <c r="S390" s="268"/>
      <c r="T390" s="268"/>
      <c r="U390" s="268">
        <v>1</v>
      </c>
      <c r="V390" s="268">
        <v>1</v>
      </c>
      <c r="W390" s="5">
        <f t="shared" si="22"/>
        <v>0</v>
      </c>
      <c r="X390" s="5">
        <f t="shared" si="23"/>
        <v>3</v>
      </c>
      <c r="Y390" s="5">
        <f t="shared" si="20"/>
        <v>3</v>
      </c>
    </row>
    <row r="391" spans="1:25" x14ac:dyDescent="0.25">
      <c r="A391" s="26">
        <v>30</v>
      </c>
      <c r="B391" s="268"/>
      <c r="C391" s="268"/>
      <c r="D391" s="268"/>
      <c r="E391" s="268"/>
      <c r="F391" s="268"/>
      <c r="G391" s="268"/>
      <c r="H391" s="2">
        <f t="shared" si="24"/>
        <v>5</v>
      </c>
      <c r="J391" s="11">
        <v>30</v>
      </c>
      <c r="K391" s="268">
        <v>5</v>
      </c>
      <c r="L391" s="268">
        <v>1</v>
      </c>
      <c r="M391" s="268"/>
      <c r="N391" s="268">
        <v>2</v>
      </c>
      <c r="O391" s="268"/>
      <c r="P391" s="268"/>
      <c r="Q391" s="268"/>
      <c r="R391" s="268"/>
      <c r="S391" s="268"/>
      <c r="T391" s="268"/>
      <c r="U391" s="268">
        <v>1</v>
      </c>
      <c r="V391" s="268"/>
      <c r="W391" s="5">
        <f t="shared" si="22"/>
        <v>4</v>
      </c>
      <c r="X391" s="5">
        <f t="shared" si="23"/>
        <v>2</v>
      </c>
      <c r="Y391" s="5">
        <f t="shared" si="20"/>
        <v>6</v>
      </c>
    </row>
    <row r="392" spans="1:25" ht="15.75" thickBot="1" x14ac:dyDescent="0.3">
      <c r="A392" s="64">
        <v>31</v>
      </c>
      <c r="B392" s="528"/>
      <c r="C392" s="528"/>
      <c r="D392" s="528"/>
      <c r="E392" s="528"/>
      <c r="F392" s="528"/>
      <c r="G392" s="528"/>
      <c r="H392" s="2">
        <f>H391+B392+F392-(C392+D392+G392)+E392</f>
        <v>5</v>
      </c>
      <c r="J392" s="11">
        <v>31</v>
      </c>
      <c r="K392" s="268">
        <v>4</v>
      </c>
      <c r="L392" s="268">
        <v>1</v>
      </c>
      <c r="M392" s="268">
        <v>2</v>
      </c>
      <c r="N392" s="268">
        <v>1</v>
      </c>
      <c r="O392" s="268"/>
      <c r="P392" s="268"/>
      <c r="Q392" s="268">
        <v>1</v>
      </c>
      <c r="R392" s="268"/>
      <c r="S392" s="268"/>
      <c r="T392" s="268"/>
      <c r="U392" s="268">
        <v>1</v>
      </c>
      <c r="V392" s="268"/>
      <c r="W392" s="5">
        <f t="shared" si="22"/>
        <v>4</v>
      </c>
      <c r="X392" s="5">
        <f t="shared" si="23"/>
        <v>2</v>
      </c>
      <c r="Y392" s="5">
        <f t="shared" si="20"/>
        <v>6</v>
      </c>
    </row>
    <row r="393" spans="1:25" ht="15.75" thickBot="1" x14ac:dyDescent="0.3">
      <c r="A393" s="60" t="s">
        <v>35</v>
      </c>
      <c r="B393" s="58">
        <f>SUM(B362:B392)-E393</f>
        <v>0</v>
      </c>
      <c r="C393" s="58">
        <f t="shared" ref="C393:H393" si="25">SUM(C362:C392)</f>
        <v>0</v>
      </c>
      <c r="D393" s="58">
        <f t="shared" si="25"/>
        <v>0</v>
      </c>
      <c r="E393" s="58">
        <f t="shared" si="25"/>
        <v>0</v>
      </c>
      <c r="F393" s="58">
        <f t="shared" si="25"/>
        <v>0</v>
      </c>
      <c r="G393" s="58">
        <f t="shared" si="25"/>
        <v>0</v>
      </c>
      <c r="H393" s="59">
        <f t="shared" si="25"/>
        <v>155</v>
      </c>
      <c r="J393" s="530" t="s">
        <v>35</v>
      </c>
      <c r="K393" s="5">
        <f>SUM(K362:K392)-Q393</f>
        <v>61</v>
      </c>
      <c r="L393" s="5">
        <f>SUM(L362:L392)-R393</f>
        <v>55</v>
      </c>
      <c r="M393" s="5">
        <f t="shared" ref="M393:V393" si="26">SUM(M362:M392)</f>
        <v>25</v>
      </c>
      <c r="N393" s="5">
        <f t="shared" si="26"/>
        <v>29</v>
      </c>
      <c r="O393" s="5">
        <f t="shared" si="26"/>
        <v>3</v>
      </c>
      <c r="P393" s="5">
        <f t="shared" si="26"/>
        <v>0</v>
      </c>
      <c r="Q393" s="5">
        <f t="shared" si="26"/>
        <v>6</v>
      </c>
      <c r="R393" s="5">
        <f t="shared" si="26"/>
        <v>3</v>
      </c>
      <c r="S393" s="5">
        <f t="shared" si="26"/>
        <v>0</v>
      </c>
      <c r="T393" s="5">
        <f t="shared" si="26"/>
        <v>0</v>
      </c>
      <c r="U393" s="5">
        <f t="shared" si="26"/>
        <v>34</v>
      </c>
      <c r="V393" s="5">
        <f t="shared" si="26"/>
        <v>24</v>
      </c>
      <c r="W393" s="5">
        <f t="shared" ref="W393" si="27">SUM(W362:W392)</f>
        <v>105</v>
      </c>
      <c r="X393" s="5">
        <f t="shared" ref="X393" si="28">SUM(X362:X392)</f>
        <v>45</v>
      </c>
      <c r="Y393" s="5">
        <f t="shared" ref="Y393" si="29">SUM(Y362:Y392)</f>
        <v>150</v>
      </c>
    </row>
    <row r="396" spans="1:25" ht="36" x14ac:dyDescent="0.55000000000000004">
      <c r="A396" s="605" t="s">
        <v>1</v>
      </c>
      <c r="B396" s="605"/>
      <c r="C396" s="605"/>
      <c r="D396" s="605"/>
      <c r="E396" s="605"/>
      <c r="F396" s="605"/>
      <c r="G396" s="605"/>
      <c r="H396" s="605"/>
      <c r="J396" s="605" t="s">
        <v>1</v>
      </c>
      <c r="K396" s="605"/>
      <c r="L396" s="605"/>
      <c r="M396" s="605"/>
      <c r="N396" s="605"/>
      <c r="O396" s="605"/>
      <c r="P396" s="605"/>
      <c r="Q396" s="605"/>
      <c r="R396" s="605"/>
      <c r="S396" s="605"/>
      <c r="T396" s="605"/>
      <c r="U396" s="605"/>
      <c r="V396" s="605"/>
      <c r="W396" s="605"/>
      <c r="X396" s="605"/>
      <c r="Y396" s="605"/>
    </row>
    <row r="397" spans="1:25" ht="27" customHeight="1" thickBot="1" x14ac:dyDescent="0.45">
      <c r="A397" s="606" t="s">
        <v>0</v>
      </c>
      <c r="B397" s="606"/>
      <c r="C397" s="606"/>
      <c r="D397" s="606"/>
      <c r="E397" s="606"/>
      <c r="F397" s="606"/>
      <c r="G397" s="606"/>
      <c r="H397" s="606"/>
      <c r="J397" s="614" t="s">
        <v>0</v>
      </c>
      <c r="K397" s="614"/>
      <c r="L397" s="614"/>
      <c r="M397" s="614"/>
      <c r="N397" s="614"/>
      <c r="O397" s="614"/>
      <c r="P397" s="614"/>
      <c r="Q397" s="614"/>
      <c r="R397" s="614"/>
      <c r="S397" s="614"/>
      <c r="T397" s="614"/>
      <c r="U397" s="614"/>
      <c r="V397" s="614"/>
      <c r="W397" s="614"/>
      <c r="X397" s="614"/>
      <c r="Y397" s="614"/>
    </row>
    <row r="398" spans="1:25" ht="15.75" customHeight="1" x14ac:dyDescent="0.25">
      <c r="A398" s="39" t="s">
        <v>2</v>
      </c>
      <c r="B398" s="19" t="s">
        <v>3</v>
      </c>
      <c r="C398" s="20"/>
      <c r="D398" s="21" t="s">
        <v>52</v>
      </c>
      <c r="E398" s="623" t="s">
        <v>53</v>
      </c>
      <c r="F398" s="624"/>
      <c r="G398" s="19" t="s">
        <v>16</v>
      </c>
      <c r="H398" s="32" t="s">
        <v>66</v>
      </c>
      <c r="J398" s="1" t="s">
        <v>2</v>
      </c>
      <c r="K398" s="4" t="s">
        <v>3</v>
      </c>
      <c r="L398" s="4"/>
      <c r="M398" s="5"/>
      <c r="N398" s="5"/>
      <c r="O398" s="1" t="s">
        <v>52</v>
      </c>
      <c r="P398" s="1"/>
      <c r="Q398" s="627" t="s">
        <v>53</v>
      </c>
      <c r="R398" s="627"/>
      <c r="S398" s="627"/>
      <c r="T398" s="531"/>
      <c r="U398" s="4" t="s">
        <v>16</v>
      </c>
      <c r="V398" s="4"/>
      <c r="W398" s="628" t="s">
        <v>1333</v>
      </c>
      <c r="X398" s="629"/>
      <c r="Y398" s="5"/>
    </row>
    <row r="399" spans="1:25" ht="15.75" customHeight="1" x14ac:dyDescent="0.25">
      <c r="A399" s="609" t="s">
        <v>6</v>
      </c>
      <c r="B399" s="610"/>
      <c r="C399" s="610"/>
      <c r="D399" s="610"/>
      <c r="E399" s="610"/>
      <c r="F399" s="611"/>
      <c r="G399" s="1"/>
      <c r="H399" s="2">
        <f>H392</f>
        <v>5</v>
      </c>
      <c r="J399" s="620" t="s">
        <v>6</v>
      </c>
      <c r="K399" s="620"/>
      <c r="L399" s="620"/>
      <c r="M399" s="620"/>
      <c r="N399" s="620"/>
      <c r="O399" s="620"/>
      <c r="P399" s="620"/>
      <c r="Q399" s="620"/>
      <c r="R399" s="620"/>
      <c r="S399" s="620"/>
      <c r="T399" s="526"/>
      <c r="U399" s="1"/>
      <c r="V399" s="1"/>
      <c r="W399" s="532">
        <v>5</v>
      </c>
      <c r="X399" s="532">
        <v>1</v>
      </c>
      <c r="Y399" s="532">
        <v>6</v>
      </c>
    </row>
    <row r="400" spans="1:25" ht="15.75" customHeight="1" x14ac:dyDescent="0.25">
      <c r="A400" s="3" t="s">
        <v>7</v>
      </c>
      <c r="B400" s="1"/>
      <c r="C400" s="1"/>
      <c r="D400" s="1"/>
      <c r="E400" s="1"/>
      <c r="F400" s="1"/>
      <c r="G400" s="1"/>
      <c r="H400" s="2">
        <v>10</v>
      </c>
      <c r="J400" s="1" t="s">
        <v>7</v>
      </c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532">
        <v>10</v>
      </c>
      <c r="X400" s="532">
        <v>10</v>
      </c>
      <c r="Y400" s="532">
        <v>20</v>
      </c>
    </row>
    <row r="401" spans="1:25" ht="51.75" customHeight="1" thickBot="1" x14ac:dyDescent="0.3">
      <c r="A401" s="40" t="s">
        <v>8</v>
      </c>
      <c r="B401" s="41" t="s">
        <v>9</v>
      </c>
      <c r="C401" s="41" t="s">
        <v>10</v>
      </c>
      <c r="D401" s="41" t="s">
        <v>11</v>
      </c>
      <c r="E401" s="41" t="s">
        <v>12</v>
      </c>
      <c r="F401" s="41" t="s">
        <v>13</v>
      </c>
      <c r="G401" s="41" t="s">
        <v>14</v>
      </c>
      <c r="H401" s="42" t="s">
        <v>15</v>
      </c>
      <c r="J401" s="9" t="s">
        <v>8</v>
      </c>
      <c r="K401" s="630" t="s">
        <v>1279</v>
      </c>
      <c r="L401" s="630"/>
      <c r="M401" s="630" t="s">
        <v>1280</v>
      </c>
      <c r="N401" s="630"/>
      <c r="O401" s="630" t="s">
        <v>1281</v>
      </c>
      <c r="P401" s="630"/>
      <c r="Q401" s="630" t="s">
        <v>1282</v>
      </c>
      <c r="R401" s="630"/>
      <c r="S401" s="630" t="s">
        <v>1283</v>
      </c>
      <c r="T401" s="630"/>
      <c r="U401" s="630" t="s">
        <v>1284</v>
      </c>
      <c r="V401" s="630"/>
      <c r="W401" s="631" t="s">
        <v>1285</v>
      </c>
      <c r="X401" s="632"/>
      <c r="Y401" s="5" t="s">
        <v>35</v>
      </c>
    </row>
    <row r="402" spans="1:25" ht="15.75" customHeight="1" x14ac:dyDescent="0.25">
      <c r="A402" s="36">
        <v>1</v>
      </c>
      <c r="B402" s="268"/>
      <c r="C402" s="268"/>
      <c r="D402" s="268"/>
      <c r="E402" s="268"/>
      <c r="F402" s="268"/>
      <c r="G402" s="268"/>
      <c r="H402" s="38"/>
      <c r="J402" s="11">
        <v>1</v>
      </c>
      <c r="K402" s="268">
        <v>3</v>
      </c>
      <c r="L402" s="268">
        <v>2</v>
      </c>
      <c r="M402" s="268">
        <v>2</v>
      </c>
      <c r="N402" s="268"/>
      <c r="O402" s="268"/>
      <c r="P402" s="268"/>
      <c r="Q402" s="268"/>
      <c r="R402" s="268"/>
      <c r="S402" s="268"/>
      <c r="T402" s="268"/>
      <c r="U402" s="268"/>
      <c r="V402" s="268">
        <v>2</v>
      </c>
      <c r="W402" s="5">
        <f>((W399+K402+S402)-(M402+O402+U402)-Q402)</f>
        <v>6</v>
      </c>
      <c r="X402" s="5">
        <f>((X399+L402+T402)-(N402+P402+V402)-R402)</f>
        <v>1</v>
      </c>
      <c r="Y402" s="5">
        <f>SUM(W402:X402)</f>
        <v>7</v>
      </c>
    </row>
    <row r="403" spans="1:25" ht="15.75" customHeight="1" x14ac:dyDescent="0.25">
      <c r="A403" s="26">
        <v>2</v>
      </c>
      <c r="B403" s="268"/>
      <c r="C403" s="268"/>
      <c r="D403" s="268"/>
      <c r="E403" s="268"/>
      <c r="F403" s="268"/>
      <c r="G403" s="268"/>
      <c r="H403" s="2"/>
      <c r="J403" s="11">
        <v>2</v>
      </c>
      <c r="K403" s="268">
        <v>7</v>
      </c>
      <c r="L403" s="268"/>
      <c r="M403" s="268">
        <v>3</v>
      </c>
      <c r="N403" s="268"/>
      <c r="O403" s="268"/>
      <c r="P403" s="268"/>
      <c r="Q403" s="268"/>
      <c r="R403" s="268"/>
      <c r="S403" s="268"/>
      <c r="T403" s="268"/>
      <c r="U403" s="268"/>
      <c r="V403" s="268">
        <v>1</v>
      </c>
      <c r="W403" s="5">
        <f>((W402+K403+S403)-(M403+O403+U403)-Q403)</f>
        <v>10</v>
      </c>
      <c r="X403" s="5">
        <f>((X402+L403+T403)-(N403+P403+V403)-R403)</f>
        <v>0</v>
      </c>
      <c r="Y403" s="5">
        <f t="shared" ref="Y403:Y431" si="30">SUM(W403:X403)</f>
        <v>10</v>
      </c>
    </row>
    <row r="404" spans="1:25" ht="15.75" customHeight="1" x14ac:dyDescent="0.25">
      <c r="A404" s="26">
        <v>3</v>
      </c>
      <c r="B404" s="268"/>
      <c r="C404" s="268"/>
      <c r="D404" s="268"/>
      <c r="E404" s="268"/>
      <c r="F404" s="268"/>
      <c r="G404" s="268"/>
      <c r="H404" s="2"/>
      <c r="J404" s="11">
        <v>3</v>
      </c>
      <c r="K404" s="268">
        <v>2</v>
      </c>
      <c r="L404" s="268">
        <v>1</v>
      </c>
      <c r="M404" s="268">
        <v>6</v>
      </c>
      <c r="N404" s="268"/>
      <c r="O404" s="268"/>
      <c r="P404" s="268"/>
      <c r="Q404" s="268">
        <v>2</v>
      </c>
      <c r="R404" s="268"/>
      <c r="S404" s="268"/>
      <c r="T404" s="268"/>
      <c r="U404" s="268">
        <v>1</v>
      </c>
      <c r="V404" s="268">
        <v>1</v>
      </c>
      <c r="W404" s="5">
        <f t="shared" ref="W404:W431" si="31">((W403+K404+S404)-(M404+O404+U404)-Q404)</f>
        <v>3</v>
      </c>
      <c r="X404" s="5">
        <f t="shared" ref="X404:X431" si="32">((X403+L404+T404)-(N404+P404+V404)-R404)</f>
        <v>0</v>
      </c>
      <c r="Y404" s="5">
        <f t="shared" si="30"/>
        <v>3</v>
      </c>
    </row>
    <row r="405" spans="1:25" ht="15.75" customHeight="1" x14ac:dyDescent="0.25">
      <c r="A405" s="26">
        <v>4</v>
      </c>
      <c r="B405" s="268"/>
      <c r="C405" s="268"/>
      <c r="D405" s="268"/>
      <c r="E405" s="268"/>
      <c r="F405" s="268"/>
      <c r="G405" s="268"/>
      <c r="H405" s="2"/>
      <c r="J405" s="11">
        <v>4</v>
      </c>
      <c r="K405" s="268">
        <v>2</v>
      </c>
      <c r="L405" s="268">
        <v>2</v>
      </c>
      <c r="M405" s="268">
        <v>1</v>
      </c>
      <c r="N405" s="268"/>
      <c r="O405" s="268"/>
      <c r="P405" s="268"/>
      <c r="Q405" s="268">
        <v>1</v>
      </c>
      <c r="R405" s="268"/>
      <c r="S405" s="268"/>
      <c r="T405" s="268"/>
      <c r="U405" s="268"/>
      <c r="V405" s="268">
        <v>1</v>
      </c>
      <c r="W405" s="5">
        <f t="shared" si="31"/>
        <v>3</v>
      </c>
      <c r="X405" s="5">
        <f t="shared" si="32"/>
        <v>1</v>
      </c>
      <c r="Y405" s="5">
        <f t="shared" si="30"/>
        <v>4</v>
      </c>
    </row>
    <row r="406" spans="1:25" ht="15.75" customHeight="1" x14ac:dyDescent="0.25">
      <c r="A406" s="26">
        <v>5</v>
      </c>
      <c r="B406" s="268"/>
      <c r="C406" s="268"/>
      <c r="D406" s="268"/>
      <c r="E406" s="268"/>
      <c r="F406" s="268"/>
      <c r="G406" s="268"/>
      <c r="H406" s="2"/>
      <c r="J406" s="11">
        <v>5</v>
      </c>
      <c r="K406" s="268">
        <v>3</v>
      </c>
      <c r="L406" s="268">
        <v>3</v>
      </c>
      <c r="M406" s="268"/>
      <c r="N406" s="268"/>
      <c r="O406" s="268"/>
      <c r="P406" s="268"/>
      <c r="Q406" s="268"/>
      <c r="R406" s="268"/>
      <c r="S406" s="268"/>
      <c r="T406" s="268"/>
      <c r="U406" s="268">
        <v>1</v>
      </c>
      <c r="V406" s="268">
        <v>1</v>
      </c>
      <c r="W406" s="5">
        <f t="shared" si="31"/>
        <v>5</v>
      </c>
      <c r="X406" s="5">
        <f t="shared" si="32"/>
        <v>3</v>
      </c>
      <c r="Y406" s="5">
        <f t="shared" si="30"/>
        <v>8</v>
      </c>
    </row>
    <row r="407" spans="1:25" ht="15.75" customHeight="1" x14ac:dyDescent="0.25">
      <c r="A407" s="26">
        <v>6</v>
      </c>
      <c r="B407" s="268"/>
      <c r="C407" s="268"/>
      <c r="D407" s="268"/>
      <c r="E407" s="268"/>
      <c r="F407" s="268"/>
      <c r="G407" s="268"/>
      <c r="H407" s="2"/>
      <c r="J407" s="11">
        <v>6</v>
      </c>
      <c r="K407" s="268">
        <v>1</v>
      </c>
      <c r="L407" s="268">
        <v>2</v>
      </c>
      <c r="M407" s="268">
        <v>3</v>
      </c>
      <c r="N407" s="268">
        <v>1</v>
      </c>
      <c r="O407" s="268"/>
      <c r="P407" s="268"/>
      <c r="Q407" s="268"/>
      <c r="R407" s="268"/>
      <c r="S407" s="268"/>
      <c r="T407" s="268"/>
      <c r="U407" s="268">
        <v>2</v>
      </c>
      <c r="V407" s="268">
        <v>2</v>
      </c>
      <c r="W407" s="5">
        <f t="shared" si="31"/>
        <v>1</v>
      </c>
      <c r="X407" s="5">
        <f t="shared" si="32"/>
        <v>2</v>
      </c>
      <c r="Y407" s="5">
        <f t="shared" si="30"/>
        <v>3</v>
      </c>
    </row>
    <row r="408" spans="1:25" ht="15.75" customHeight="1" x14ac:dyDescent="0.25">
      <c r="A408" s="26">
        <v>7</v>
      </c>
      <c r="B408" s="268"/>
      <c r="C408" s="268"/>
      <c r="D408" s="268"/>
      <c r="E408" s="268"/>
      <c r="F408" s="268"/>
      <c r="G408" s="268"/>
      <c r="H408" s="2"/>
      <c r="J408" s="11">
        <v>7</v>
      </c>
      <c r="K408" s="268">
        <v>1</v>
      </c>
      <c r="L408" s="268"/>
      <c r="M408" s="268"/>
      <c r="N408" s="268">
        <v>1</v>
      </c>
      <c r="O408" s="268"/>
      <c r="P408" s="268"/>
      <c r="Q408" s="268"/>
      <c r="R408" s="268"/>
      <c r="S408" s="268"/>
      <c r="T408" s="268"/>
      <c r="U408" s="268"/>
      <c r="V408" s="268">
        <v>1</v>
      </c>
      <c r="W408" s="5">
        <f t="shared" si="31"/>
        <v>2</v>
      </c>
      <c r="X408" s="5">
        <f t="shared" si="32"/>
        <v>0</v>
      </c>
      <c r="Y408" s="5">
        <f t="shared" si="30"/>
        <v>2</v>
      </c>
    </row>
    <row r="409" spans="1:25" ht="15" customHeight="1" x14ac:dyDescent="0.25">
      <c r="A409" s="26">
        <v>8</v>
      </c>
      <c r="B409" s="268"/>
      <c r="C409" s="268"/>
      <c r="D409" s="268"/>
      <c r="E409" s="268"/>
      <c r="F409" s="268"/>
      <c r="G409" s="268"/>
      <c r="H409" s="2"/>
      <c r="J409" s="11">
        <v>8</v>
      </c>
      <c r="K409" s="268">
        <v>4</v>
      </c>
      <c r="L409" s="268">
        <v>4</v>
      </c>
      <c r="M409" s="268"/>
      <c r="N409" s="268"/>
      <c r="O409" s="268"/>
      <c r="P409" s="268"/>
      <c r="Q409" s="268"/>
      <c r="R409" s="268"/>
      <c r="S409" s="268"/>
      <c r="T409" s="268"/>
      <c r="U409" s="268">
        <v>2</v>
      </c>
      <c r="V409" s="268">
        <v>1</v>
      </c>
      <c r="W409" s="5">
        <f t="shared" si="31"/>
        <v>4</v>
      </c>
      <c r="X409" s="5">
        <f t="shared" si="32"/>
        <v>3</v>
      </c>
      <c r="Y409" s="5">
        <f t="shared" si="30"/>
        <v>7</v>
      </c>
    </row>
    <row r="410" spans="1:25" x14ac:dyDescent="0.25">
      <c r="A410" s="26">
        <v>9</v>
      </c>
      <c r="B410" s="268"/>
      <c r="C410" s="268"/>
      <c r="D410" s="268"/>
      <c r="E410" s="268"/>
      <c r="F410" s="268"/>
      <c r="G410" s="268"/>
      <c r="H410" s="2"/>
      <c r="J410" s="11">
        <v>9</v>
      </c>
      <c r="K410" s="268">
        <v>5</v>
      </c>
      <c r="L410" s="268">
        <v>5</v>
      </c>
      <c r="M410" s="268">
        <v>1</v>
      </c>
      <c r="N410" s="268">
        <v>1</v>
      </c>
      <c r="O410" s="268"/>
      <c r="P410" s="268">
        <v>1</v>
      </c>
      <c r="Q410" s="268"/>
      <c r="R410" s="268"/>
      <c r="S410" s="268"/>
      <c r="T410" s="268"/>
      <c r="U410" s="268">
        <v>2</v>
      </c>
      <c r="V410" s="268">
        <v>2</v>
      </c>
      <c r="W410" s="5">
        <f t="shared" si="31"/>
        <v>6</v>
      </c>
      <c r="X410" s="5">
        <f t="shared" si="32"/>
        <v>4</v>
      </c>
      <c r="Y410" s="5">
        <f t="shared" si="30"/>
        <v>10</v>
      </c>
    </row>
    <row r="411" spans="1:25" x14ac:dyDescent="0.25">
      <c r="A411" s="26">
        <v>10</v>
      </c>
      <c r="B411" s="268"/>
      <c r="C411" s="268"/>
      <c r="D411" s="268"/>
      <c r="E411" s="268"/>
      <c r="F411" s="268"/>
      <c r="G411" s="268"/>
      <c r="H411" s="2"/>
      <c r="J411" s="11">
        <v>10</v>
      </c>
      <c r="K411" s="268">
        <v>3</v>
      </c>
      <c r="L411" s="268">
        <v>1</v>
      </c>
      <c r="M411" s="268"/>
      <c r="N411" s="268"/>
      <c r="O411" s="268"/>
      <c r="P411" s="268"/>
      <c r="Q411" s="268"/>
      <c r="R411" s="268"/>
      <c r="S411" s="268"/>
      <c r="T411" s="268"/>
      <c r="U411" s="268">
        <v>1</v>
      </c>
      <c r="V411" s="268">
        <v>2</v>
      </c>
      <c r="W411" s="5">
        <f t="shared" si="31"/>
        <v>8</v>
      </c>
      <c r="X411" s="5">
        <f t="shared" si="32"/>
        <v>3</v>
      </c>
      <c r="Y411" s="5">
        <f t="shared" si="30"/>
        <v>11</v>
      </c>
    </row>
    <row r="412" spans="1:25" x14ac:dyDescent="0.25">
      <c r="A412" s="26">
        <v>11</v>
      </c>
      <c r="B412" s="268"/>
      <c r="C412" s="268"/>
      <c r="D412" s="268"/>
      <c r="E412" s="268"/>
      <c r="F412" s="268"/>
      <c r="G412" s="268"/>
      <c r="H412" s="2"/>
      <c r="J412" s="11">
        <v>11</v>
      </c>
      <c r="K412" s="268">
        <v>7</v>
      </c>
      <c r="L412" s="268">
        <v>2</v>
      </c>
      <c r="M412" s="268">
        <v>1</v>
      </c>
      <c r="N412" s="268">
        <v>2</v>
      </c>
      <c r="O412" s="268"/>
      <c r="P412" s="268"/>
      <c r="Q412" s="268"/>
      <c r="R412" s="268"/>
      <c r="S412" s="268"/>
      <c r="T412" s="268"/>
      <c r="U412" s="268">
        <v>2</v>
      </c>
      <c r="V412" s="268">
        <v>1</v>
      </c>
      <c r="W412" s="5">
        <f t="shared" si="31"/>
        <v>12</v>
      </c>
      <c r="X412" s="5">
        <f t="shared" si="32"/>
        <v>2</v>
      </c>
      <c r="Y412" s="5">
        <f t="shared" si="30"/>
        <v>14</v>
      </c>
    </row>
    <row r="413" spans="1:25" x14ac:dyDescent="0.25">
      <c r="A413" s="26">
        <v>12</v>
      </c>
      <c r="B413" s="268"/>
      <c r="C413" s="268"/>
      <c r="D413" s="268"/>
      <c r="E413" s="268"/>
      <c r="F413" s="268"/>
      <c r="G413" s="268"/>
      <c r="H413" s="2"/>
      <c r="J413" s="11">
        <v>12</v>
      </c>
      <c r="K413" s="268">
        <v>2</v>
      </c>
      <c r="L413" s="268">
        <v>1</v>
      </c>
      <c r="M413" s="268">
        <v>4</v>
      </c>
      <c r="N413" s="268"/>
      <c r="O413" s="268"/>
      <c r="P413" s="268"/>
      <c r="Q413" s="268"/>
      <c r="R413" s="268"/>
      <c r="S413" s="268"/>
      <c r="T413" s="268"/>
      <c r="U413" s="268">
        <v>3</v>
      </c>
      <c r="V413" s="268">
        <v>2</v>
      </c>
      <c r="W413" s="5">
        <f t="shared" si="31"/>
        <v>7</v>
      </c>
      <c r="X413" s="5">
        <f t="shared" si="32"/>
        <v>1</v>
      </c>
      <c r="Y413" s="5">
        <f t="shared" si="30"/>
        <v>8</v>
      </c>
    </row>
    <row r="414" spans="1:25" x14ac:dyDescent="0.25">
      <c r="A414" s="26">
        <v>13</v>
      </c>
      <c r="B414" s="268"/>
      <c r="C414" s="268"/>
      <c r="D414" s="268"/>
      <c r="E414" s="268"/>
      <c r="F414" s="268"/>
      <c r="G414" s="268"/>
      <c r="H414" s="2"/>
      <c r="J414" s="11">
        <v>13</v>
      </c>
      <c r="K414" s="268">
        <v>5</v>
      </c>
      <c r="L414" s="268">
        <v>1</v>
      </c>
      <c r="M414" s="268">
        <v>1</v>
      </c>
      <c r="N414" s="268">
        <v>1</v>
      </c>
      <c r="O414" s="268"/>
      <c r="P414" s="268"/>
      <c r="Q414" s="268">
        <v>2</v>
      </c>
      <c r="R414" s="268">
        <v>1</v>
      </c>
      <c r="S414" s="268"/>
      <c r="T414" s="268"/>
      <c r="U414" s="268">
        <v>2</v>
      </c>
      <c r="V414" s="268">
        <v>2</v>
      </c>
      <c r="W414" s="5">
        <f t="shared" si="31"/>
        <v>7</v>
      </c>
      <c r="X414" s="5">
        <f t="shared" si="32"/>
        <v>-2</v>
      </c>
      <c r="Y414" s="5">
        <f t="shared" si="30"/>
        <v>5</v>
      </c>
    </row>
    <row r="415" spans="1:25" x14ac:dyDescent="0.25">
      <c r="A415" s="26">
        <v>14</v>
      </c>
      <c r="B415" s="268"/>
      <c r="C415" s="268"/>
      <c r="D415" s="268"/>
      <c r="E415" s="268"/>
      <c r="F415" s="268"/>
      <c r="G415" s="268"/>
      <c r="H415" s="2"/>
      <c r="J415" s="11">
        <v>14</v>
      </c>
      <c r="K415" s="268">
        <v>3</v>
      </c>
      <c r="L415" s="268">
        <v>1</v>
      </c>
      <c r="M415" s="268"/>
      <c r="N415" s="268"/>
      <c r="O415" s="268">
        <v>1</v>
      </c>
      <c r="P415" s="268"/>
      <c r="Q415" s="268"/>
      <c r="R415" s="268"/>
      <c r="S415" s="268"/>
      <c r="T415" s="268"/>
      <c r="U415" s="268">
        <v>2</v>
      </c>
      <c r="V415" s="268"/>
      <c r="W415" s="5">
        <f t="shared" si="31"/>
        <v>7</v>
      </c>
      <c r="X415" s="5">
        <f t="shared" si="32"/>
        <v>-1</v>
      </c>
      <c r="Y415" s="5">
        <f t="shared" si="30"/>
        <v>6</v>
      </c>
    </row>
    <row r="416" spans="1:25" x14ac:dyDescent="0.25">
      <c r="A416" s="26">
        <v>15</v>
      </c>
      <c r="B416" s="268"/>
      <c r="C416" s="268"/>
      <c r="D416" s="268"/>
      <c r="E416" s="268"/>
      <c r="F416" s="268"/>
      <c r="G416" s="268"/>
      <c r="H416" s="2"/>
      <c r="J416" s="11">
        <v>15</v>
      </c>
      <c r="K416" s="268">
        <v>3</v>
      </c>
      <c r="L416" s="268">
        <v>2</v>
      </c>
      <c r="M416" s="268">
        <v>2</v>
      </c>
      <c r="N416" s="268">
        <v>1</v>
      </c>
      <c r="O416" s="268">
        <v>1</v>
      </c>
      <c r="P416" s="268"/>
      <c r="Q416" s="268">
        <v>1</v>
      </c>
      <c r="R416" s="268"/>
      <c r="S416" s="268"/>
      <c r="T416" s="268"/>
      <c r="U416" s="268">
        <v>1</v>
      </c>
      <c r="V416" s="268"/>
      <c r="W416" s="5">
        <f t="shared" si="31"/>
        <v>5</v>
      </c>
      <c r="X416" s="5">
        <f t="shared" si="32"/>
        <v>0</v>
      </c>
      <c r="Y416" s="5">
        <f t="shared" si="30"/>
        <v>5</v>
      </c>
    </row>
    <row r="417" spans="1:25" x14ac:dyDescent="0.25">
      <c r="A417" s="26">
        <v>16</v>
      </c>
      <c r="B417" s="268"/>
      <c r="C417" s="268"/>
      <c r="D417" s="268"/>
      <c r="E417" s="268"/>
      <c r="F417" s="268"/>
      <c r="G417" s="268"/>
      <c r="H417" s="2"/>
      <c r="J417" s="11">
        <v>16</v>
      </c>
      <c r="K417" s="268">
        <v>4</v>
      </c>
      <c r="L417" s="268">
        <v>2</v>
      </c>
      <c r="M417" s="268"/>
      <c r="N417" s="268">
        <v>2</v>
      </c>
      <c r="O417" s="268"/>
      <c r="P417" s="268"/>
      <c r="Q417" s="268"/>
      <c r="R417" s="268"/>
      <c r="S417" s="268"/>
      <c r="T417" s="268"/>
      <c r="U417" s="268">
        <v>1</v>
      </c>
      <c r="V417" s="268"/>
      <c r="W417" s="5">
        <f t="shared" si="31"/>
        <v>8</v>
      </c>
      <c r="X417" s="5">
        <f t="shared" si="32"/>
        <v>0</v>
      </c>
      <c r="Y417" s="5">
        <f t="shared" si="30"/>
        <v>8</v>
      </c>
    </row>
    <row r="418" spans="1:25" x14ac:dyDescent="0.25">
      <c r="A418" s="26">
        <v>17</v>
      </c>
      <c r="B418" s="268"/>
      <c r="C418" s="268"/>
      <c r="D418" s="268"/>
      <c r="E418" s="268"/>
      <c r="F418" s="268"/>
      <c r="G418" s="268"/>
      <c r="H418" s="2"/>
      <c r="J418" s="11">
        <v>17</v>
      </c>
      <c r="K418" s="268">
        <v>1</v>
      </c>
      <c r="L418" s="268">
        <v>4</v>
      </c>
      <c r="M418" s="268">
        <v>3</v>
      </c>
      <c r="N418" s="268">
        <v>1</v>
      </c>
      <c r="O418" s="268"/>
      <c r="P418" s="268"/>
      <c r="Q418" s="268">
        <v>1</v>
      </c>
      <c r="R418" s="268"/>
      <c r="S418" s="268"/>
      <c r="T418" s="268"/>
      <c r="U418" s="268">
        <v>2</v>
      </c>
      <c r="V418" s="268">
        <v>2</v>
      </c>
      <c r="W418" s="5">
        <f t="shared" si="31"/>
        <v>3</v>
      </c>
      <c r="X418" s="5">
        <f t="shared" si="32"/>
        <v>1</v>
      </c>
      <c r="Y418" s="5">
        <f t="shared" si="30"/>
        <v>4</v>
      </c>
    </row>
    <row r="419" spans="1:25" x14ac:dyDescent="0.25">
      <c r="A419" s="26">
        <v>18</v>
      </c>
      <c r="B419" s="268"/>
      <c r="C419" s="268"/>
      <c r="D419" s="268"/>
      <c r="E419" s="268"/>
      <c r="F419" s="268"/>
      <c r="G419" s="268"/>
      <c r="H419" s="2"/>
      <c r="J419" s="11">
        <v>18</v>
      </c>
      <c r="K419" s="268">
        <v>3</v>
      </c>
      <c r="L419" s="268">
        <v>3</v>
      </c>
      <c r="M419" s="268"/>
      <c r="N419" s="268"/>
      <c r="O419" s="268"/>
      <c r="P419" s="268"/>
      <c r="Q419" s="268">
        <v>1</v>
      </c>
      <c r="R419" s="268"/>
      <c r="S419" s="268"/>
      <c r="T419" s="268"/>
      <c r="U419" s="268">
        <v>1</v>
      </c>
      <c r="V419" s="268">
        <v>2</v>
      </c>
      <c r="W419" s="5">
        <f t="shared" si="31"/>
        <v>4</v>
      </c>
      <c r="X419" s="5">
        <f t="shared" si="32"/>
        <v>2</v>
      </c>
      <c r="Y419" s="5">
        <f t="shared" si="30"/>
        <v>6</v>
      </c>
    </row>
    <row r="420" spans="1:25" x14ac:dyDescent="0.25">
      <c r="A420" s="26">
        <v>19</v>
      </c>
      <c r="B420" s="268"/>
      <c r="C420" s="268"/>
      <c r="D420" s="268"/>
      <c r="E420" s="268"/>
      <c r="F420" s="268"/>
      <c r="G420" s="268"/>
      <c r="H420" s="2"/>
      <c r="J420" s="11">
        <v>19</v>
      </c>
      <c r="K420" s="268">
        <v>2</v>
      </c>
      <c r="L420" s="268">
        <v>5</v>
      </c>
      <c r="M420" s="268">
        <v>1</v>
      </c>
      <c r="N420" s="268"/>
      <c r="O420" s="268"/>
      <c r="P420" s="268"/>
      <c r="Q420" s="268"/>
      <c r="R420" s="268"/>
      <c r="S420" s="268"/>
      <c r="T420" s="268"/>
      <c r="U420" s="268">
        <v>1</v>
      </c>
      <c r="V420" s="268">
        <v>3</v>
      </c>
      <c r="W420" s="5">
        <f t="shared" si="31"/>
        <v>4</v>
      </c>
      <c r="X420" s="5">
        <f t="shared" si="32"/>
        <v>4</v>
      </c>
      <c r="Y420" s="5">
        <f t="shared" si="30"/>
        <v>8</v>
      </c>
    </row>
    <row r="421" spans="1:25" x14ac:dyDescent="0.25">
      <c r="A421" s="26">
        <v>20</v>
      </c>
      <c r="B421" s="529"/>
      <c r="C421" s="529"/>
      <c r="D421" s="529"/>
      <c r="E421" s="529"/>
      <c r="F421" s="529"/>
      <c r="G421" s="529"/>
      <c r="H421" s="2"/>
      <c r="J421" s="86">
        <v>20</v>
      </c>
      <c r="K421" s="529">
        <v>2</v>
      </c>
      <c r="L421" s="529">
        <v>5</v>
      </c>
      <c r="M421" s="529"/>
      <c r="N421" s="529"/>
      <c r="O421" s="529"/>
      <c r="P421" s="529"/>
      <c r="Q421" s="529"/>
      <c r="R421" s="529"/>
      <c r="S421" s="529"/>
      <c r="T421" s="529"/>
      <c r="U421" s="529">
        <v>1</v>
      </c>
      <c r="V421" s="529">
        <v>4</v>
      </c>
      <c r="W421" s="257">
        <f t="shared" si="31"/>
        <v>5</v>
      </c>
      <c r="X421" s="257">
        <f t="shared" si="32"/>
        <v>5</v>
      </c>
      <c r="Y421" s="257">
        <f t="shared" si="30"/>
        <v>10</v>
      </c>
    </row>
    <row r="422" spans="1:25" x14ac:dyDescent="0.25">
      <c r="A422" s="26">
        <v>21</v>
      </c>
      <c r="B422" s="268"/>
      <c r="C422" s="268"/>
      <c r="D422" s="268"/>
      <c r="E422" s="268"/>
      <c r="F422" s="268"/>
      <c r="G422" s="268"/>
      <c r="H422" s="2"/>
      <c r="J422" s="11">
        <v>21</v>
      </c>
      <c r="K422" s="268">
        <v>1</v>
      </c>
      <c r="L422" s="268">
        <v>3</v>
      </c>
      <c r="M422" s="268"/>
      <c r="N422" s="268"/>
      <c r="O422" s="268"/>
      <c r="P422" s="268">
        <v>1</v>
      </c>
      <c r="Q422" s="268"/>
      <c r="R422" s="268">
        <v>1</v>
      </c>
      <c r="S422" s="268"/>
      <c r="T422" s="268">
        <v>1</v>
      </c>
      <c r="U422" s="268">
        <v>2</v>
      </c>
      <c r="V422" s="268">
        <v>2</v>
      </c>
      <c r="W422" s="5">
        <f t="shared" si="31"/>
        <v>4</v>
      </c>
      <c r="X422" s="5">
        <f t="shared" si="32"/>
        <v>5</v>
      </c>
      <c r="Y422" s="5">
        <f t="shared" si="30"/>
        <v>9</v>
      </c>
    </row>
    <row r="423" spans="1:25" x14ac:dyDescent="0.25">
      <c r="A423" s="26">
        <v>22</v>
      </c>
      <c r="B423" s="268"/>
      <c r="C423" s="268"/>
      <c r="D423" s="268"/>
      <c r="E423" s="268"/>
      <c r="F423" s="268"/>
      <c r="G423" s="268"/>
      <c r="H423" s="2"/>
      <c r="J423" s="11">
        <v>22</v>
      </c>
      <c r="K423" s="268">
        <v>2</v>
      </c>
      <c r="L423" s="268">
        <v>4</v>
      </c>
      <c r="M423" s="268"/>
      <c r="N423" s="268">
        <v>1</v>
      </c>
      <c r="O423" s="268"/>
      <c r="P423" s="268"/>
      <c r="Q423" s="268"/>
      <c r="R423" s="268"/>
      <c r="S423" s="268"/>
      <c r="T423" s="268"/>
      <c r="U423" s="268">
        <v>2</v>
      </c>
      <c r="V423" s="268">
        <v>1</v>
      </c>
      <c r="W423" s="5">
        <f t="shared" si="31"/>
        <v>4</v>
      </c>
      <c r="X423" s="5">
        <f t="shared" si="32"/>
        <v>7</v>
      </c>
      <c r="Y423" s="5">
        <f t="shared" si="30"/>
        <v>11</v>
      </c>
    </row>
    <row r="424" spans="1:25" x14ac:dyDescent="0.25">
      <c r="A424" s="26">
        <v>23</v>
      </c>
      <c r="B424" s="562"/>
      <c r="C424" s="562"/>
      <c r="D424" s="562"/>
      <c r="E424" s="562"/>
      <c r="F424" s="562"/>
      <c r="G424" s="562"/>
      <c r="H424" s="2"/>
      <c r="J424" s="561">
        <v>23</v>
      </c>
      <c r="K424" s="562">
        <v>3</v>
      </c>
      <c r="L424" s="562">
        <v>1</v>
      </c>
      <c r="M424" s="562">
        <v>2</v>
      </c>
      <c r="N424" s="562">
        <v>1</v>
      </c>
      <c r="O424" s="562"/>
      <c r="P424" s="562">
        <v>1</v>
      </c>
      <c r="Q424" s="562"/>
      <c r="R424" s="562"/>
      <c r="S424" s="562"/>
      <c r="T424" s="562"/>
      <c r="U424" s="562">
        <v>1</v>
      </c>
      <c r="V424" s="562">
        <v>3</v>
      </c>
      <c r="W424" s="306">
        <f t="shared" si="31"/>
        <v>4</v>
      </c>
      <c r="X424" s="306">
        <f t="shared" si="32"/>
        <v>3</v>
      </c>
      <c r="Y424" s="306">
        <f t="shared" si="30"/>
        <v>7</v>
      </c>
    </row>
    <row r="425" spans="1:25" x14ac:dyDescent="0.25">
      <c r="A425" s="26">
        <v>24</v>
      </c>
      <c r="B425" s="562"/>
      <c r="C425" s="562"/>
      <c r="D425" s="562"/>
      <c r="E425" s="562"/>
      <c r="F425" s="562"/>
      <c r="G425" s="562"/>
      <c r="H425" s="2"/>
      <c r="J425" s="561">
        <v>24</v>
      </c>
      <c r="K425" s="562">
        <v>3</v>
      </c>
      <c r="L425" s="562">
        <v>3</v>
      </c>
      <c r="M425" s="562"/>
      <c r="N425" s="562">
        <v>2</v>
      </c>
      <c r="O425" s="562"/>
      <c r="P425" s="562"/>
      <c r="Q425" s="562"/>
      <c r="R425" s="562"/>
      <c r="S425" s="562"/>
      <c r="T425" s="562"/>
      <c r="U425" s="562">
        <v>2</v>
      </c>
      <c r="V425" s="562">
        <v>2</v>
      </c>
      <c r="W425" s="306">
        <f t="shared" si="31"/>
        <v>5</v>
      </c>
      <c r="X425" s="306">
        <f t="shared" si="32"/>
        <v>2</v>
      </c>
      <c r="Y425" s="306">
        <f t="shared" si="30"/>
        <v>7</v>
      </c>
    </row>
    <row r="426" spans="1:25" x14ac:dyDescent="0.25">
      <c r="A426" s="26">
        <v>25</v>
      </c>
      <c r="B426" s="268"/>
      <c r="C426" s="268"/>
      <c r="D426" s="268"/>
      <c r="E426" s="268"/>
      <c r="F426" s="268"/>
      <c r="G426" s="268"/>
      <c r="H426" s="2"/>
      <c r="J426" s="11">
        <v>25</v>
      </c>
      <c r="K426" s="268">
        <v>2</v>
      </c>
      <c r="L426" s="268">
        <v>3</v>
      </c>
      <c r="M426" s="268"/>
      <c r="N426" s="268">
        <v>1</v>
      </c>
      <c r="O426" s="268"/>
      <c r="P426" s="268"/>
      <c r="Q426" s="268"/>
      <c r="R426" s="268">
        <v>1</v>
      </c>
      <c r="S426" s="268"/>
      <c r="T426" s="268"/>
      <c r="U426" s="268">
        <v>1</v>
      </c>
      <c r="V426" s="268">
        <v>3</v>
      </c>
      <c r="W426" s="5">
        <f t="shared" si="31"/>
        <v>6</v>
      </c>
      <c r="X426" s="5">
        <f t="shared" si="32"/>
        <v>0</v>
      </c>
      <c r="Y426" s="5">
        <f t="shared" si="30"/>
        <v>6</v>
      </c>
    </row>
    <row r="427" spans="1:25" x14ac:dyDescent="0.25">
      <c r="A427" s="26">
        <v>26</v>
      </c>
      <c r="B427" s="268"/>
      <c r="C427" s="268"/>
      <c r="D427" s="268"/>
      <c r="E427" s="268"/>
      <c r="F427" s="268"/>
      <c r="G427" s="268"/>
      <c r="H427" s="2"/>
      <c r="J427" s="11">
        <v>26</v>
      </c>
      <c r="K427" s="268">
        <v>5</v>
      </c>
      <c r="L427" s="268"/>
      <c r="M427" s="268">
        <v>2</v>
      </c>
      <c r="N427" s="268"/>
      <c r="O427" s="268"/>
      <c r="P427" s="268"/>
      <c r="Q427" s="268"/>
      <c r="R427" s="268">
        <v>1</v>
      </c>
      <c r="S427" s="268"/>
      <c r="T427" s="268"/>
      <c r="U427" s="268">
        <v>3</v>
      </c>
      <c r="V427" s="268">
        <v>2</v>
      </c>
      <c r="W427" s="5">
        <f t="shared" si="31"/>
        <v>6</v>
      </c>
      <c r="X427" s="5">
        <f t="shared" si="32"/>
        <v>-3</v>
      </c>
      <c r="Y427" s="5">
        <f t="shared" si="30"/>
        <v>3</v>
      </c>
    </row>
    <row r="428" spans="1:25" x14ac:dyDescent="0.25">
      <c r="A428" s="26">
        <v>27</v>
      </c>
      <c r="B428" s="268"/>
      <c r="C428" s="268"/>
      <c r="D428" s="268"/>
      <c r="E428" s="268"/>
      <c r="F428" s="268"/>
      <c r="G428" s="268"/>
      <c r="H428" s="2"/>
      <c r="J428" s="11">
        <v>27</v>
      </c>
      <c r="K428" s="268">
        <v>3</v>
      </c>
      <c r="L428" s="268">
        <v>2</v>
      </c>
      <c r="M428" s="268">
        <v>1</v>
      </c>
      <c r="N428" s="268"/>
      <c r="O428" s="268"/>
      <c r="P428" s="268"/>
      <c r="Q428" s="268"/>
      <c r="R428" s="268"/>
      <c r="S428" s="268"/>
      <c r="T428" s="268"/>
      <c r="U428" s="268"/>
      <c r="V428" s="268"/>
      <c r="W428" s="5">
        <f t="shared" si="31"/>
        <v>8</v>
      </c>
      <c r="X428" s="5">
        <f t="shared" si="32"/>
        <v>-1</v>
      </c>
      <c r="Y428" s="5">
        <f t="shared" si="30"/>
        <v>7</v>
      </c>
    </row>
    <row r="429" spans="1:25" x14ac:dyDescent="0.25">
      <c r="A429" s="26">
        <v>28</v>
      </c>
      <c r="B429" s="268"/>
      <c r="C429" s="268"/>
      <c r="D429" s="268"/>
      <c r="E429" s="268"/>
      <c r="F429" s="268"/>
      <c r="G429" s="268"/>
      <c r="H429" s="2"/>
      <c r="J429" s="11">
        <v>28</v>
      </c>
      <c r="K429" s="268">
        <v>4</v>
      </c>
      <c r="L429" s="268">
        <v>1</v>
      </c>
      <c r="M429" s="268">
        <v>2</v>
      </c>
      <c r="N429" s="268">
        <v>2</v>
      </c>
      <c r="O429" s="268"/>
      <c r="P429" s="268"/>
      <c r="Q429" s="268">
        <v>1</v>
      </c>
      <c r="R429" s="268"/>
      <c r="S429" s="268"/>
      <c r="T429" s="268"/>
      <c r="U429" s="268">
        <v>2</v>
      </c>
      <c r="V429" s="268"/>
      <c r="W429" s="5">
        <f t="shared" si="31"/>
        <v>7</v>
      </c>
      <c r="X429" s="5">
        <f t="shared" si="32"/>
        <v>-2</v>
      </c>
      <c r="Y429" s="5">
        <f t="shared" si="30"/>
        <v>5</v>
      </c>
    </row>
    <row r="430" spans="1:25" x14ac:dyDescent="0.25">
      <c r="A430" s="26">
        <v>29</v>
      </c>
      <c r="B430" s="268"/>
      <c r="C430" s="268"/>
      <c r="D430" s="268"/>
      <c r="E430" s="268"/>
      <c r="F430" s="268"/>
      <c r="G430" s="268"/>
      <c r="H430" s="2"/>
      <c r="J430" s="11">
        <v>29</v>
      </c>
      <c r="K430" s="268">
        <v>4</v>
      </c>
      <c r="L430" s="268">
        <v>3</v>
      </c>
      <c r="M430" s="268"/>
      <c r="N430" s="268">
        <v>1</v>
      </c>
      <c r="O430" s="268">
        <v>1</v>
      </c>
      <c r="P430" s="268"/>
      <c r="Q430" s="268"/>
      <c r="R430" s="268">
        <v>1</v>
      </c>
      <c r="S430" s="268"/>
      <c r="T430" s="268"/>
      <c r="U430" s="268">
        <v>2</v>
      </c>
      <c r="V430" s="268"/>
      <c r="W430" s="5">
        <f t="shared" si="31"/>
        <v>8</v>
      </c>
      <c r="X430" s="5">
        <f t="shared" si="32"/>
        <v>-1</v>
      </c>
      <c r="Y430" s="5">
        <f t="shared" si="30"/>
        <v>7</v>
      </c>
    </row>
    <row r="431" spans="1:25" ht="15.75" thickBot="1" x14ac:dyDescent="0.3">
      <c r="A431" s="26">
        <v>30</v>
      </c>
      <c r="B431" s="268"/>
      <c r="C431" s="268"/>
      <c r="D431" s="268"/>
      <c r="E431" s="268"/>
      <c r="F431" s="268"/>
      <c r="G431" s="268"/>
      <c r="H431" s="2"/>
      <c r="J431" s="11">
        <v>30</v>
      </c>
      <c r="K431" s="268">
        <v>2</v>
      </c>
      <c r="L431" s="268">
        <v>3</v>
      </c>
      <c r="M431" s="268">
        <v>2</v>
      </c>
      <c r="N431" s="268"/>
      <c r="O431" s="268"/>
      <c r="P431" s="268"/>
      <c r="Q431" s="268"/>
      <c r="R431" s="268"/>
      <c r="S431" s="268"/>
      <c r="T431" s="268"/>
      <c r="U431" s="268">
        <v>2</v>
      </c>
      <c r="V431" s="268">
        <v>2</v>
      </c>
      <c r="W431" s="5">
        <f t="shared" si="31"/>
        <v>6</v>
      </c>
      <c r="X431" s="5">
        <f t="shared" si="32"/>
        <v>0</v>
      </c>
      <c r="Y431" s="5">
        <f t="shared" si="30"/>
        <v>6</v>
      </c>
    </row>
    <row r="432" spans="1:25" ht="15.75" thickBot="1" x14ac:dyDescent="0.3">
      <c r="A432" s="60" t="s">
        <v>35</v>
      </c>
      <c r="B432" s="58"/>
      <c r="C432" s="5"/>
      <c r="D432" s="58"/>
      <c r="E432" s="58"/>
      <c r="F432" s="5"/>
      <c r="G432" s="58"/>
      <c r="H432" s="59"/>
      <c r="J432" s="530" t="s">
        <v>35</v>
      </c>
      <c r="K432" s="5">
        <f>SUM(K402:K431)-Q432</f>
        <v>83</v>
      </c>
      <c r="L432" s="5">
        <f>SUM(L402:L431)-R432</f>
        <v>64</v>
      </c>
      <c r="M432" s="5">
        <f t="shared" ref="M432:Y432" si="33">SUM(M402:M431)</f>
        <v>37</v>
      </c>
      <c r="N432" s="5">
        <f t="shared" si="33"/>
        <v>18</v>
      </c>
      <c r="O432" s="299">
        <f t="shared" si="33"/>
        <v>3</v>
      </c>
      <c r="P432" s="299">
        <f t="shared" si="33"/>
        <v>3</v>
      </c>
      <c r="Q432" s="299">
        <f t="shared" si="33"/>
        <v>9</v>
      </c>
      <c r="R432" s="299">
        <f t="shared" si="33"/>
        <v>5</v>
      </c>
      <c r="S432" s="5">
        <f t="shared" si="33"/>
        <v>0</v>
      </c>
      <c r="T432" s="5">
        <f t="shared" si="33"/>
        <v>1</v>
      </c>
      <c r="U432" s="5">
        <f t="shared" si="33"/>
        <v>42</v>
      </c>
      <c r="V432" s="5">
        <f t="shared" si="33"/>
        <v>45</v>
      </c>
      <c r="W432" s="5">
        <f t="shared" si="33"/>
        <v>168</v>
      </c>
      <c r="X432" s="5">
        <f t="shared" si="33"/>
        <v>39</v>
      </c>
      <c r="Y432" s="5">
        <f t="shared" si="33"/>
        <v>207</v>
      </c>
    </row>
    <row r="435" spans="1:25" ht="36" x14ac:dyDescent="0.55000000000000004">
      <c r="A435" s="605" t="s">
        <v>1</v>
      </c>
      <c r="B435" s="605"/>
      <c r="C435" s="605"/>
      <c r="D435" s="605"/>
      <c r="E435" s="605"/>
      <c r="F435" s="605"/>
      <c r="G435" s="605"/>
      <c r="H435" s="605"/>
      <c r="J435" s="633" t="s">
        <v>1</v>
      </c>
      <c r="K435" s="633"/>
      <c r="L435" s="633"/>
      <c r="M435" s="633"/>
      <c r="N435" s="633"/>
      <c r="O435" s="633"/>
      <c r="P435" s="633"/>
      <c r="Q435" s="633"/>
      <c r="R435" s="633"/>
      <c r="S435" s="633"/>
      <c r="T435" s="633"/>
      <c r="U435" s="633"/>
      <c r="V435" s="633"/>
      <c r="W435" s="633"/>
      <c r="X435" s="541"/>
      <c r="Y435" s="542"/>
    </row>
    <row r="436" spans="1:25" ht="27" thickBot="1" x14ac:dyDescent="0.45">
      <c r="A436" s="606" t="s">
        <v>0</v>
      </c>
      <c r="B436" s="606"/>
      <c r="C436" s="606"/>
      <c r="D436" s="606"/>
      <c r="E436" s="606"/>
      <c r="F436" s="606"/>
      <c r="G436" s="606"/>
      <c r="H436" s="606"/>
      <c r="J436" s="614" t="s">
        <v>0</v>
      </c>
      <c r="K436" s="614"/>
      <c r="L436" s="614"/>
      <c r="M436" s="614"/>
      <c r="N436" s="614"/>
      <c r="O436" s="614"/>
      <c r="P436" s="614"/>
      <c r="Q436" s="614"/>
      <c r="R436" s="614"/>
      <c r="S436" s="614"/>
      <c r="T436" s="614"/>
      <c r="U436" s="614"/>
      <c r="V436" s="614"/>
      <c r="W436" s="614"/>
      <c r="X436" s="533"/>
      <c r="Y436" s="543"/>
    </row>
    <row r="437" spans="1:25" ht="15.75" x14ac:dyDescent="0.25">
      <c r="A437" s="39" t="s">
        <v>2</v>
      </c>
      <c r="B437" s="19" t="s">
        <v>3</v>
      </c>
      <c r="C437" s="20"/>
      <c r="D437" s="21" t="s">
        <v>52</v>
      </c>
      <c r="E437" s="623" t="s">
        <v>53</v>
      </c>
      <c r="F437" s="624"/>
      <c r="G437" s="19" t="s">
        <v>16</v>
      </c>
      <c r="H437" s="32" t="s">
        <v>67</v>
      </c>
      <c r="J437" s="1" t="s">
        <v>2</v>
      </c>
      <c r="K437" s="4" t="s">
        <v>3</v>
      </c>
      <c r="L437" s="4"/>
      <c r="M437" s="5"/>
      <c r="N437" s="5"/>
      <c r="O437" s="1" t="s">
        <v>52</v>
      </c>
      <c r="P437" s="1"/>
      <c r="Q437" s="627" t="s">
        <v>53</v>
      </c>
      <c r="R437" s="627"/>
      <c r="S437" s="627"/>
      <c r="T437" s="531"/>
      <c r="U437" s="4" t="s">
        <v>16</v>
      </c>
      <c r="V437" s="4"/>
      <c r="W437" s="628" t="s">
        <v>1446</v>
      </c>
      <c r="X437" s="629"/>
      <c r="Y437" s="5"/>
    </row>
    <row r="438" spans="1:25" ht="15.75" x14ac:dyDescent="0.25">
      <c r="A438" s="609" t="s">
        <v>6</v>
      </c>
      <c r="B438" s="610"/>
      <c r="C438" s="610"/>
      <c r="D438" s="610"/>
      <c r="E438" s="610"/>
      <c r="F438" s="611"/>
      <c r="G438" s="1"/>
      <c r="H438" s="2">
        <f>H431</f>
        <v>0</v>
      </c>
      <c r="J438" s="620" t="s">
        <v>6</v>
      </c>
      <c r="K438" s="620"/>
      <c r="L438" s="620"/>
      <c r="M438" s="620"/>
      <c r="N438" s="620"/>
      <c r="O438" s="620"/>
      <c r="P438" s="620"/>
      <c r="Q438" s="620"/>
      <c r="R438" s="620"/>
      <c r="S438" s="620"/>
      <c r="T438" s="526"/>
      <c r="U438" s="1"/>
      <c r="V438" s="1"/>
      <c r="W438" s="532">
        <v>6</v>
      </c>
      <c r="X438" s="532">
        <v>0</v>
      </c>
      <c r="Y438" s="532">
        <v>6</v>
      </c>
    </row>
    <row r="439" spans="1:25" ht="15.75" x14ac:dyDescent="0.25">
      <c r="A439" s="3" t="s">
        <v>7</v>
      </c>
      <c r="B439" s="1"/>
      <c r="C439" s="1"/>
      <c r="D439" s="1"/>
      <c r="E439" s="1"/>
      <c r="F439" s="1"/>
      <c r="G439" s="1"/>
      <c r="H439" s="2">
        <v>10</v>
      </c>
      <c r="J439" s="1" t="s">
        <v>7</v>
      </c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532">
        <v>10</v>
      </c>
      <c r="X439" s="532">
        <v>10</v>
      </c>
      <c r="Y439" s="532">
        <v>20</v>
      </c>
    </row>
    <row r="440" spans="1:25" ht="51.75" customHeight="1" thickBot="1" x14ac:dyDescent="0.3">
      <c r="A440" s="40" t="s">
        <v>8</v>
      </c>
      <c r="B440" s="41" t="s">
        <v>9</v>
      </c>
      <c r="C440" s="41" t="s">
        <v>10</v>
      </c>
      <c r="D440" s="41" t="s">
        <v>11</v>
      </c>
      <c r="E440" s="41" t="s">
        <v>12</v>
      </c>
      <c r="F440" s="41" t="s">
        <v>13</v>
      </c>
      <c r="G440" s="41" t="s">
        <v>14</v>
      </c>
      <c r="H440" s="42" t="s">
        <v>15</v>
      </c>
      <c r="J440" s="9" t="s">
        <v>8</v>
      </c>
      <c r="K440" s="630" t="s">
        <v>1279</v>
      </c>
      <c r="L440" s="630"/>
      <c r="M440" s="630" t="s">
        <v>1280</v>
      </c>
      <c r="N440" s="630"/>
      <c r="O440" s="630" t="s">
        <v>1281</v>
      </c>
      <c r="P440" s="630"/>
      <c r="Q440" s="630" t="s">
        <v>1282</v>
      </c>
      <c r="R440" s="630"/>
      <c r="S440" s="630" t="s">
        <v>1283</v>
      </c>
      <c r="T440" s="630"/>
      <c r="U440" s="630" t="s">
        <v>1284</v>
      </c>
      <c r="V440" s="630"/>
      <c r="W440" s="631" t="s">
        <v>1285</v>
      </c>
      <c r="X440" s="632"/>
      <c r="Y440" s="5" t="s">
        <v>35</v>
      </c>
    </row>
    <row r="441" spans="1:25" x14ac:dyDescent="0.25">
      <c r="A441" s="36">
        <v>1</v>
      </c>
      <c r="B441" s="527"/>
      <c r="C441" s="527"/>
      <c r="D441" s="527"/>
      <c r="E441" s="527"/>
      <c r="F441" s="527"/>
      <c r="G441" s="527"/>
      <c r="H441" s="38">
        <f>H438+B441+F441-(C441+D441+G441)-E441</f>
        <v>0</v>
      </c>
      <c r="J441" s="11">
        <v>1</v>
      </c>
      <c r="K441" s="268">
        <v>3</v>
      </c>
      <c r="L441" s="268">
        <v>2</v>
      </c>
      <c r="M441" s="268">
        <v>1</v>
      </c>
      <c r="N441" s="268"/>
      <c r="O441" s="268"/>
      <c r="P441" s="268"/>
      <c r="Q441" s="268"/>
      <c r="R441" s="268"/>
      <c r="S441" s="268"/>
      <c r="T441" s="268"/>
      <c r="U441" s="268">
        <v>1</v>
      </c>
      <c r="V441" s="268">
        <v>2</v>
      </c>
      <c r="W441" s="5">
        <f>((W438+K441+S441)-(M441+O441+U441)-Q441)</f>
        <v>7</v>
      </c>
      <c r="X441" s="5">
        <f>((X438+L441+T441)-(N441+P441+V441)-R441)</f>
        <v>0</v>
      </c>
      <c r="Y441" s="5">
        <f>SUM(W441:X441)</f>
        <v>7</v>
      </c>
    </row>
    <row r="442" spans="1:25" x14ac:dyDescent="0.25">
      <c r="A442" s="26">
        <v>2</v>
      </c>
      <c r="B442" s="268"/>
      <c r="C442" s="268"/>
      <c r="D442" s="268"/>
      <c r="E442" s="268"/>
      <c r="F442" s="268"/>
      <c r="G442" s="268"/>
      <c r="H442" s="2">
        <f>H441+B442+F442-(C442+D442+G442)-E442</f>
        <v>0</v>
      </c>
      <c r="J442" s="11">
        <v>2</v>
      </c>
      <c r="K442" s="268">
        <v>4</v>
      </c>
      <c r="L442" s="268">
        <v>2</v>
      </c>
      <c r="M442" s="268">
        <v>1</v>
      </c>
      <c r="N442" s="268">
        <v>1</v>
      </c>
      <c r="O442" s="268"/>
      <c r="P442" s="268"/>
      <c r="Q442" s="268"/>
      <c r="R442" s="268"/>
      <c r="S442" s="268"/>
      <c r="T442" s="268"/>
      <c r="U442" s="268">
        <v>1</v>
      </c>
      <c r="V442" s="268">
        <v>1</v>
      </c>
      <c r="W442" s="5">
        <f>((W441+K442+S442)-(M442+O442+U442)-Q442)</f>
        <v>9</v>
      </c>
      <c r="X442" s="5">
        <f>((X441+L442+T442)-(N442+P442+V442)-R442)</f>
        <v>0</v>
      </c>
      <c r="Y442" s="5">
        <f t="shared" ref="Y442:Y471" si="34">SUM(W442:X442)</f>
        <v>9</v>
      </c>
    </row>
    <row r="443" spans="1:25" x14ac:dyDescent="0.25">
      <c r="A443" s="26">
        <v>3</v>
      </c>
      <c r="B443" s="268"/>
      <c r="C443" s="268"/>
      <c r="D443" s="268"/>
      <c r="E443" s="268"/>
      <c r="F443" s="268"/>
      <c r="G443" s="268"/>
      <c r="H443" s="2">
        <f>H442+B443+F443-(C443+D443+G443)-E443</f>
        <v>0</v>
      </c>
      <c r="J443" s="11">
        <v>3</v>
      </c>
      <c r="K443" s="268">
        <v>2</v>
      </c>
      <c r="L443" s="268">
        <v>2</v>
      </c>
      <c r="M443" s="268"/>
      <c r="N443" s="268">
        <v>1</v>
      </c>
      <c r="O443" s="268">
        <v>1</v>
      </c>
      <c r="P443" s="268"/>
      <c r="Q443" s="268"/>
      <c r="R443" s="268"/>
      <c r="S443" s="268"/>
      <c r="T443" s="268"/>
      <c r="U443" s="268">
        <v>4</v>
      </c>
      <c r="V443" s="268">
        <v>1</v>
      </c>
      <c r="W443" s="5">
        <f t="shared" ref="W443:W471" si="35">((W442+K443+S443)-(M443+O443+U443)-Q443)</f>
        <v>6</v>
      </c>
      <c r="X443" s="5">
        <f t="shared" ref="X443:X471" si="36">((X442+L443+T443)-(N443+P443+V443)-R443)</f>
        <v>0</v>
      </c>
      <c r="Y443" s="5">
        <f t="shared" si="34"/>
        <v>6</v>
      </c>
    </row>
    <row r="444" spans="1:25" x14ac:dyDescent="0.25">
      <c r="A444" s="26">
        <v>4</v>
      </c>
      <c r="B444" s="268"/>
      <c r="C444" s="268"/>
      <c r="D444" s="268"/>
      <c r="E444" s="268"/>
      <c r="F444" s="268"/>
      <c r="G444" s="268"/>
      <c r="H444" s="2">
        <f t="shared" ref="H444:H471" si="37">H443+B444+F444-(C444+D444+G444)-E444</f>
        <v>0</v>
      </c>
      <c r="J444" s="11">
        <v>4</v>
      </c>
      <c r="K444" s="268">
        <v>5</v>
      </c>
      <c r="L444" s="268">
        <v>2</v>
      </c>
      <c r="M444" s="268">
        <v>3</v>
      </c>
      <c r="N444" s="268">
        <v>1</v>
      </c>
      <c r="O444" s="268"/>
      <c r="P444" s="268"/>
      <c r="Q444" s="268"/>
      <c r="R444" s="268"/>
      <c r="S444" s="268"/>
      <c r="T444" s="268"/>
      <c r="U444" s="268">
        <v>1</v>
      </c>
      <c r="V444" s="268">
        <v>1</v>
      </c>
      <c r="W444" s="5">
        <f t="shared" si="35"/>
        <v>7</v>
      </c>
      <c r="X444" s="5">
        <f t="shared" si="36"/>
        <v>0</v>
      </c>
      <c r="Y444" s="5">
        <f t="shared" si="34"/>
        <v>7</v>
      </c>
    </row>
    <row r="445" spans="1:25" x14ac:dyDescent="0.25">
      <c r="A445" s="26">
        <v>5</v>
      </c>
      <c r="B445" s="268"/>
      <c r="C445" s="268"/>
      <c r="D445" s="268"/>
      <c r="E445" s="268"/>
      <c r="F445" s="268"/>
      <c r="G445" s="268"/>
      <c r="H445" s="2">
        <f t="shared" si="37"/>
        <v>0</v>
      </c>
      <c r="J445" s="11">
        <v>5</v>
      </c>
      <c r="K445" s="268">
        <v>1</v>
      </c>
      <c r="L445" s="268">
        <v>2</v>
      </c>
      <c r="M445" s="268">
        <v>1</v>
      </c>
      <c r="N445" s="268"/>
      <c r="O445" s="268"/>
      <c r="P445" s="268"/>
      <c r="Q445" s="268"/>
      <c r="R445" s="268"/>
      <c r="S445" s="268"/>
      <c r="T445" s="268"/>
      <c r="U445" s="268">
        <v>2</v>
      </c>
      <c r="V445" s="268">
        <v>2</v>
      </c>
      <c r="W445" s="5">
        <f t="shared" si="35"/>
        <v>5</v>
      </c>
      <c r="X445" s="5">
        <f t="shared" si="36"/>
        <v>0</v>
      </c>
      <c r="Y445" s="5">
        <f t="shared" si="34"/>
        <v>5</v>
      </c>
    </row>
    <row r="446" spans="1:25" x14ac:dyDescent="0.25">
      <c r="A446" s="26">
        <v>6</v>
      </c>
      <c r="B446" s="268"/>
      <c r="C446" s="268"/>
      <c r="D446" s="268"/>
      <c r="E446" s="268"/>
      <c r="F446" s="268"/>
      <c r="G446" s="268"/>
      <c r="H446" s="2">
        <f t="shared" si="37"/>
        <v>0</v>
      </c>
      <c r="J446" s="11">
        <v>6</v>
      </c>
      <c r="K446" s="268">
        <v>4</v>
      </c>
      <c r="L446" s="268"/>
      <c r="M446" s="268"/>
      <c r="N446" s="268"/>
      <c r="O446" s="268"/>
      <c r="P446" s="268"/>
      <c r="Q446" s="268"/>
      <c r="R446" s="268"/>
      <c r="S446" s="268"/>
      <c r="T446" s="268"/>
      <c r="U446" s="268">
        <v>2</v>
      </c>
      <c r="V446" s="268"/>
      <c r="W446" s="5">
        <f t="shared" si="35"/>
        <v>7</v>
      </c>
      <c r="X446" s="5">
        <f t="shared" si="36"/>
        <v>0</v>
      </c>
      <c r="Y446" s="5">
        <f t="shared" si="34"/>
        <v>7</v>
      </c>
    </row>
    <row r="447" spans="1:25" x14ac:dyDescent="0.25">
      <c r="A447" s="26">
        <v>7</v>
      </c>
      <c r="B447" s="268"/>
      <c r="C447" s="268"/>
      <c r="D447" s="268"/>
      <c r="E447" s="268"/>
      <c r="F447" s="268"/>
      <c r="G447" s="268"/>
      <c r="H447" s="2">
        <f t="shared" si="37"/>
        <v>0</v>
      </c>
      <c r="J447" s="11">
        <v>7</v>
      </c>
      <c r="K447" s="268">
        <v>6</v>
      </c>
      <c r="L447" s="268">
        <v>3</v>
      </c>
      <c r="M447" s="268"/>
      <c r="N447" s="268"/>
      <c r="O447" s="268"/>
      <c r="P447" s="268"/>
      <c r="Q447" s="268">
        <v>1</v>
      </c>
      <c r="R447" s="268"/>
      <c r="S447" s="268"/>
      <c r="T447" s="268"/>
      <c r="U447" s="268">
        <v>3</v>
      </c>
      <c r="V447" s="268">
        <v>3</v>
      </c>
      <c r="W447" s="5">
        <f t="shared" si="35"/>
        <v>9</v>
      </c>
      <c r="X447" s="5">
        <f t="shared" si="36"/>
        <v>0</v>
      </c>
      <c r="Y447" s="5">
        <f t="shared" si="34"/>
        <v>9</v>
      </c>
    </row>
    <row r="448" spans="1:25" x14ac:dyDescent="0.25">
      <c r="A448" s="26">
        <v>8</v>
      </c>
      <c r="B448" s="268"/>
      <c r="C448" s="268"/>
      <c r="D448" s="268"/>
      <c r="E448" s="268"/>
      <c r="F448" s="268"/>
      <c r="G448" s="268"/>
      <c r="H448" s="2">
        <f t="shared" si="37"/>
        <v>0</v>
      </c>
      <c r="J448" s="11">
        <v>8</v>
      </c>
      <c r="K448" s="268">
        <v>2</v>
      </c>
      <c r="L448" s="268">
        <v>2</v>
      </c>
      <c r="M448" s="268">
        <v>1</v>
      </c>
      <c r="N448" s="268"/>
      <c r="O448" s="268"/>
      <c r="P448" s="268">
        <v>1</v>
      </c>
      <c r="Q448" s="268"/>
      <c r="R448" s="268"/>
      <c r="S448" s="268"/>
      <c r="T448" s="268"/>
      <c r="U448" s="268">
        <v>2</v>
      </c>
      <c r="V448" s="268">
        <v>1</v>
      </c>
      <c r="W448" s="5">
        <f t="shared" si="35"/>
        <v>8</v>
      </c>
      <c r="X448" s="5">
        <f t="shared" si="36"/>
        <v>0</v>
      </c>
      <c r="Y448" s="5">
        <f t="shared" si="34"/>
        <v>8</v>
      </c>
    </row>
    <row r="449" spans="1:25" x14ac:dyDescent="0.25">
      <c r="A449" s="26">
        <v>9</v>
      </c>
      <c r="B449" s="268"/>
      <c r="C449" s="268"/>
      <c r="D449" s="268"/>
      <c r="E449" s="268"/>
      <c r="F449" s="268"/>
      <c r="G449" s="268"/>
      <c r="H449" s="2">
        <f t="shared" si="37"/>
        <v>0</v>
      </c>
      <c r="J449" s="11">
        <v>9</v>
      </c>
      <c r="K449" s="268">
        <v>5</v>
      </c>
      <c r="L449" s="268">
        <v>1</v>
      </c>
      <c r="M449" s="268">
        <v>1</v>
      </c>
      <c r="N449" s="268"/>
      <c r="O449" s="268">
        <v>1</v>
      </c>
      <c r="P449" s="268"/>
      <c r="Q449" s="268"/>
      <c r="R449" s="268"/>
      <c r="S449" s="268"/>
      <c r="T449" s="268"/>
      <c r="U449" s="268">
        <v>2</v>
      </c>
      <c r="V449" s="268">
        <v>1</v>
      </c>
      <c r="W449" s="5">
        <f t="shared" si="35"/>
        <v>9</v>
      </c>
      <c r="X449" s="5">
        <f t="shared" si="36"/>
        <v>0</v>
      </c>
      <c r="Y449" s="5">
        <f t="shared" si="34"/>
        <v>9</v>
      </c>
    </row>
    <row r="450" spans="1:25" x14ac:dyDescent="0.25">
      <c r="A450" s="26">
        <v>10</v>
      </c>
      <c r="B450" s="268"/>
      <c r="C450" s="268"/>
      <c r="D450" s="268"/>
      <c r="E450" s="268"/>
      <c r="F450" s="268"/>
      <c r="G450" s="268"/>
      <c r="H450" s="2">
        <f t="shared" si="37"/>
        <v>0</v>
      </c>
      <c r="J450" s="11">
        <v>10</v>
      </c>
      <c r="K450" s="268">
        <v>2</v>
      </c>
      <c r="L450" s="268">
        <v>2</v>
      </c>
      <c r="M450" s="268"/>
      <c r="N450" s="268">
        <v>1</v>
      </c>
      <c r="O450" s="268"/>
      <c r="P450" s="268"/>
      <c r="Q450" s="268"/>
      <c r="R450" s="268"/>
      <c r="S450" s="268"/>
      <c r="T450" s="268"/>
      <c r="U450" s="268">
        <v>2</v>
      </c>
      <c r="V450" s="268">
        <v>1</v>
      </c>
      <c r="W450" s="5">
        <f t="shared" si="35"/>
        <v>9</v>
      </c>
      <c r="X450" s="5">
        <f t="shared" si="36"/>
        <v>0</v>
      </c>
      <c r="Y450" s="5">
        <f t="shared" si="34"/>
        <v>9</v>
      </c>
    </row>
    <row r="451" spans="1:25" x14ac:dyDescent="0.25">
      <c r="A451" s="26">
        <v>11</v>
      </c>
      <c r="B451" s="268"/>
      <c r="C451" s="268"/>
      <c r="D451" s="268"/>
      <c r="E451" s="268"/>
      <c r="F451" s="268"/>
      <c r="G451" s="268"/>
      <c r="H451" s="2">
        <f t="shared" si="37"/>
        <v>0</v>
      </c>
      <c r="J451" s="11">
        <v>11</v>
      </c>
      <c r="K451" s="268">
        <v>5</v>
      </c>
      <c r="L451" s="268">
        <v>4</v>
      </c>
      <c r="M451" s="268">
        <v>2</v>
      </c>
      <c r="N451" s="268"/>
      <c r="O451" s="268"/>
      <c r="P451" s="268"/>
      <c r="Q451" s="268"/>
      <c r="R451" s="268"/>
      <c r="S451" s="268"/>
      <c r="T451" s="268"/>
      <c r="U451" s="268">
        <v>3</v>
      </c>
      <c r="V451" s="268">
        <v>3</v>
      </c>
      <c r="W451" s="5">
        <f t="shared" si="35"/>
        <v>9</v>
      </c>
      <c r="X451" s="5">
        <f t="shared" si="36"/>
        <v>1</v>
      </c>
      <c r="Y451" s="5">
        <f t="shared" si="34"/>
        <v>10</v>
      </c>
    </row>
    <row r="452" spans="1:25" x14ac:dyDescent="0.25">
      <c r="A452" s="26">
        <v>12</v>
      </c>
      <c r="B452" s="268"/>
      <c r="C452" s="268"/>
      <c r="D452" s="268"/>
      <c r="E452" s="268"/>
      <c r="F452" s="268"/>
      <c r="G452" s="268"/>
      <c r="H452" s="2">
        <f t="shared" si="37"/>
        <v>0</v>
      </c>
      <c r="J452" s="11">
        <v>12</v>
      </c>
      <c r="K452" s="268">
        <v>5</v>
      </c>
      <c r="L452" s="268">
        <v>2</v>
      </c>
      <c r="M452" s="268">
        <v>2</v>
      </c>
      <c r="N452" s="268"/>
      <c r="O452" s="268">
        <v>1</v>
      </c>
      <c r="P452" s="268"/>
      <c r="Q452" s="268"/>
      <c r="R452" s="268"/>
      <c r="S452" s="268"/>
      <c r="T452" s="268"/>
      <c r="U452" s="268">
        <v>2</v>
      </c>
      <c r="V452" s="268">
        <v>2</v>
      </c>
      <c r="W452" s="5">
        <f t="shared" si="35"/>
        <v>9</v>
      </c>
      <c r="X452" s="5">
        <f t="shared" si="36"/>
        <v>1</v>
      </c>
      <c r="Y452" s="5">
        <f t="shared" si="34"/>
        <v>10</v>
      </c>
    </row>
    <row r="453" spans="1:25" x14ac:dyDescent="0.25">
      <c r="A453" s="26">
        <v>13</v>
      </c>
      <c r="B453" s="268"/>
      <c r="C453" s="268"/>
      <c r="D453" s="268"/>
      <c r="E453" s="268"/>
      <c r="F453" s="268"/>
      <c r="G453" s="268"/>
      <c r="H453" s="2">
        <f t="shared" si="37"/>
        <v>0</v>
      </c>
      <c r="J453" s="11">
        <v>13</v>
      </c>
      <c r="K453" s="268">
        <v>0</v>
      </c>
      <c r="L453" s="268">
        <v>3</v>
      </c>
      <c r="M453" s="268">
        <v>1</v>
      </c>
      <c r="N453" s="268">
        <v>1</v>
      </c>
      <c r="O453" s="268"/>
      <c r="P453" s="268"/>
      <c r="Q453" s="268"/>
      <c r="R453" s="268"/>
      <c r="S453" s="268"/>
      <c r="T453" s="268"/>
      <c r="U453" s="268">
        <v>2</v>
      </c>
      <c r="V453" s="268">
        <v>3</v>
      </c>
      <c r="W453" s="5">
        <f t="shared" si="35"/>
        <v>6</v>
      </c>
      <c r="X453" s="5">
        <f t="shared" si="36"/>
        <v>0</v>
      </c>
      <c r="Y453" s="5">
        <f t="shared" si="34"/>
        <v>6</v>
      </c>
    </row>
    <row r="454" spans="1:25" x14ac:dyDescent="0.25">
      <c r="A454" s="26">
        <v>14</v>
      </c>
      <c r="B454" s="268"/>
      <c r="C454" s="268"/>
      <c r="D454" s="268"/>
      <c r="E454" s="268"/>
      <c r="F454" s="268"/>
      <c r="G454" s="268"/>
      <c r="H454" s="2">
        <f t="shared" si="37"/>
        <v>0</v>
      </c>
      <c r="J454" s="11">
        <v>14</v>
      </c>
      <c r="K454" s="268">
        <v>3</v>
      </c>
      <c r="L454" s="268">
        <v>1</v>
      </c>
      <c r="M454" s="268"/>
      <c r="N454" s="268"/>
      <c r="O454" s="268"/>
      <c r="P454" s="268"/>
      <c r="Q454" s="268"/>
      <c r="R454" s="268"/>
      <c r="S454" s="268"/>
      <c r="T454" s="268"/>
      <c r="U454" s="268">
        <v>2</v>
      </c>
      <c r="V454" s="268"/>
      <c r="W454" s="5">
        <f t="shared" si="35"/>
        <v>7</v>
      </c>
      <c r="X454" s="5">
        <f t="shared" si="36"/>
        <v>1</v>
      </c>
      <c r="Y454" s="5">
        <f t="shared" si="34"/>
        <v>8</v>
      </c>
    </row>
    <row r="455" spans="1:25" x14ac:dyDescent="0.25">
      <c r="A455" s="26">
        <v>15</v>
      </c>
      <c r="B455" s="268"/>
      <c r="C455" s="268"/>
      <c r="D455" s="268"/>
      <c r="E455" s="268"/>
      <c r="F455" s="268"/>
      <c r="G455" s="268"/>
      <c r="H455" s="2">
        <f t="shared" si="37"/>
        <v>0</v>
      </c>
      <c r="J455" s="11">
        <v>15</v>
      </c>
      <c r="K455" s="268">
        <v>4</v>
      </c>
      <c r="L455" s="268">
        <v>2</v>
      </c>
      <c r="M455" s="268"/>
      <c r="N455" s="268"/>
      <c r="O455" s="268"/>
      <c r="P455" s="268"/>
      <c r="Q455" s="268"/>
      <c r="R455" s="268"/>
      <c r="S455" s="268"/>
      <c r="T455" s="268"/>
      <c r="U455" s="268"/>
      <c r="V455" s="268">
        <v>1</v>
      </c>
      <c r="W455" s="5">
        <f t="shared" si="35"/>
        <v>11</v>
      </c>
      <c r="X455" s="5">
        <f t="shared" si="36"/>
        <v>2</v>
      </c>
      <c r="Y455" s="5">
        <f t="shared" si="34"/>
        <v>13</v>
      </c>
    </row>
    <row r="456" spans="1:25" x14ac:dyDescent="0.25">
      <c r="A456" s="26">
        <v>16</v>
      </c>
      <c r="B456" s="268"/>
      <c r="C456" s="268"/>
      <c r="D456" s="268"/>
      <c r="E456" s="268"/>
      <c r="F456" s="268"/>
      <c r="G456" s="268"/>
      <c r="H456" s="2">
        <f t="shared" si="37"/>
        <v>0</v>
      </c>
      <c r="J456" s="11">
        <v>16</v>
      </c>
      <c r="K456" s="268">
        <v>3</v>
      </c>
      <c r="L456" s="268">
        <v>3</v>
      </c>
      <c r="M456" s="268">
        <v>1</v>
      </c>
      <c r="N456" s="268"/>
      <c r="O456" s="268"/>
      <c r="P456" s="268"/>
      <c r="Q456" s="268">
        <v>2</v>
      </c>
      <c r="R456" s="268"/>
      <c r="S456" s="268"/>
      <c r="T456" s="268"/>
      <c r="U456" s="268">
        <v>4</v>
      </c>
      <c r="V456" s="268">
        <v>2</v>
      </c>
      <c r="W456" s="5">
        <f t="shared" si="35"/>
        <v>7</v>
      </c>
      <c r="X456" s="5">
        <f t="shared" si="36"/>
        <v>3</v>
      </c>
      <c r="Y456" s="5">
        <f t="shared" si="34"/>
        <v>10</v>
      </c>
    </row>
    <row r="457" spans="1:25" x14ac:dyDescent="0.25">
      <c r="A457" s="26">
        <v>17</v>
      </c>
      <c r="B457" s="268"/>
      <c r="C457" s="268"/>
      <c r="D457" s="268"/>
      <c r="E457" s="268"/>
      <c r="F457" s="268"/>
      <c r="G457" s="268"/>
      <c r="H457" s="2">
        <f t="shared" si="37"/>
        <v>0</v>
      </c>
      <c r="J457" s="11">
        <v>17</v>
      </c>
      <c r="K457" s="268">
        <v>5</v>
      </c>
      <c r="L457" s="268">
        <v>2</v>
      </c>
      <c r="M457" s="268">
        <v>1</v>
      </c>
      <c r="N457" s="268"/>
      <c r="O457" s="268">
        <v>1</v>
      </c>
      <c r="P457" s="268"/>
      <c r="Q457" s="268"/>
      <c r="R457" s="268"/>
      <c r="S457" s="268"/>
      <c r="T457" s="268"/>
      <c r="U457" s="268">
        <v>4</v>
      </c>
      <c r="V457" s="268">
        <v>1</v>
      </c>
      <c r="W457" s="5">
        <f t="shared" si="35"/>
        <v>6</v>
      </c>
      <c r="X457" s="5">
        <f t="shared" si="36"/>
        <v>4</v>
      </c>
      <c r="Y457" s="5">
        <f t="shared" si="34"/>
        <v>10</v>
      </c>
    </row>
    <row r="458" spans="1:25" x14ac:dyDescent="0.25">
      <c r="A458" s="26">
        <v>18</v>
      </c>
      <c r="B458" s="268"/>
      <c r="C458" s="268"/>
      <c r="D458" s="268"/>
      <c r="E458" s="268"/>
      <c r="F458" s="268"/>
      <c r="G458" s="268"/>
      <c r="H458" s="2">
        <f t="shared" si="37"/>
        <v>0</v>
      </c>
      <c r="J458" s="11">
        <v>18</v>
      </c>
      <c r="K458" s="268">
        <v>2</v>
      </c>
      <c r="L458" s="268">
        <v>2</v>
      </c>
      <c r="M458" s="268">
        <v>3</v>
      </c>
      <c r="N458" s="268"/>
      <c r="O458" s="268"/>
      <c r="P458" s="268"/>
      <c r="Q458" s="268"/>
      <c r="R458" s="268"/>
      <c r="S458" s="268"/>
      <c r="T458" s="268"/>
      <c r="U458" s="268">
        <v>3</v>
      </c>
      <c r="V458" s="268">
        <v>1</v>
      </c>
      <c r="W458" s="5">
        <f t="shared" si="35"/>
        <v>2</v>
      </c>
      <c r="X458" s="5">
        <f t="shared" si="36"/>
        <v>5</v>
      </c>
      <c r="Y458" s="5">
        <f t="shared" si="34"/>
        <v>7</v>
      </c>
    </row>
    <row r="459" spans="1:25" x14ac:dyDescent="0.25">
      <c r="A459" s="26">
        <v>19</v>
      </c>
      <c r="B459" s="268"/>
      <c r="C459" s="268"/>
      <c r="D459" s="268"/>
      <c r="E459" s="268"/>
      <c r="F459" s="268"/>
      <c r="G459" s="268"/>
      <c r="H459" s="2">
        <f t="shared" si="37"/>
        <v>0</v>
      </c>
      <c r="J459" s="11">
        <v>19</v>
      </c>
      <c r="K459" s="268">
        <v>2</v>
      </c>
      <c r="L459" s="268">
        <v>2</v>
      </c>
      <c r="M459" s="268"/>
      <c r="N459" s="268">
        <v>1</v>
      </c>
      <c r="O459" s="268"/>
      <c r="P459" s="268"/>
      <c r="Q459" s="268"/>
      <c r="R459" s="268"/>
      <c r="S459" s="268"/>
      <c r="T459" s="268"/>
      <c r="U459" s="268">
        <v>2</v>
      </c>
      <c r="V459" s="268"/>
      <c r="W459" s="5">
        <f t="shared" si="35"/>
        <v>2</v>
      </c>
      <c r="X459" s="5">
        <f t="shared" si="36"/>
        <v>6</v>
      </c>
      <c r="Y459" s="5">
        <f t="shared" si="34"/>
        <v>8</v>
      </c>
    </row>
    <row r="460" spans="1:25" x14ac:dyDescent="0.25">
      <c r="A460" s="26">
        <v>20</v>
      </c>
      <c r="B460" s="268"/>
      <c r="C460" s="268"/>
      <c r="D460" s="268"/>
      <c r="E460" s="268"/>
      <c r="F460" s="268"/>
      <c r="G460" s="268"/>
      <c r="H460" s="2">
        <f t="shared" si="37"/>
        <v>0</v>
      </c>
      <c r="J460" s="11">
        <v>20</v>
      </c>
      <c r="K460" s="268">
        <v>3</v>
      </c>
      <c r="L460" s="268"/>
      <c r="M460" s="268"/>
      <c r="N460" s="268"/>
      <c r="O460" s="268"/>
      <c r="P460" s="268"/>
      <c r="Q460" s="268"/>
      <c r="R460" s="268"/>
      <c r="S460" s="268"/>
      <c r="T460" s="268"/>
      <c r="U460" s="268">
        <v>1</v>
      </c>
      <c r="V460" s="268"/>
      <c r="W460" s="5">
        <f t="shared" si="35"/>
        <v>4</v>
      </c>
      <c r="X460" s="5">
        <f t="shared" si="36"/>
        <v>6</v>
      </c>
      <c r="Y460" s="5">
        <f t="shared" si="34"/>
        <v>10</v>
      </c>
    </row>
    <row r="461" spans="1:25" x14ac:dyDescent="0.25">
      <c r="A461" s="26">
        <v>21</v>
      </c>
      <c r="B461" s="268"/>
      <c r="C461" s="268"/>
      <c r="D461" s="268"/>
      <c r="E461" s="268"/>
      <c r="F461" s="268"/>
      <c r="G461" s="268"/>
      <c r="H461" s="2">
        <f t="shared" si="37"/>
        <v>0</v>
      </c>
      <c r="J461" s="11">
        <v>21</v>
      </c>
      <c r="K461" s="268"/>
      <c r="L461" s="268">
        <v>1</v>
      </c>
      <c r="M461" s="268"/>
      <c r="N461" s="268"/>
      <c r="O461" s="268"/>
      <c r="P461" s="268">
        <v>1</v>
      </c>
      <c r="Q461" s="268"/>
      <c r="R461" s="268"/>
      <c r="S461" s="268"/>
      <c r="T461" s="268"/>
      <c r="U461" s="268">
        <v>1</v>
      </c>
      <c r="V461" s="268">
        <v>1</v>
      </c>
      <c r="W461" s="5">
        <f t="shared" si="35"/>
        <v>3</v>
      </c>
      <c r="X461" s="5">
        <f t="shared" si="36"/>
        <v>5</v>
      </c>
      <c r="Y461" s="5">
        <f t="shared" si="34"/>
        <v>8</v>
      </c>
    </row>
    <row r="462" spans="1:25" x14ac:dyDescent="0.25">
      <c r="A462" s="26">
        <v>22</v>
      </c>
      <c r="B462" s="268"/>
      <c r="C462" s="268"/>
      <c r="D462" s="268"/>
      <c r="E462" s="268"/>
      <c r="F462" s="268"/>
      <c r="G462" s="268"/>
      <c r="H462" s="2">
        <f t="shared" si="37"/>
        <v>0</v>
      </c>
      <c r="J462" s="11">
        <v>22</v>
      </c>
      <c r="K462" s="268">
        <v>2</v>
      </c>
      <c r="L462" s="268">
        <v>2</v>
      </c>
      <c r="M462" s="268"/>
      <c r="N462" s="268"/>
      <c r="O462" s="268"/>
      <c r="P462" s="268"/>
      <c r="Q462" s="268"/>
      <c r="R462" s="268"/>
      <c r="S462" s="268"/>
      <c r="T462" s="268"/>
      <c r="U462" s="268">
        <v>2</v>
      </c>
      <c r="V462" s="268">
        <v>2</v>
      </c>
      <c r="W462" s="5">
        <f t="shared" si="35"/>
        <v>3</v>
      </c>
      <c r="X462" s="5">
        <f t="shared" si="36"/>
        <v>5</v>
      </c>
      <c r="Y462" s="5">
        <f t="shared" si="34"/>
        <v>8</v>
      </c>
    </row>
    <row r="463" spans="1:25" x14ac:dyDescent="0.25">
      <c r="A463" s="26">
        <v>23</v>
      </c>
      <c r="B463" s="268"/>
      <c r="C463" s="268"/>
      <c r="D463" s="268"/>
      <c r="E463" s="268"/>
      <c r="F463" s="268"/>
      <c r="G463" s="268"/>
      <c r="H463" s="2">
        <f t="shared" si="37"/>
        <v>0</v>
      </c>
      <c r="J463" s="11">
        <v>23</v>
      </c>
      <c r="K463" s="268">
        <v>1</v>
      </c>
      <c r="L463" s="268">
        <v>2</v>
      </c>
      <c r="M463" s="268">
        <v>2</v>
      </c>
      <c r="N463" s="268"/>
      <c r="O463" s="268"/>
      <c r="P463" s="268"/>
      <c r="Q463" s="268"/>
      <c r="R463" s="268"/>
      <c r="S463" s="268"/>
      <c r="T463" s="268"/>
      <c r="U463" s="268">
        <v>1</v>
      </c>
      <c r="V463" s="268">
        <v>1</v>
      </c>
      <c r="W463" s="5">
        <f t="shared" si="35"/>
        <v>1</v>
      </c>
      <c r="X463" s="5">
        <f t="shared" si="36"/>
        <v>6</v>
      </c>
      <c r="Y463" s="5">
        <f t="shared" si="34"/>
        <v>7</v>
      </c>
    </row>
    <row r="464" spans="1:25" x14ac:dyDescent="0.25">
      <c r="A464" s="26">
        <v>24</v>
      </c>
      <c r="B464" s="268"/>
      <c r="C464" s="268"/>
      <c r="D464" s="268"/>
      <c r="E464" s="268"/>
      <c r="F464" s="268"/>
      <c r="G464" s="268"/>
      <c r="H464" s="2">
        <f t="shared" si="37"/>
        <v>0</v>
      </c>
      <c r="J464" s="11">
        <v>24</v>
      </c>
      <c r="K464" s="268">
        <v>1</v>
      </c>
      <c r="L464" s="268">
        <v>2</v>
      </c>
      <c r="M464" s="268"/>
      <c r="N464" s="268"/>
      <c r="O464" s="268"/>
      <c r="P464" s="268"/>
      <c r="Q464" s="268"/>
      <c r="R464" s="268">
        <v>1</v>
      </c>
      <c r="S464" s="268"/>
      <c r="T464" s="268"/>
      <c r="U464" s="268"/>
      <c r="V464" s="268">
        <v>2</v>
      </c>
      <c r="W464" s="5">
        <f t="shared" si="35"/>
        <v>2</v>
      </c>
      <c r="X464" s="5">
        <f t="shared" si="36"/>
        <v>5</v>
      </c>
      <c r="Y464" s="5">
        <f t="shared" si="34"/>
        <v>7</v>
      </c>
    </row>
    <row r="465" spans="1:25" x14ac:dyDescent="0.25">
      <c r="A465" s="26">
        <v>25</v>
      </c>
      <c r="B465" s="268"/>
      <c r="C465" s="268"/>
      <c r="D465" s="268"/>
      <c r="E465" s="268"/>
      <c r="F465" s="268"/>
      <c r="G465" s="268"/>
      <c r="H465" s="2">
        <f t="shared" si="37"/>
        <v>0</v>
      </c>
      <c r="J465" s="11">
        <v>25</v>
      </c>
      <c r="K465" s="268">
        <v>3</v>
      </c>
      <c r="L465" s="268">
        <v>3</v>
      </c>
      <c r="M465" s="268"/>
      <c r="N465" s="268">
        <v>1</v>
      </c>
      <c r="O465" s="268"/>
      <c r="P465" s="268"/>
      <c r="Q465" s="268"/>
      <c r="R465" s="268"/>
      <c r="S465" s="268"/>
      <c r="T465" s="268"/>
      <c r="U465" s="268">
        <v>5</v>
      </c>
      <c r="V465" s="268">
        <v>1</v>
      </c>
      <c r="W465" s="5">
        <f t="shared" si="35"/>
        <v>0</v>
      </c>
      <c r="X465" s="5">
        <f t="shared" si="36"/>
        <v>6</v>
      </c>
      <c r="Y465" s="5">
        <f t="shared" si="34"/>
        <v>6</v>
      </c>
    </row>
    <row r="466" spans="1:25" x14ac:dyDescent="0.25">
      <c r="A466" s="26">
        <v>26</v>
      </c>
      <c r="B466" s="268"/>
      <c r="C466" s="268"/>
      <c r="D466" s="268"/>
      <c r="E466" s="268"/>
      <c r="F466" s="268"/>
      <c r="G466" s="268"/>
      <c r="H466" s="2">
        <f t="shared" si="37"/>
        <v>0</v>
      </c>
      <c r="J466" s="11">
        <v>26</v>
      </c>
      <c r="K466" s="268">
        <v>4</v>
      </c>
      <c r="L466" s="268">
        <v>1</v>
      </c>
      <c r="M466" s="268"/>
      <c r="N466" s="268"/>
      <c r="O466" s="268"/>
      <c r="P466" s="268"/>
      <c r="Q466" s="268"/>
      <c r="R466" s="268"/>
      <c r="S466" s="268"/>
      <c r="T466" s="268"/>
      <c r="U466" s="268">
        <v>2</v>
      </c>
      <c r="V466" s="268">
        <v>1</v>
      </c>
      <c r="W466" s="5">
        <f t="shared" si="35"/>
        <v>2</v>
      </c>
      <c r="X466" s="5">
        <f t="shared" si="36"/>
        <v>6</v>
      </c>
      <c r="Y466" s="5">
        <f t="shared" si="34"/>
        <v>8</v>
      </c>
    </row>
    <row r="467" spans="1:25" x14ac:dyDescent="0.25">
      <c r="A467" s="26">
        <v>27</v>
      </c>
      <c r="B467" s="268"/>
      <c r="C467" s="268"/>
      <c r="D467" s="268"/>
      <c r="E467" s="268"/>
      <c r="F467" s="268"/>
      <c r="G467" s="268"/>
      <c r="H467" s="2">
        <f t="shared" si="37"/>
        <v>0</v>
      </c>
      <c r="J467" s="11">
        <v>27</v>
      </c>
      <c r="K467" s="268">
        <v>3</v>
      </c>
      <c r="L467" s="268">
        <v>1</v>
      </c>
      <c r="M467" s="268">
        <v>1</v>
      </c>
      <c r="N467" s="268"/>
      <c r="O467" s="268">
        <v>1</v>
      </c>
      <c r="P467" s="268"/>
      <c r="Q467" s="268"/>
      <c r="R467" s="268">
        <v>1</v>
      </c>
      <c r="S467" s="268"/>
      <c r="T467" s="268"/>
      <c r="U467" s="268">
        <v>3</v>
      </c>
      <c r="V467" s="268">
        <v>1</v>
      </c>
      <c r="W467" s="5">
        <f t="shared" si="35"/>
        <v>0</v>
      </c>
      <c r="X467" s="5">
        <f t="shared" si="36"/>
        <v>5</v>
      </c>
      <c r="Y467" s="5">
        <f t="shared" si="34"/>
        <v>5</v>
      </c>
    </row>
    <row r="468" spans="1:25" x14ac:dyDescent="0.25">
      <c r="A468" s="26">
        <v>28</v>
      </c>
      <c r="B468" s="268"/>
      <c r="C468" s="268"/>
      <c r="D468" s="268"/>
      <c r="E468" s="268"/>
      <c r="F468" s="268"/>
      <c r="G468" s="268"/>
      <c r="H468" s="2">
        <f t="shared" si="37"/>
        <v>0</v>
      </c>
      <c r="J468" s="11">
        <v>28</v>
      </c>
      <c r="K468" s="268">
        <v>2</v>
      </c>
      <c r="L468" s="268"/>
      <c r="M468" s="268">
        <v>1</v>
      </c>
      <c r="N468" s="268"/>
      <c r="O468" s="268"/>
      <c r="P468" s="268"/>
      <c r="Q468" s="268"/>
      <c r="R468" s="268"/>
      <c r="S468" s="268"/>
      <c r="T468" s="268"/>
      <c r="U468" s="268">
        <v>1</v>
      </c>
      <c r="V468" s="268"/>
      <c r="W468" s="5">
        <f t="shared" si="35"/>
        <v>0</v>
      </c>
      <c r="X468" s="5">
        <f t="shared" si="36"/>
        <v>5</v>
      </c>
      <c r="Y468" s="5">
        <f t="shared" si="34"/>
        <v>5</v>
      </c>
    </row>
    <row r="469" spans="1:25" x14ac:dyDescent="0.25">
      <c r="A469" s="26">
        <v>29</v>
      </c>
      <c r="B469" s="268"/>
      <c r="C469" s="268"/>
      <c r="D469" s="268"/>
      <c r="E469" s="268"/>
      <c r="F469" s="268"/>
      <c r="G469" s="268"/>
      <c r="H469" s="2">
        <f t="shared" si="37"/>
        <v>0</v>
      </c>
      <c r="J469" s="11">
        <v>29</v>
      </c>
      <c r="K469" s="268">
        <v>5</v>
      </c>
      <c r="L469" s="268">
        <v>5</v>
      </c>
      <c r="M469" s="268">
        <v>1</v>
      </c>
      <c r="N469" s="268"/>
      <c r="O469" s="268"/>
      <c r="P469" s="268"/>
      <c r="Q469" s="268"/>
      <c r="R469" s="268"/>
      <c r="S469" s="268"/>
      <c r="T469" s="268"/>
      <c r="U469" s="268">
        <v>2</v>
      </c>
      <c r="V469" s="268">
        <v>2</v>
      </c>
      <c r="W469" s="5">
        <f t="shared" si="35"/>
        <v>2</v>
      </c>
      <c r="X469" s="5">
        <f t="shared" si="36"/>
        <v>8</v>
      </c>
      <c r="Y469" s="5">
        <f t="shared" si="34"/>
        <v>10</v>
      </c>
    </row>
    <row r="470" spans="1:25" x14ac:dyDescent="0.25">
      <c r="A470" s="26">
        <v>30</v>
      </c>
      <c r="B470" s="268"/>
      <c r="C470" s="268"/>
      <c r="D470" s="268"/>
      <c r="E470" s="268"/>
      <c r="F470" s="268"/>
      <c r="G470" s="268"/>
      <c r="H470" s="2">
        <f t="shared" si="37"/>
        <v>0</v>
      </c>
      <c r="J470" s="11">
        <v>30</v>
      </c>
      <c r="K470" s="268">
        <v>5</v>
      </c>
      <c r="L470" s="268"/>
      <c r="M470" s="268">
        <v>2</v>
      </c>
      <c r="N470" s="268"/>
      <c r="O470" s="268"/>
      <c r="P470" s="268"/>
      <c r="Q470" s="268"/>
      <c r="R470" s="268"/>
      <c r="S470" s="268"/>
      <c r="T470" s="268"/>
      <c r="U470" s="268">
        <v>2</v>
      </c>
      <c r="V470" s="268"/>
      <c r="W470" s="5">
        <f t="shared" si="35"/>
        <v>3</v>
      </c>
      <c r="X470" s="5">
        <f t="shared" si="36"/>
        <v>8</v>
      </c>
      <c r="Y470" s="5">
        <f t="shared" si="34"/>
        <v>11</v>
      </c>
    </row>
    <row r="471" spans="1:25" ht="15.75" thickBot="1" x14ac:dyDescent="0.3">
      <c r="A471" s="64">
        <v>31</v>
      </c>
      <c r="B471" s="528"/>
      <c r="C471" s="528"/>
      <c r="D471" s="528"/>
      <c r="E471" s="528"/>
      <c r="F471" s="528"/>
      <c r="G471" s="528"/>
      <c r="H471" s="2">
        <f t="shared" si="37"/>
        <v>0</v>
      </c>
      <c r="J471" s="11">
        <v>31</v>
      </c>
      <c r="K471" s="268">
        <v>2</v>
      </c>
      <c r="L471" s="268">
        <v>2</v>
      </c>
      <c r="M471" s="268"/>
      <c r="N471" s="268"/>
      <c r="O471" s="268"/>
      <c r="P471" s="268"/>
      <c r="Q471" s="268"/>
      <c r="R471" s="268"/>
      <c r="S471" s="268"/>
      <c r="T471" s="268"/>
      <c r="U471" s="268">
        <v>5</v>
      </c>
      <c r="V471" s="268"/>
      <c r="W471" s="5">
        <f t="shared" si="35"/>
        <v>0</v>
      </c>
      <c r="X471" s="5">
        <f t="shared" si="36"/>
        <v>10</v>
      </c>
      <c r="Y471" s="5">
        <f t="shared" si="34"/>
        <v>10</v>
      </c>
    </row>
    <row r="472" spans="1:25" ht="15.75" thickBot="1" x14ac:dyDescent="0.3">
      <c r="A472" s="60" t="s">
        <v>35</v>
      </c>
      <c r="B472" s="58">
        <f>SUM(B441:B471)-E472</f>
        <v>0</v>
      </c>
      <c r="C472" s="58">
        <f t="shared" ref="C472:H472" si="38">SUM(C441:C471)</f>
        <v>0</v>
      </c>
      <c r="D472" s="58">
        <f t="shared" si="38"/>
        <v>0</v>
      </c>
      <c r="E472" s="58">
        <f t="shared" si="38"/>
        <v>0</v>
      </c>
      <c r="F472" s="58">
        <f t="shared" si="38"/>
        <v>0</v>
      </c>
      <c r="G472" s="58">
        <f t="shared" si="38"/>
        <v>0</v>
      </c>
      <c r="H472" s="59">
        <f t="shared" si="38"/>
        <v>0</v>
      </c>
      <c r="J472" s="530" t="s">
        <v>35</v>
      </c>
      <c r="K472" s="5">
        <f>SUM(K441:K471)-Q472</f>
        <v>91</v>
      </c>
      <c r="L472" s="5">
        <f>SUM(L441:L471)-R472</f>
        <v>56</v>
      </c>
      <c r="M472" s="5">
        <f t="shared" ref="M472:Y472" si="39">SUM(M441:M471)</f>
        <v>25</v>
      </c>
      <c r="N472" s="5">
        <f t="shared" si="39"/>
        <v>7</v>
      </c>
      <c r="O472" s="5">
        <f t="shared" si="39"/>
        <v>5</v>
      </c>
      <c r="P472" s="5">
        <f t="shared" si="39"/>
        <v>2</v>
      </c>
      <c r="Q472" s="5">
        <f t="shared" si="39"/>
        <v>3</v>
      </c>
      <c r="R472" s="5">
        <f t="shared" si="39"/>
        <v>2</v>
      </c>
      <c r="S472" s="5">
        <f t="shared" si="39"/>
        <v>0</v>
      </c>
      <c r="T472" s="5">
        <f t="shared" si="39"/>
        <v>0</v>
      </c>
      <c r="U472" s="5">
        <f t="shared" si="39"/>
        <v>67</v>
      </c>
      <c r="V472" s="5">
        <f t="shared" si="39"/>
        <v>37</v>
      </c>
      <c r="W472" s="5">
        <f t="shared" si="39"/>
        <v>155</v>
      </c>
      <c r="X472" s="5">
        <f t="shared" si="39"/>
        <v>98</v>
      </c>
      <c r="Y472" s="5">
        <f t="shared" si="39"/>
        <v>253</v>
      </c>
    </row>
  </sheetData>
  <mergeCells count="84">
    <mergeCell ref="U440:V440"/>
    <mergeCell ref="W440:X440"/>
    <mergeCell ref="J396:Y396"/>
    <mergeCell ref="J397:Y397"/>
    <mergeCell ref="K440:L440"/>
    <mergeCell ref="M440:N440"/>
    <mergeCell ref="O440:P440"/>
    <mergeCell ref="Q440:R440"/>
    <mergeCell ref="S440:T440"/>
    <mergeCell ref="J435:W435"/>
    <mergeCell ref="J436:W436"/>
    <mergeCell ref="Q437:S437"/>
    <mergeCell ref="W437:X437"/>
    <mergeCell ref="J438:S438"/>
    <mergeCell ref="U401:V401"/>
    <mergeCell ref="W401:X401"/>
    <mergeCell ref="K401:L401"/>
    <mergeCell ref="M401:N401"/>
    <mergeCell ref="O401:P401"/>
    <mergeCell ref="Q401:R401"/>
    <mergeCell ref="S401:T401"/>
    <mergeCell ref="Q398:S398"/>
    <mergeCell ref="W398:X398"/>
    <mergeCell ref="J399:S399"/>
    <mergeCell ref="J356:W356"/>
    <mergeCell ref="J357:W357"/>
    <mergeCell ref="Q358:S358"/>
    <mergeCell ref="J359:S359"/>
    <mergeCell ref="K361:L361"/>
    <mergeCell ref="M361:N361"/>
    <mergeCell ref="O361:P361"/>
    <mergeCell ref="Q361:R361"/>
    <mergeCell ref="S361:T361"/>
    <mergeCell ref="U361:V361"/>
    <mergeCell ref="W361:X361"/>
    <mergeCell ref="W358:X358"/>
    <mergeCell ref="A436:H436"/>
    <mergeCell ref="E437:F437"/>
    <mergeCell ref="A438:F438"/>
    <mergeCell ref="A396:H396"/>
    <mergeCell ref="A397:H397"/>
    <mergeCell ref="E398:F398"/>
    <mergeCell ref="A399:F399"/>
    <mergeCell ref="A435:H435"/>
    <mergeCell ref="A356:H356"/>
    <mergeCell ref="A357:H357"/>
    <mergeCell ref="E358:F358"/>
    <mergeCell ref="A359:F359"/>
    <mergeCell ref="A318:H318"/>
    <mergeCell ref="E319:F319"/>
    <mergeCell ref="A320:G320"/>
    <mergeCell ref="A277:H277"/>
    <mergeCell ref="A278:H278"/>
    <mergeCell ref="E279:F279"/>
    <mergeCell ref="A280:G280"/>
    <mergeCell ref="A240:G240"/>
    <mergeCell ref="A237:H237"/>
    <mergeCell ref="A238:H238"/>
    <mergeCell ref="E239:F239"/>
    <mergeCell ref="A317:H317"/>
    <mergeCell ref="A42:H42"/>
    <mergeCell ref="E43:F43"/>
    <mergeCell ref="A44:G44"/>
    <mergeCell ref="A79:H79"/>
    <mergeCell ref="A80:H80"/>
    <mergeCell ref="E81:F81"/>
    <mergeCell ref="A82:F82"/>
    <mergeCell ref="A201:G201"/>
    <mergeCell ref="A122:G122"/>
    <mergeCell ref="A119:H119"/>
    <mergeCell ref="A120:H120"/>
    <mergeCell ref="E121:F121"/>
    <mergeCell ref="A1:H1"/>
    <mergeCell ref="A2:H2"/>
    <mergeCell ref="E3:F3"/>
    <mergeCell ref="A4:F4"/>
    <mergeCell ref="A41:H41"/>
    <mergeCell ref="A198:H198"/>
    <mergeCell ref="A199:H199"/>
    <mergeCell ref="E200:F200"/>
    <mergeCell ref="A158:H158"/>
    <mergeCell ref="A159:H159"/>
    <mergeCell ref="E160:F160"/>
    <mergeCell ref="A161:G16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9"/>
  </sheetPr>
  <dimension ref="A1:M472"/>
  <sheetViews>
    <sheetView topLeftCell="A400" zoomScale="90" zoomScaleNormal="90" workbookViewId="0">
      <selection activeCell="K424" sqref="K424"/>
    </sheetView>
  </sheetViews>
  <sheetFormatPr defaultRowHeight="15" x14ac:dyDescent="0.25"/>
  <cols>
    <col min="2" max="2" width="15.140625" customWidth="1"/>
    <col min="3" max="3" width="13" customWidth="1"/>
    <col min="4" max="4" width="10.42578125" customWidth="1"/>
    <col min="5" max="5" width="9.28515625" customWidth="1"/>
    <col min="6" max="6" width="12.42578125" customWidth="1"/>
    <col min="7" max="7" width="12" customWidth="1"/>
    <col min="8" max="8" width="13.7109375" customWidth="1"/>
  </cols>
  <sheetData>
    <row r="1" spans="1:9" ht="36" x14ac:dyDescent="0.55000000000000004">
      <c r="A1" s="605" t="s">
        <v>1</v>
      </c>
      <c r="B1" s="605"/>
      <c r="C1" s="605"/>
      <c r="D1" s="605"/>
      <c r="E1" s="605"/>
      <c r="F1" s="605"/>
      <c r="G1" s="605"/>
      <c r="H1" s="605"/>
    </row>
    <row r="2" spans="1:9" ht="27" thickBot="1" x14ac:dyDescent="0.45">
      <c r="A2" s="606" t="s">
        <v>0</v>
      </c>
      <c r="B2" s="606"/>
      <c r="C2" s="606"/>
      <c r="D2" s="606"/>
      <c r="E2" s="606"/>
      <c r="F2" s="606"/>
      <c r="G2" s="606"/>
      <c r="H2" s="606"/>
    </row>
    <row r="3" spans="1:9" ht="15.75" x14ac:dyDescent="0.25">
      <c r="A3" s="18" t="s">
        <v>19</v>
      </c>
      <c r="B3" s="19" t="s">
        <v>3</v>
      </c>
      <c r="C3" s="20"/>
      <c r="D3" s="21" t="s">
        <v>18</v>
      </c>
      <c r="E3" s="615"/>
      <c r="F3" s="616"/>
      <c r="G3" s="19" t="s">
        <v>16</v>
      </c>
      <c r="H3" s="22" t="s">
        <v>17</v>
      </c>
    </row>
    <row r="4" spans="1:9" ht="15.75" x14ac:dyDescent="0.25">
      <c r="A4" s="609" t="s">
        <v>6</v>
      </c>
      <c r="B4" s="610"/>
      <c r="C4" s="610"/>
      <c r="D4" s="610"/>
      <c r="E4" s="610"/>
      <c r="F4" s="611"/>
      <c r="G4" s="1"/>
      <c r="H4" s="2">
        <v>4</v>
      </c>
    </row>
    <row r="5" spans="1:9" ht="16.5" thickBot="1" x14ac:dyDescent="0.3">
      <c r="A5" s="23" t="s">
        <v>7</v>
      </c>
      <c r="B5" s="24"/>
      <c r="C5" s="24"/>
      <c r="D5" s="24"/>
      <c r="E5" s="24"/>
      <c r="F5" s="24"/>
      <c r="G5" s="24"/>
      <c r="H5" s="25">
        <v>10</v>
      </c>
    </row>
    <row r="6" spans="1:9" ht="64.5" thickBot="1" x14ac:dyDescent="0.3">
      <c r="A6" s="15" t="s">
        <v>8</v>
      </c>
      <c r="B6" s="16" t="s">
        <v>9</v>
      </c>
      <c r="C6" s="16" t="s">
        <v>10</v>
      </c>
      <c r="D6" s="16" t="s">
        <v>11</v>
      </c>
      <c r="E6" s="16" t="s">
        <v>12</v>
      </c>
      <c r="F6" s="16" t="s">
        <v>13</v>
      </c>
      <c r="G6" s="16" t="s">
        <v>14</v>
      </c>
      <c r="H6" s="17" t="s">
        <v>15</v>
      </c>
      <c r="I6" s="42" t="s">
        <v>15</v>
      </c>
    </row>
    <row r="7" spans="1:9" x14ac:dyDescent="0.25">
      <c r="A7" s="43">
        <v>1</v>
      </c>
      <c r="B7" s="44">
        <v>2</v>
      </c>
      <c r="C7" s="44">
        <v>1</v>
      </c>
      <c r="D7" s="44"/>
      <c r="E7" s="44"/>
      <c r="F7" s="44"/>
      <c r="G7" s="44"/>
      <c r="H7" s="45">
        <f>H4+B7+F7-(C7+D7+G7)-E7</f>
        <v>5</v>
      </c>
      <c r="I7">
        <f>'Male Emergency'!H7+H7</f>
        <v>8</v>
      </c>
    </row>
    <row r="8" spans="1:9" x14ac:dyDescent="0.25">
      <c r="A8" s="26">
        <v>2</v>
      </c>
      <c r="B8" s="14">
        <v>1</v>
      </c>
      <c r="C8" s="14"/>
      <c r="D8" s="14"/>
      <c r="E8" s="14"/>
      <c r="F8" s="14"/>
      <c r="G8" s="14">
        <v>3</v>
      </c>
      <c r="H8" s="27">
        <f>H7+B8+F8-(C8+D8+G8)-E8</f>
        <v>3</v>
      </c>
      <c r="I8">
        <f>'Male Emergency'!H8+H8</f>
        <v>6</v>
      </c>
    </row>
    <row r="9" spans="1:9" x14ac:dyDescent="0.25">
      <c r="A9" s="26">
        <v>3</v>
      </c>
      <c r="B9" s="14">
        <v>2</v>
      </c>
      <c r="C9" s="14">
        <v>1</v>
      </c>
      <c r="D9" s="14">
        <v>1</v>
      </c>
      <c r="E9" s="14"/>
      <c r="F9" s="14"/>
      <c r="G9" s="14">
        <v>1</v>
      </c>
      <c r="H9" s="27">
        <f t="shared" ref="H9:H37" si="0">H8+B9+F9-(C9+D9+G9)-E9</f>
        <v>2</v>
      </c>
      <c r="I9">
        <f>'Male Emergency'!H9+H9</f>
        <v>8</v>
      </c>
    </row>
    <row r="10" spans="1:9" x14ac:dyDescent="0.25">
      <c r="A10" s="26">
        <v>4</v>
      </c>
      <c r="B10" s="14">
        <v>2</v>
      </c>
      <c r="C10" s="14"/>
      <c r="D10" s="14"/>
      <c r="E10" s="14"/>
      <c r="F10" s="14"/>
      <c r="G10" s="14">
        <v>2</v>
      </c>
      <c r="H10" s="27">
        <f t="shared" si="0"/>
        <v>2</v>
      </c>
      <c r="I10">
        <f>'Male Emergency'!H10+H10</f>
        <v>7</v>
      </c>
    </row>
    <row r="11" spans="1:9" x14ac:dyDescent="0.25">
      <c r="A11" s="26">
        <v>5</v>
      </c>
      <c r="B11" s="14">
        <v>2</v>
      </c>
      <c r="C11" s="14"/>
      <c r="D11" s="14"/>
      <c r="E11" s="14"/>
      <c r="F11" s="14"/>
      <c r="G11" s="14"/>
      <c r="H11" s="27">
        <f t="shared" si="0"/>
        <v>4</v>
      </c>
      <c r="I11">
        <f>'Male Emergency'!H11+H11</f>
        <v>9</v>
      </c>
    </row>
    <row r="12" spans="1:9" x14ac:dyDescent="0.25">
      <c r="A12" s="26">
        <v>6</v>
      </c>
      <c r="B12" s="14">
        <v>1</v>
      </c>
      <c r="C12" s="14">
        <v>2</v>
      </c>
      <c r="D12" s="14"/>
      <c r="E12" s="14"/>
      <c r="F12" s="14"/>
      <c r="G12" s="14"/>
      <c r="H12" s="27">
        <f t="shared" si="0"/>
        <v>3</v>
      </c>
      <c r="I12">
        <f>'Male Emergency'!H12+H12</f>
        <v>7</v>
      </c>
    </row>
    <row r="13" spans="1:9" x14ac:dyDescent="0.25">
      <c r="A13" s="26">
        <v>7</v>
      </c>
      <c r="B13" s="14"/>
      <c r="C13" s="14"/>
      <c r="D13" s="14"/>
      <c r="E13" s="14"/>
      <c r="F13" s="14"/>
      <c r="G13" s="14">
        <v>2</v>
      </c>
      <c r="H13" s="27">
        <f t="shared" si="0"/>
        <v>1</v>
      </c>
      <c r="I13">
        <f>'Male Emergency'!H13+H13</f>
        <v>4</v>
      </c>
    </row>
    <row r="14" spans="1:9" x14ac:dyDescent="0.25">
      <c r="A14" s="26">
        <v>8</v>
      </c>
      <c r="B14" s="14">
        <v>2</v>
      </c>
      <c r="C14" s="14"/>
      <c r="D14" s="14"/>
      <c r="E14" s="14"/>
      <c r="F14" s="14"/>
      <c r="G14" s="14"/>
      <c r="H14" s="27">
        <f t="shared" si="0"/>
        <v>3</v>
      </c>
      <c r="I14">
        <f>'Male Emergency'!H14+H14</f>
        <v>7</v>
      </c>
    </row>
    <row r="15" spans="1:9" x14ac:dyDescent="0.25">
      <c r="A15" s="26">
        <v>9</v>
      </c>
      <c r="B15" s="14">
        <v>2</v>
      </c>
      <c r="C15" s="14"/>
      <c r="D15" s="14"/>
      <c r="E15" s="14"/>
      <c r="F15" s="14"/>
      <c r="G15" s="14">
        <v>3</v>
      </c>
      <c r="H15" s="27">
        <f t="shared" si="0"/>
        <v>2</v>
      </c>
      <c r="I15">
        <f>'Male Emergency'!H15+H15</f>
        <v>7</v>
      </c>
    </row>
    <row r="16" spans="1:9" x14ac:dyDescent="0.25">
      <c r="A16" s="26">
        <v>10</v>
      </c>
      <c r="B16" s="14">
        <v>1</v>
      </c>
      <c r="C16" s="14"/>
      <c r="D16" s="14"/>
      <c r="E16" s="14"/>
      <c r="F16" s="14"/>
      <c r="G16" s="14">
        <v>1</v>
      </c>
      <c r="H16" s="27">
        <f t="shared" si="0"/>
        <v>2</v>
      </c>
      <c r="I16">
        <f>'Male Emergency'!H16+H16</f>
        <v>6</v>
      </c>
    </row>
    <row r="17" spans="1:9" x14ac:dyDescent="0.25">
      <c r="A17" s="26">
        <v>11</v>
      </c>
      <c r="B17" s="14"/>
      <c r="C17" s="14"/>
      <c r="D17" s="14"/>
      <c r="E17" s="14"/>
      <c r="F17" s="14"/>
      <c r="G17" s="14"/>
      <c r="H17" s="27">
        <f t="shared" si="0"/>
        <v>2</v>
      </c>
      <c r="I17">
        <f>'Male Emergency'!H17+H17</f>
        <v>7</v>
      </c>
    </row>
    <row r="18" spans="1:9" x14ac:dyDescent="0.25">
      <c r="A18" s="26">
        <v>12</v>
      </c>
      <c r="B18" s="14">
        <v>3</v>
      </c>
      <c r="C18" s="14"/>
      <c r="D18" s="14"/>
      <c r="E18" s="14"/>
      <c r="F18" s="14"/>
      <c r="G18" s="14">
        <v>1</v>
      </c>
      <c r="H18" s="27">
        <f t="shared" si="0"/>
        <v>4</v>
      </c>
      <c r="I18">
        <f>'Male Emergency'!H18+H18</f>
        <v>8</v>
      </c>
    </row>
    <row r="19" spans="1:9" x14ac:dyDescent="0.25">
      <c r="A19" s="26">
        <v>13</v>
      </c>
      <c r="B19" s="14">
        <v>1</v>
      </c>
      <c r="C19" s="14">
        <v>1</v>
      </c>
      <c r="D19" s="14"/>
      <c r="E19" s="14"/>
      <c r="F19" s="14"/>
      <c r="G19" s="14">
        <v>2</v>
      </c>
      <c r="H19" s="27">
        <f t="shared" si="0"/>
        <v>2</v>
      </c>
      <c r="I19">
        <f>'Male Emergency'!H19+H19</f>
        <v>4</v>
      </c>
    </row>
    <row r="20" spans="1:9" x14ac:dyDescent="0.25">
      <c r="A20" s="26">
        <v>14</v>
      </c>
      <c r="B20" s="14">
        <v>2</v>
      </c>
      <c r="C20" s="14"/>
      <c r="D20" s="14"/>
      <c r="E20" s="14"/>
      <c r="F20" s="14"/>
      <c r="G20" s="14"/>
      <c r="H20" s="27">
        <f t="shared" si="0"/>
        <v>4</v>
      </c>
      <c r="I20">
        <f>'Male Emergency'!H20+H20</f>
        <v>5</v>
      </c>
    </row>
    <row r="21" spans="1:9" x14ac:dyDescent="0.25">
      <c r="A21" s="26">
        <v>15</v>
      </c>
      <c r="B21" s="14">
        <v>5</v>
      </c>
      <c r="C21" s="14"/>
      <c r="D21" s="14">
        <v>1</v>
      </c>
      <c r="E21" s="14"/>
      <c r="F21" s="14"/>
      <c r="G21" s="14">
        <v>2</v>
      </c>
      <c r="H21" s="27">
        <f t="shared" si="0"/>
        <v>6</v>
      </c>
      <c r="I21">
        <f>'Male Emergency'!H21+H21</f>
        <v>7</v>
      </c>
    </row>
    <row r="22" spans="1:9" x14ac:dyDescent="0.25">
      <c r="A22" s="26">
        <v>16</v>
      </c>
      <c r="B22" s="14">
        <v>4</v>
      </c>
      <c r="C22" s="14">
        <v>2</v>
      </c>
      <c r="D22" s="14"/>
      <c r="E22" s="14"/>
      <c r="F22" s="14"/>
      <c r="G22" s="14">
        <v>3</v>
      </c>
      <c r="H22" s="27">
        <f t="shared" si="0"/>
        <v>5</v>
      </c>
      <c r="I22">
        <f>'Male Emergency'!H22+H22</f>
        <v>9</v>
      </c>
    </row>
    <row r="23" spans="1:9" x14ac:dyDescent="0.25">
      <c r="A23" s="26">
        <v>17</v>
      </c>
      <c r="B23" s="14">
        <v>1</v>
      </c>
      <c r="C23" s="14"/>
      <c r="D23" s="14"/>
      <c r="E23" s="14"/>
      <c r="F23" s="14"/>
      <c r="G23" s="14">
        <v>1</v>
      </c>
      <c r="H23" s="27">
        <f t="shared" si="0"/>
        <v>5</v>
      </c>
      <c r="I23">
        <f>'Male Emergency'!H23+H23</f>
        <v>10</v>
      </c>
    </row>
    <row r="24" spans="1:9" x14ac:dyDescent="0.25">
      <c r="A24" s="26">
        <v>18</v>
      </c>
      <c r="B24" s="14"/>
      <c r="C24" s="14"/>
      <c r="D24" s="14">
        <v>1</v>
      </c>
      <c r="E24" s="14"/>
      <c r="F24" s="14"/>
      <c r="G24" s="14"/>
      <c r="H24" s="27">
        <f t="shared" si="0"/>
        <v>4</v>
      </c>
      <c r="I24">
        <f>'Male Emergency'!H24+H24</f>
        <v>10</v>
      </c>
    </row>
    <row r="25" spans="1:9" x14ac:dyDescent="0.25">
      <c r="A25" s="26">
        <v>19</v>
      </c>
      <c r="B25" s="14">
        <v>2</v>
      </c>
      <c r="C25" s="14"/>
      <c r="D25" s="14"/>
      <c r="E25" s="14"/>
      <c r="F25" s="14"/>
      <c r="G25" s="14">
        <v>2</v>
      </c>
      <c r="H25" s="27">
        <f t="shared" si="0"/>
        <v>4</v>
      </c>
      <c r="I25">
        <f>'Male Emergency'!H25+H25</f>
        <v>9</v>
      </c>
    </row>
    <row r="26" spans="1:9" x14ac:dyDescent="0.25">
      <c r="A26" s="26">
        <v>20</v>
      </c>
      <c r="B26" s="14">
        <v>1</v>
      </c>
      <c r="C26" s="14"/>
      <c r="D26" s="14"/>
      <c r="E26" s="14"/>
      <c r="F26" s="14"/>
      <c r="G26" s="14">
        <v>2</v>
      </c>
      <c r="H26" s="27">
        <f t="shared" si="0"/>
        <v>3</v>
      </c>
      <c r="I26">
        <f>'Male Emergency'!H26+H26</f>
        <v>7</v>
      </c>
    </row>
    <row r="27" spans="1:9" x14ac:dyDescent="0.25">
      <c r="A27" s="26">
        <v>21</v>
      </c>
      <c r="B27" s="14"/>
      <c r="C27" s="14">
        <v>1</v>
      </c>
      <c r="D27" s="14"/>
      <c r="E27" s="14"/>
      <c r="F27" s="14"/>
      <c r="G27" s="14">
        <v>1</v>
      </c>
      <c r="H27" s="27">
        <f t="shared" si="0"/>
        <v>1</v>
      </c>
      <c r="I27">
        <f>'Male Emergency'!H27+H27</f>
        <v>2</v>
      </c>
    </row>
    <row r="28" spans="1:9" x14ac:dyDescent="0.25">
      <c r="A28" s="26">
        <v>22</v>
      </c>
      <c r="B28" s="14">
        <v>3</v>
      </c>
      <c r="C28" s="14"/>
      <c r="D28" s="14"/>
      <c r="E28" s="14"/>
      <c r="F28" s="14"/>
      <c r="G28" s="14">
        <v>2</v>
      </c>
      <c r="H28" s="27">
        <f t="shared" si="0"/>
        <v>2</v>
      </c>
      <c r="I28">
        <f>'Male Emergency'!H28+H28</f>
        <v>7</v>
      </c>
    </row>
    <row r="29" spans="1:9" x14ac:dyDescent="0.25">
      <c r="A29" s="26">
        <v>23</v>
      </c>
      <c r="B29" s="14">
        <v>1</v>
      </c>
      <c r="C29" s="14"/>
      <c r="D29" s="14"/>
      <c r="E29" s="14"/>
      <c r="F29" s="14"/>
      <c r="G29" s="14"/>
      <c r="H29" s="27">
        <f t="shared" si="0"/>
        <v>3</v>
      </c>
      <c r="I29">
        <f>'Male Emergency'!H29+H29</f>
        <v>11</v>
      </c>
    </row>
    <row r="30" spans="1:9" x14ac:dyDescent="0.25">
      <c r="A30" s="26">
        <v>24</v>
      </c>
      <c r="B30" s="14">
        <v>1</v>
      </c>
      <c r="C30" s="14"/>
      <c r="D30" s="14"/>
      <c r="E30" s="14"/>
      <c r="F30" s="14"/>
      <c r="G30" s="14">
        <v>1</v>
      </c>
      <c r="H30" s="27">
        <f t="shared" si="0"/>
        <v>3</v>
      </c>
      <c r="I30">
        <f>'Male Emergency'!H30+H30</f>
        <v>10</v>
      </c>
    </row>
    <row r="31" spans="1:9" x14ac:dyDescent="0.25">
      <c r="A31" s="26">
        <v>25</v>
      </c>
      <c r="B31" s="14"/>
      <c r="C31" s="14"/>
      <c r="D31" s="14"/>
      <c r="E31" s="14"/>
      <c r="F31" s="14"/>
      <c r="G31" s="14"/>
      <c r="H31" s="27">
        <f t="shared" si="0"/>
        <v>3</v>
      </c>
      <c r="I31">
        <f>'Male Emergency'!H31+H31</f>
        <v>4</v>
      </c>
    </row>
    <row r="32" spans="1:9" x14ac:dyDescent="0.25">
      <c r="A32" s="26">
        <v>26</v>
      </c>
      <c r="B32" s="14">
        <v>2</v>
      </c>
      <c r="C32" s="14">
        <v>1</v>
      </c>
      <c r="D32" s="14"/>
      <c r="E32" s="14"/>
      <c r="F32" s="14"/>
      <c r="G32" s="14"/>
      <c r="H32" s="27">
        <f t="shared" si="0"/>
        <v>4</v>
      </c>
      <c r="I32">
        <f>'Male Emergency'!H32+H32</f>
        <v>4</v>
      </c>
    </row>
    <row r="33" spans="1:9" x14ac:dyDescent="0.25">
      <c r="A33" s="26">
        <v>27</v>
      </c>
      <c r="B33" s="14">
        <v>1</v>
      </c>
      <c r="C33" s="14"/>
      <c r="D33" s="14">
        <v>1</v>
      </c>
      <c r="E33" s="14"/>
      <c r="F33" s="14"/>
      <c r="G33" s="14">
        <v>1</v>
      </c>
      <c r="H33" s="27">
        <f t="shared" si="0"/>
        <v>3</v>
      </c>
      <c r="I33">
        <f>'Male Emergency'!H33+H33</f>
        <v>7</v>
      </c>
    </row>
    <row r="34" spans="1:9" x14ac:dyDescent="0.25">
      <c r="A34" s="26">
        <v>28</v>
      </c>
      <c r="B34" s="14">
        <v>1</v>
      </c>
      <c r="C34" s="14"/>
      <c r="D34" s="14"/>
      <c r="E34" s="14"/>
      <c r="F34" s="14"/>
      <c r="G34" s="14">
        <v>2</v>
      </c>
      <c r="H34" s="27">
        <f t="shared" si="0"/>
        <v>2</v>
      </c>
      <c r="I34">
        <f>'Male Emergency'!H34+H34</f>
        <v>11</v>
      </c>
    </row>
    <row r="35" spans="1:9" x14ac:dyDescent="0.25">
      <c r="A35" s="26">
        <v>29</v>
      </c>
      <c r="B35" s="14">
        <v>1</v>
      </c>
      <c r="C35" s="14"/>
      <c r="D35" s="14"/>
      <c r="E35" s="14"/>
      <c r="F35" s="14"/>
      <c r="G35" s="14">
        <v>1</v>
      </c>
      <c r="H35" s="27">
        <f t="shared" si="0"/>
        <v>2</v>
      </c>
      <c r="I35">
        <f>'Male Emergency'!H35+H35</f>
        <v>8</v>
      </c>
    </row>
    <row r="36" spans="1:9" x14ac:dyDescent="0.25">
      <c r="A36" s="26">
        <v>30</v>
      </c>
      <c r="B36" s="14">
        <v>2</v>
      </c>
      <c r="C36" s="14"/>
      <c r="D36" s="14"/>
      <c r="E36" s="14"/>
      <c r="F36" s="14"/>
      <c r="G36" s="14"/>
      <c r="H36" s="27">
        <f>H35+B36+F36-(C36+D36+G36)-E36</f>
        <v>4</v>
      </c>
      <c r="I36">
        <f>'Male Emergency'!H36+H36</f>
        <v>6</v>
      </c>
    </row>
    <row r="37" spans="1:9" ht="15.75" thickBot="1" x14ac:dyDescent="0.3">
      <c r="A37" s="28">
        <v>31</v>
      </c>
      <c r="B37" s="29"/>
      <c r="C37" s="29"/>
      <c r="D37" s="29"/>
      <c r="E37" s="29">
        <v>1</v>
      </c>
      <c r="F37" s="29"/>
      <c r="G37" s="29"/>
      <c r="H37" s="30">
        <f t="shared" si="0"/>
        <v>3</v>
      </c>
      <c r="I37">
        <f>'Male Emergency'!H37+H37</f>
        <v>4</v>
      </c>
    </row>
    <row r="38" spans="1:9" ht="15.75" thickBot="1" x14ac:dyDescent="0.3">
      <c r="A38" s="46" t="s">
        <v>35</v>
      </c>
      <c r="B38" s="47">
        <f>SUM(B7:B37)-E38</f>
        <v>45</v>
      </c>
      <c r="C38" s="47">
        <f t="shared" ref="C38:H38" si="1">SUM(C7:C37)</f>
        <v>9</v>
      </c>
      <c r="D38" s="47">
        <f t="shared" si="1"/>
        <v>4</v>
      </c>
      <c r="E38" s="47">
        <f t="shared" si="1"/>
        <v>1</v>
      </c>
      <c r="F38" s="47">
        <f t="shared" si="1"/>
        <v>0</v>
      </c>
      <c r="G38" s="47">
        <f t="shared" si="1"/>
        <v>33</v>
      </c>
      <c r="H38" s="48">
        <f t="shared" si="1"/>
        <v>96</v>
      </c>
      <c r="I38" s="166">
        <f>'Male Emergency'!H38+H38</f>
        <v>219</v>
      </c>
    </row>
    <row r="41" spans="1:9" ht="36" x14ac:dyDescent="0.55000000000000004">
      <c r="A41" s="605" t="s">
        <v>1</v>
      </c>
      <c r="B41" s="605"/>
      <c r="C41" s="605"/>
      <c r="D41" s="605"/>
      <c r="E41" s="605"/>
      <c r="F41" s="605"/>
      <c r="G41" s="605"/>
      <c r="H41" s="605"/>
    </row>
    <row r="42" spans="1:9" ht="27" thickBot="1" x14ac:dyDescent="0.45">
      <c r="A42" s="606" t="s">
        <v>0</v>
      </c>
      <c r="B42" s="606"/>
      <c r="C42" s="606"/>
      <c r="D42" s="606"/>
      <c r="E42" s="606"/>
      <c r="F42" s="606"/>
      <c r="G42" s="606"/>
      <c r="H42" s="606"/>
    </row>
    <row r="43" spans="1:9" ht="15.75" x14ac:dyDescent="0.25">
      <c r="A43" s="18" t="s">
        <v>19</v>
      </c>
      <c r="B43" s="19" t="s">
        <v>3</v>
      </c>
      <c r="C43" s="20"/>
      <c r="D43" s="21" t="s">
        <v>18</v>
      </c>
      <c r="E43" s="615"/>
      <c r="F43" s="616"/>
      <c r="G43" s="19" t="s">
        <v>16</v>
      </c>
      <c r="H43" s="22" t="s">
        <v>41</v>
      </c>
    </row>
    <row r="44" spans="1:9" ht="15.75" x14ac:dyDescent="0.25">
      <c r="A44" s="609" t="s">
        <v>6</v>
      </c>
      <c r="B44" s="610"/>
      <c r="C44" s="610"/>
      <c r="D44" s="610"/>
      <c r="E44" s="610"/>
      <c r="F44" s="610"/>
      <c r="G44" s="611"/>
      <c r="H44" s="2">
        <f>H37</f>
        <v>3</v>
      </c>
    </row>
    <row r="45" spans="1:9" ht="16.5" thickBot="1" x14ac:dyDescent="0.3">
      <c r="A45" s="23" t="s">
        <v>7</v>
      </c>
      <c r="B45" s="24"/>
      <c r="C45" s="24"/>
      <c r="D45" s="24"/>
      <c r="E45" s="24"/>
      <c r="F45" s="24"/>
      <c r="G45" s="24"/>
      <c r="H45" s="25">
        <v>10</v>
      </c>
    </row>
    <row r="46" spans="1:9" ht="51.75" thickBot="1" x14ac:dyDescent="0.3">
      <c r="A46" s="15" t="s">
        <v>8</v>
      </c>
      <c r="B46" s="16" t="s">
        <v>9</v>
      </c>
      <c r="C46" s="16" t="s">
        <v>10</v>
      </c>
      <c r="D46" s="16" t="s">
        <v>11</v>
      </c>
      <c r="E46" s="16" t="s">
        <v>12</v>
      </c>
      <c r="F46" s="16" t="s">
        <v>13</v>
      </c>
      <c r="G46" s="16" t="s">
        <v>14</v>
      </c>
      <c r="H46" s="17" t="s">
        <v>15</v>
      </c>
    </row>
    <row r="47" spans="1:9" x14ac:dyDescent="0.25">
      <c r="A47" s="43">
        <v>1</v>
      </c>
      <c r="B47" s="44">
        <v>1</v>
      </c>
      <c r="C47" s="44"/>
      <c r="D47" s="44"/>
      <c r="E47" s="44"/>
      <c r="F47" s="44"/>
      <c r="G47" s="44"/>
      <c r="H47" s="45">
        <f>H44+B47+F47-(C47+D47+G47)-E47</f>
        <v>4</v>
      </c>
      <c r="I47">
        <f>'Male Emergency'!H47+'Female Emergency'!H47</f>
        <v>5</v>
      </c>
    </row>
    <row r="48" spans="1:9" x14ac:dyDescent="0.25">
      <c r="A48" s="26">
        <v>2</v>
      </c>
      <c r="B48" s="14">
        <v>1</v>
      </c>
      <c r="C48" s="14"/>
      <c r="D48" s="14"/>
      <c r="E48" s="14"/>
      <c r="F48" s="14"/>
      <c r="G48" s="14">
        <v>2</v>
      </c>
      <c r="H48" s="27">
        <f>H47+B48+F48-(C48+D48+G48)-E48</f>
        <v>3</v>
      </c>
      <c r="I48">
        <f>'Male Emergency'!H48+'Female Emergency'!H48</f>
        <v>4</v>
      </c>
    </row>
    <row r="49" spans="1:9" x14ac:dyDescent="0.25">
      <c r="A49" s="26">
        <v>3</v>
      </c>
      <c r="B49" s="14">
        <v>3</v>
      </c>
      <c r="C49" s="14">
        <v>2</v>
      </c>
      <c r="D49" s="14"/>
      <c r="E49" s="14"/>
      <c r="F49" s="14"/>
      <c r="G49" s="14"/>
      <c r="H49" s="27">
        <f t="shared" ref="H49:H75" si="2">H48+B49+F49-(C49+D49+G49)-E49</f>
        <v>4</v>
      </c>
      <c r="I49">
        <f>'Male Emergency'!H49+'Female Emergency'!H49</f>
        <v>4</v>
      </c>
    </row>
    <row r="50" spans="1:9" x14ac:dyDescent="0.25">
      <c r="A50" s="26">
        <v>4</v>
      </c>
      <c r="B50" s="14"/>
      <c r="C50" s="14"/>
      <c r="D50" s="14"/>
      <c r="E50" s="14"/>
      <c r="F50" s="14"/>
      <c r="G50" s="14">
        <v>2</v>
      </c>
      <c r="H50" s="27">
        <f t="shared" si="2"/>
        <v>2</v>
      </c>
      <c r="I50">
        <f>'Male Emergency'!H50+'Female Emergency'!H50</f>
        <v>7</v>
      </c>
    </row>
    <row r="51" spans="1:9" x14ac:dyDescent="0.25">
      <c r="A51" s="26">
        <v>5</v>
      </c>
      <c r="B51" s="14">
        <v>1</v>
      </c>
      <c r="C51" s="14"/>
      <c r="D51" s="14"/>
      <c r="E51" s="14"/>
      <c r="F51" s="14"/>
      <c r="G51" s="14">
        <v>1</v>
      </c>
      <c r="H51" s="27">
        <f t="shared" si="2"/>
        <v>2</v>
      </c>
      <c r="I51">
        <f>'Male Emergency'!H51+'Female Emergency'!H51</f>
        <v>8</v>
      </c>
    </row>
    <row r="52" spans="1:9" x14ac:dyDescent="0.25">
      <c r="A52" s="26">
        <v>6</v>
      </c>
      <c r="B52" s="14">
        <v>2</v>
      </c>
      <c r="C52" s="14">
        <v>1</v>
      </c>
      <c r="D52" s="14"/>
      <c r="E52" s="14"/>
      <c r="F52" s="14"/>
      <c r="G52" s="14"/>
      <c r="H52" s="27">
        <f t="shared" si="2"/>
        <v>3</v>
      </c>
      <c r="I52">
        <f>'Male Emergency'!H52+'Female Emergency'!H52</f>
        <v>7</v>
      </c>
    </row>
    <row r="53" spans="1:9" x14ac:dyDescent="0.25">
      <c r="A53" s="26">
        <v>7</v>
      </c>
      <c r="B53" s="14"/>
      <c r="C53" s="14"/>
      <c r="D53" s="14"/>
      <c r="E53" s="14"/>
      <c r="F53" s="14"/>
      <c r="G53" s="14"/>
      <c r="H53" s="27">
        <f t="shared" si="2"/>
        <v>3</v>
      </c>
      <c r="I53">
        <f>'Male Emergency'!H53+'Female Emergency'!H53</f>
        <v>5</v>
      </c>
    </row>
    <row r="54" spans="1:9" x14ac:dyDescent="0.25">
      <c r="A54" s="26">
        <v>8</v>
      </c>
      <c r="B54" s="14">
        <v>1</v>
      </c>
      <c r="C54" s="14">
        <v>1</v>
      </c>
      <c r="D54" s="14"/>
      <c r="E54" s="14"/>
      <c r="F54" s="14"/>
      <c r="G54" s="14">
        <v>1</v>
      </c>
      <c r="H54" s="27">
        <f t="shared" si="2"/>
        <v>2</v>
      </c>
      <c r="I54">
        <f>'Male Emergency'!H54+'Female Emergency'!H54</f>
        <v>7</v>
      </c>
    </row>
    <row r="55" spans="1:9" x14ac:dyDescent="0.25">
      <c r="A55" s="26">
        <v>9</v>
      </c>
      <c r="B55" s="14">
        <v>3</v>
      </c>
      <c r="C55" s="14"/>
      <c r="D55" s="14"/>
      <c r="E55" s="14"/>
      <c r="F55" s="14"/>
      <c r="G55" s="14">
        <v>1</v>
      </c>
      <c r="H55" s="27">
        <f t="shared" si="2"/>
        <v>4</v>
      </c>
      <c r="I55">
        <f>'Male Emergency'!H55+'Female Emergency'!H55</f>
        <v>6</v>
      </c>
    </row>
    <row r="56" spans="1:9" x14ac:dyDescent="0.25">
      <c r="A56" s="26">
        <v>10</v>
      </c>
      <c r="B56" s="14">
        <v>1</v>
      </c>
      <c r="C56" s="14"/>
      <c r="D56" s="14"/>
      <c r="E56" s="14"/>
      <c r="F56" s="14"/>
      <c r="G56" s="14">
        <v>2</v>
      </c>
      <c r="H56" s="27">
        <f t="shared" si="2"/>
        <v>3</v>
      </c>
      <c r="I56">
        <f>'Male Emergency'!H56+'Female Emergency'!H56</f>
        <v>6</v>
      </c>
    </row>
    <row r="57" spans="1:9" x14ac:dyDescent="0.25">
      <c r="A57" s="26">
        <v>11</v>
      </c>
      <c r="B57" s="14">
        <v>1</v>
      </c>
      <c r="C57" s="14"/>
      <c r="D57" s="14"/>
      <c r="E57" s="14"/>
      <c r="F57" s="14"/>
      <c r="G57" s="14">
        <v>2</v>
      </c>
      <c r="H57" s="27">
        <f t="shared" si="2"/>
        <v>2</v>
      </c>
      <c r="I57">
        <f>'Male Emergency'!H57+'Female Emergency'!H57</f>
        <v>10</v>
      </c>
    </row>
    <row r="58" spans="1:9" x14ac:dyDescent="0.25">
      <c r="A58" s="26">
        <v>12</v>
      </c>
      <c r="B58" s="14">
        <v>2</v>
      </c>
      <c r="C58" s="14"/>
      <c r="D58" s="14"/>
      <c r="E58" s="14"/>
      <c r="F58" s="14"/>
      <c r="G58" s="14">
        <v>2</v>
      </c>
      <c r="H58" s="27">
        <f t="shared" si="2"/>
        <v>2</v>
      </c>
      <c r="I58">
        <f>'Male Emergency'!H58+'Female Emergency'!H58</f>
        <v>11</v>
      </c>
    </row>
    <row r="59" spans="1:9" x14ac:dyDescent="0.25">
      <c r="A59" s="26">
        <v>13</v>
      </c>
      <c r="B59" s="14">
        <v>3</v>
      </c>
      <c r="C59" s="14"/>
      <c r="D59" s="14"/>
      <c r="E59" s="14"/>
      <c r="F59" s="14"/>
      <c r="G59" s="14"/>
      <c r="H59" s="27">
        <f t="shared" si="2"/>
        <v>5</v>
      </c>
      <c r="I59">
        <f>'Male Emergency'!H59+'Female Emergency'!H59</f>
        <v>11</v>
      </c>
    </row>
    <row r="60" spans="1:9" x14ac:dyDescent="0.25">
      <c r="A60" s="26">
        <v>14</v>
      </c>
      <c r="B60" s="14"/>
      <c r="C60" s="14">
        <v>1</v>
      </c>
      <c r="D60" s="14"/>
      <c r="E60" s="14"/>
      <c r="F60" s="14"/>
      <c r="G60" s="14">
        <v>1</v>
      </c>
      <c r="H60" s="27">
        <f t="shared" si="2"/>
        <v>3</v>
      </c>
      <c r="I60">
        <f>'Male Emergency'!H60+'Female Emergency'!H60</f>
        <v>10</v>
      </c>
    </row>
    <row r="61" spans="1:9" x14ac:dyDescent="0.25">
      <c r="A61" s="26">
        <v>15</v>
      </c>
      <c r="B61" s="14"/>
      <c r="C61" s="14"/>
      <c r="D61" s="14"/>
      <c r="E61" s="14"/>
      <c r="F61" s="14"/>
      <c r="G61" s="14"/>
      <c r="H61" s="27">
        <f t="shared" si="2"/>
        <v>3</v>
      </c>
      <c r="I61">
        <f>'Male Emergency'!H61+'Female Emergency'!H61</f>
        <v>9</v>
      </c>
    </row>
    <row r="62" spans="1:9" x14ac:dyDescent="0.25">
      <c r="A62" s="26">
        <v>16</v>
      </c>
      <c r="B62" s="14"/>
      <c r="C62" s="14"/>
      <c r="D62" s="14"/>
      <c r="E62" s="14"/>
      <c r="F62" s="14"/>
      <c r="G62" s="14"/>
      <c r="H62" s="27">
        <f t="shared" si="2"/>
        <v>3</v>
      </c>
      <c r="I62">
        <f>'Male Emergency'!H62+'Female Emergency'!H62</f>
        <v>7</v>
      </c>
    </row>
    <row r="63" spans="1:9" x14ac:dyDescent="0.25">
      <c r="A63" s="26">
        <v>17</v>
      </c>
      <c r="B63" s="14">
        <v>3</v>
      </c>
      <c r="C63" s="14"/>
      <c r="D63" s="14"/>
      <c r="E63" s="14"/>
      <c r="F63" s="14"/>
      <c r="G63" s="14"/>
      <c r="H63" s="27">
        <f t="shared" si="2"/>
        <v>6</v>
      </c>
      <c r="I63">
        <f>'Male Emergency'!H63+'Female Emergency'!H63</f>
        <v>7</v>
      </c>
    </row>
    <row r="64" spans="1:9" x14ac:dyDescent="0.25">
      <c r="A64" s="26">
        <v>18</v>
      </c>
      <c r="B64" s="14">
        <v>3</v>
      </c>
      <c r="C64" s="14"/>
      <c r="D64" s="14"/>
      <c r="E64" s="14"/>
      <c r="F64" s="14"/>
      <c r="G64" s="14">
        <v>2</v>
      </c>
      <c r="H64" s="27">
        <f t="shared" si="2"/>
        <v>7</v>
      </c>
      <c r="I64">
        <f>'Male Emergency'!H64+'Female Emergency'!H64</f>
        <v>12</v>
      </c>
    </row>
    <row r="65" spans="1:9" x14ac:dyDescent="0.25">
      <c r="A65" s="26">
        <v>19</v>
      </c>
      <c r="B65" s="14"/>
      <c r="C65" s="14"/>
      <c r="D65" s="14">
        <v>2</v>
      </c>
      <c r="E65" s="14"/>
      <c r="F65" s="14"/>
      <c r="G65" s="14">
        <v>2</v>
      </c>
      <c r="H65" s="27">
        <f t="shared" si="2"/>
        <v>3</v>
      </c>
      <c r="I65">
        <f>'Male Emergency'!H65+'Female Emergency'!H65</f>
        <v>7</v>
      </c>
    </row>
    <row r="66" spans="1:9" x14ac:dyDescent="0.25">
      <c r="A66" s="26">
        <v>20</v>
      </c>
      <c r="B66" s="14"/>
      <c r="C66" s="14">
        <v>1</v>
      </c>
      <c r="D66" s="14"/>
      <c r="E66" s="14"/>
      <c r="F66" s="14"/>
      <c r="G66" s="14"/>
      <c r="H66" s="27">
        <f t="shared" si="2"/>
        <v>2</v>
      </c>
      <c r="I66">
        <f>'Male Emergency'!H66+'Female Emergency'!H66</f>
        <v>5</v>
      </c>
    </row>
    <row r="67" spans="1:9" x14ac:dyDescent="0.25">
      <c r="A67" s="26">
        <v>21</v>
      </c>
      <c r="B67" s="14">
        <v>2</v>
      </c>
      <c r="C67" s="14"/>
      <c r="D67" s="14"/>
      <c r="E67" s="14"/>
      <c r="F67" s="14"/>
      <c r="G67" s="14">
        <v>1</v>
      </c>
      <c r="H67" s="27">
        <f t="shared" si="2"/>
        <v>3</v>
      </c>
      <c r="I67">
        <f>'Male Emergency'!H67+'Female Emergency'!H67</f>
        <v>5</v>
      </c>
    </row>
    <row r="68" spans="1:9" x14ac:dyDescent="0.25">
      <c r="A68" s="26">
        <v>22</v>
      </c>
      <c r="B68" s="14">
        <v>1</v>
      </c>
      <c r="C68" s="14"/>
      <c r="D68" s="14"/>
      <c r="E68" s="14"/>
      <c r="F68" s="14"/>
      <c r="G68" s="14">
        <v>1</v>
      </c>
      <c r="H68" s="27">
        <f t="shared" si="2"/>
        <v>3</v>
      </c>
      <c r="I68">
        <f>'Male Emergency'!H68+'Female Emergency'!H68</f>
        <v>6</v>
      </c>
    </row>
    <row r="69" spans="1:9" x14ac:dyDescent="0.25">
      <c r="A69" s="26">
        <v>23</v>
      </c>
      <c r="B69" s="14">
        <v>2</v>
      </c>
      <c r="C69" s="14"/>
      <c r="D69" s="14"/>
      <c r="E69" s="14">
        <v>1</v>
      </c>
      <c r="F69" s="14"/>
      <c r="G69" s="14">
        <v>1</v>
      </c>
      <c r="H69" s="27">
        <f t="shared" si="2"/>
        <v>3</v>
      </c>
      <c r="I69">
        <f>'Male Emergency'!H69+'Female Emergency'!H69</f>
        <v>8</v>
      </c>
    </row>
    <row r="70" spans="1:9" x14ac:dyDescent="0.25">
      <c r="A70" s="26">
        <v>24</v>
      </c>
      <c r="B70" s="407">
        <v>4</v>
      </c>
      <c r="C70" s="14"/>
      <c r="D70" s="14"/>
      <c r="E70" s="14"/>
      <c r="F70" s="14"/>
      <c r="G70" s="14">
        <v>3</v>
      </c>
      <c r="H70" s="27">
        <f t="shared" si="2"/>
        <v>4</v>
      </c>
      <c r="I70">
        <f>'Male Emergency'!H70+'Female Emergency'!H70</f>
        <v>6</v>
      </c>
    </row>
    <row r="71" spans="1:9" x14ac:dyDescent="0.25">
      <c r="A71" s="26">
        <v>25</v>
      </c>
      <c r="B71" s="407">
        <v>4</v>
      </c>
      <c r="C71" s="14">
        <v>1</v>
      </c>
      <c r="D71" s="14"/>
      <c r="E71" s="14"/>
      <c r="F71" s="14"/>
      <c r="G71" s="14">
        <v>2</v>
      </c>
      <c r="H71" s="27">
        <f t="shared" si="2"/>
        <v>5</v>
      </c>
      <c r="I71">
        <f>'Male Emergency'!H71+'Female Emergency'!H71</f>
        <v>13</v>
      </c>
    </row>
    <row r="72" spans="1:9" x14ac:dyDescent="0.25">
      <c r="A72" s="26">
        <v>26</v>
      </c>
      <c r="B72" s="14">
        <v>1</v>
      </c>
      <c r="C72" s="14">
        <v>1</v>
      </c>
      <c r="D72" s="14">
        <v>2</v>
      </c>
      <c r="E72" s="14"/>
      <c r="F72" s="14"/>
      <c r="G72" s="14">
        <v>1</v>
      </c>
      <c r="H72" s="27">
        <f t="shared" si="2"/>
        <v>2</v>
      </c>
      <c r="I72">
        <f>'Male Emergency'!H72+'Female Emergency'!H72</f>
        <v>9</v>
      </c>
    </row>
    <row r="73" spans="1:9" x14ac:dyDescent="0.25">
      <c r="A73" s="26">
        <v>27</v>
      </c>
      <c r="B73" s="14">
        <v>1</v>
      </c>
      <c r="C73" s="14">
        <v>1</v>
      </c>
      <c r="D73" s="14"/>
      <c r="E73" s="14"/>
      <c r="F73" s="14"/>
      <c r="G73" s="14">
        <v>1</v>
      </c>
      <c r="H73" s="27">
        <f t="shared" si="2"/>
        <v>1</v>
      </c>
      <c r="I73">
        <f>'Male Emergency'!H73+'Female Emergency'!H73</f>
        <v>10</v>
      </c>
    </row>
    <row r="74" spans="1:9" x14ac:dyDescent="0.25">
      <c r="A74" s="26">
        <v>28</v>
      </c>
      <c r="B74" s="14">
        <v>2</v>
      </c>
      <c r="C74" s="14"/>
      <c r="D74" s="14"/>
      <c r="E74" s="14"/>
      <c r="F74" s="14"/>
      <c r="G74" s="14">
        <v>1</v>
      </c>
      <c r="H74" s="27">
        <f t="shared" si="2"/>
        <v>2</v>
      </c>
      <c r="I74">
        <f>'Male Emergency'!H74+'Female Emergency'!H74</f>
        <v>7</v>
      </c>
    </row>
    <row r="75" spans="1:9" ht="15.75" thickBot="1" x14ac:dyDescent="0.3">
      <c r="A75" s="26">
        <v>29</v>
      </c>
      <c r="B75" s="14"/>
      <c r="C75" s="14"/>
      <c r="D75" s="14"/>
      <c r="E75" s="14"/>
      <c r="F75" s="14"/>
      <c r="G75" s="14"/>
      <c r="H75" s="27">
        <f t="shared" si="2"/>
        <v>2</v>
      </c>
      <c r="I75">
        <f>'Male Emergency'!H75+'Female Emergency'!H75</f>
        <v>7</v>
      </c>
    </row>
    <row r="76" spans="1:9" ht="15.75" thickBot="1" x14ac:dyDescent="0.3">
      <c r="A76" s="46" t="s">
        <v>35</v>
      </c>
      <c r="B76" s="47">
        <f>SUM(B47:B75)-E76</f>
        <v>41</v>
      </c>
      <c r="C76" s="47">
        <f t="shared" ref="C76:H76" si="3">SUM(C47:C75)</f>
        <v>9</v>
      </c>
      <c r="D76" s="47">
        <f t="shared" si="3"/>
        <v>4</v>
      </c>
      <c r="E76" s="47">
        <f t="shared" si="3"/>
        <v>1</v>
      </c>
      <c r="F76" s="47">
        <f t="shared" si="3"/>
        <v>0</v>
      </c>
      <c r="G76" s="47">
        <f t="shared" si="3"/>
        <v>29</v>
      </c>
      <c r="H76" s="48">
        <f t="shared" si="3"/>
        <v>91</v>
      </c>
      <c r="I76">
        <f>'Male Emergency'!H76+'Female Emergency'!H76</f>
        <v>219</v>
      </c>
    </row>
    <row r="79" spans="1:9" ht="36" x14ac:dyDescent="0.55000000000000004">
      <c r="A79" s="605" t="s">
        <v>1</v>
      </c>
      <c r="B79" s="605"/>
      <c r="C79" s="605"/>
      <c r="D79" s="605"/>
      <c r="E79" s="605"/>
      <c r="F79" s="605"/>
      <c r="G79" s="605"/>
      <c r="H79" s="605"/>
    </row>
    <row r="80" spans="1:9" ht="27" thickBot="1" x14ac:dyDescent="0.45">
      <c r="A80" s="606" t="s">
        <v>0</v>
      </c>
      <c r="B80" s="606"/>
      <c r="C80" s="606"/>
      <c r="D80" s="606"/>
      <c r="E80" s="606"/>
      <c r="F80" s="606"/>
      <c r="G80" s="606"/>
      <c r="H80" s="606"/>
    </row>
    <row r="81" spans="1:9" ht="15.75" x14ac:dyDescent="0.25">
      <c r="A81" s="18" t="s">
        <v>19</v>
      </c>
      <c r="B81" s="19" t="s">
        <v>3</v>
      </c>
      <c r="C81" s="20"/>
      <c r="D81" s="21" t="s">
        <v>18</v>
      </c>
      <c r="E81" s="615"/>
      <c r="F81" s="616"/>
      <c r="G81" s="19" t="s">
        <v>16</v>
      </c>
      <c r="H81" s="22" t="s">
        <v>42</v>
      </c>
    </row>
    <row r="82" spans="1:9" ht="15.75" x14ac:dyDescent="0.25">
      <c r="A82" s="609" t="s">
        <v>6</v>
      </c>
      <c r="B82" s="610"/>
      <c r="C82" s="610"/>
      <c r="D82" s="610"/>
      <c r="E82" s="610"/>
      <c r="F82" s="610"/>
      <c r="G82" s="611"/>
      <c r="H82" s="2">
        <f>H75</f>
        <v>2</v>
      </c>
    </row>
    <row r="83" spans="1:9" ht="16.5" thickBot="1" x14ac:dyDescent="0.3">
      <c r="A83" s="23" t="s">
        <v>7</v>
      </c>
      <c r="B83" s="24"/>
      <c r="C83" s="24"/>
      <c r="D83" s="24"/>
      <c r="E83" s="24"/>
      <c r="F83" s="24"/>
      <c r="G83" s="24"/>
      <c r="H83" s="25">
        <v>10</v>
      </c>
    </row>
    <row r="84" spans="1:9" ht="51.75" thickBot="1" x14ac:dyDescent="0.3">
      <c r="A84" s="15" t="s">
        <v>8</v>
      </c>
      <c r="B84" s="16" t="s">
        <v>9</v>
      </c>
      <c r="C84" s="16" t="s">
        <v>10</v>
      </c>
      <c r="D84" s="16" t="s">
        <v>11</v>
      </c>
      <c r="E84" s="16" t="s">
        <v>12</v>
      </c>
      <c r="F84" s="16" t="s">
        <v>13</v>
      </c>
      <c r="G84" s="16" t="s">
        <v>14</v>
      </c>
      <c r="H84" s="17" t="s">
        <v>15</v>
      </c>
    </row>
    <row r="85" spans="1:9" x14ac:dyDescent="0.25">
      <c r="A85" s="43">
        <v>1</v>
      </c>
      <c r="B85" s="44">
        <v>2</v>
      </c>
      <c r="C85" s="44">
        <v>2</v>
      </c>
      <c r="D85" s="44">
        <v>1</v>
      </c>
      <c r="E85" s="44"/>
      <c r="F85" s="44"/>
      <c r="G85" s="44">
        <v>1</v>
      </c>
      <c r="H85" s="45">
        <f>H82+B85+F85-(C85+D85+G85)-E85</f>
        <v>0</v>
      </c>
      <c r="I85">
        <f>'Male Emergency'!H85+'Female Emergency'!H85</f>
        <v>5</v>
      </c>
    </row>
    <row r="86" spans="1:9" x14ac:dyDescent="0.25">
      <c r="A86" s="26">
        <v>2</v>
      </c>
      <c r="B86" s="14">
        <v>1</v>
      </c>
      <c r="C86" s="14">
        <v>1</v>
      </c>
      <c r="D86" s="14"/>
      <c r="E86" s="14"/>
      <c r="F86" s="14"/>
      <c r="G86" s="14">
        <v>1</v>
      </c>
      <c r="H86" s="27">
        <f>H85+B86+F86-(C86+D86+G86)-E86</f>
        <v>-1</v>
      </c>
      <c r="I86">
        <f>'Male Emergency'!H86+'Female Emergency'!H86</f>
        <v>3</v>
      </c>
    </row>
    <row r="87" spans="1:9" x14ac:dyDescent="0.25">
      <c r="A87" s="26">
        <v>3</v>
      </c>
      <c r="B87" s="14">
        <v>2</v>
      </c>
      <c r="C87" s="14">
        <v>1</v>
      </c>
      <c r="D87" s="14"/>
      <c r="E87" s="14"/>
      <c r="F87" s="14"/>
      <c r="G87" s="14"/>
      <c r="H87" s="27">
        <f t="shared" ref="H87:H115" si="4">H86+B87+F87-(C87+D87+G87)-E87</f>
        <v>0</v>
      </c>
      <c r="I87">
        <f>'Male Emergency'!H87+'Female Emergency'!H87</f>
        <v>4</v>
      </c>
    </row>
    <row r="88" spans="1:9" x14ac:dyDescent="0.25">
      <c r="A88" s="26">
        <v>4</v>
      </c>
      <c r="B88" s="14"/>
      <c r="C88" s="14"/>
      <c r="D88" s="14"/>
      <c r="E88" s="14"/>
      <c r="F88" s="14"/>
      <c r="G88" s="14">
        <v>2</v>
      </c>
      <c r="H88" s="27">
        <f t="shared" si="4"/>
        <v>-2</v>
      </c>
      <c r="I88">
        <f>'Male Emergency'!H88+'Female Emergency'!H88</f>
        <v>4</v>
      </c>
    </row>
    <row r="89" spans="1:9" x14ac:dyDescent="0.25">
      <c r="A89" s="26">
        <v>5</v>
      </c>
      <c r="B89" s="14">
        <v>2</v>
      </c>
      <c r="C89" s="14"/>
      <c r="D89" s="14"/>
      <c r="E89" s="14"/>
      <c r="F89" s="14"/>
      <c r="G89" s="14"/>
      <c r="H89" s="27">
        <f t="shared" si="4"/>
        <v>0</v>
      </c>
      <c r="I89">
        <f>'Male Emergency'!H89+'Female Emergency'!H89</f>
        <v>7</v>
      </c>
    </row>
    <row r="90" spans="1:9" x14ac:dyDescent="0.25">
      <c r="A90" s="26">
        <v>6</v>
      </c>
      <c r="B90" s="14">
        <v>1</v>
      </c>
      <c r="C90" s="14"/>
      <c r="D90" s="14"/>
      <c r="E90" s="14"/>
      <c r="F90" s="14"/>
      <c r="G90" s="14">
        <v>1</v>
      </c>
      <c r="H90" s="27">
        <f t="shared" si="4"/>
        <v>0</v>
      </c>
      <c r="I90">
        <f>'Male Emergency'!H90+'Female Emergency'!H90</f>
        <v>6</v>
      </c>
    </row>
    <row r="91" spans="1:9" x14ac:dyDescent="0.25">
      <c r="A91" s="26">
        <v>7</v>
      </c>
      <c r="B91" s="14">
        <v>3</v>
      </c>
      <c r="C91" s="14">
        <v>1</v>
      </c>
      <c r="D91" s="14"/>
      <c r="E91" s="14"/>
      <c r="F91" s="14"/>
      <c r="G91" s="14"/>
      <c r="H91" s="27">
        <f t="shared" si="4"/>
        <v>2</v>
      </c>
      <c r="I91">
        <f>'Male Emergency'!H91+'Female Emergency'!H91</f>
        <v>10</v>
      </c>
    </row>
    <row r="92" spans="1:9" x14ac:dyDescent="0.25">
      <c r="A92" s="26">
        <v>8</v>
      </c>
      <c r="B92" s="14"/>
      <c r="C92" s="14"/>
      <c r="D92" s="14"/>
      <c r="E92" s="14">
        <v>1</v>
      </c>
      <c r="F92" s="14"/>
      <c r="G92" s="14">
        <v>2</v>
      </c>
      <c r="H92" s="27">
        <f t="shared" si="4"/>
        <v>-1</v>
      </c>
      <c r="I92">
        <f>'Male Emergency'!H92+'Female Emergency'!H92</f>
        <v>5</v>
      </c>
    </row>
    <row r="93" spans="1:9" x14ac:dyDescent="0.25">
      <c r="A93" s="26">
        <v>9</v>
      </c>
      <c r="B93" s="14">
        <v>3</v>
      </c>
      <c r="C93" s="14">
        <v>1</v>
      </c>
      <c r="D93" s="14"/>
      <c r="E93" s="14"/>
      <c r="F93" s="14"/>
      <c r="G93" s="14"/>
      <c r="H93" s="27">
        <f t="shared" si="4"/>
        <v>1</v>
      </c>
      <c r="I93">
        <f>'Male Emergency'!H93+'Female Emergency'!H93</f>
        <v>3</v>
      </c>
    </row>
    <row r="94" spans="1:9" x14ac:dyDescent="0.25">
      <c r="A94" s="26">
        <v>10</v>
      </c>
      <c r="B94" s="14">
        <v>2</v>
      </c>
      <c r="C94" s="14">
        <v>1</v>
      </c>
      <c r="D94" s="14"/>
      <c r="E94" s="14"/>
      <c r="F94" s="14"/>
      <c r="G94" s="14"/>
      <c r="H94" s="27">
        <f t="shared" si="4"/>
        <v>2</v>
      </c>
      <c r="I94">
        <f>'Male Emergency'!H94+'Female Emergency'!H94</f>
        <v>7</v>
      </c>
    </row>
    <row r="95" spans="1:9" x14ac:dyDescent="0.25">
      <c r="A95" s="26">
        <v>11</v>
      </c>
      <c r="B95" s="14">
        <v>3</v>
      </c>
      <c r="C95" s="14"/>
      <c r="D95" s="14"/>
      <c r="E95" s="14"/>
      <c r="F95" s="14"/>
      <c r="G95" s="14">
        <v>2</v>
      </c>
      <c r="H95" s="27">
        <f t="shared" si="4"/>
        <v>3</v>
      </c>
      <c r="I95">
        <f>'Male Emergency'!H95+'Female Emergency'!H95</f>
        <v>8</v>
      </c>
    </row>
    <row r="96" spans="1:9" x14ac:dyDescent="0.25">
      <c r="A96" s="26">
        <v>12</v>
      </c>
      <c r="B96" s="14">
        <v>1</v>
      </c>
      <c r="C96" s="14">
        <v>2</v>
      </c>
      <c r="D96" s="14"/>
      <c r="E96" s="14"/>
      <c r="F96" s="14"/>
      <c r="G96" s="14">
        <v>2</v>
      </c>
      <c r="H96" s="27">
        <f t="shared" si="4"/>
        <v>0</v>
      </c>
      <c r="I96">
        <f>'Male Emergency'!H96+'Female Emergency'!H96</f>
        <v>7</v>
      </c>
    </row>
    <row r="97" spans="1:9" x14ac:dyDescent="0.25">
      <c r="A97" s="26">
        <v>13</v>
      </c>
      <c r="B97" s="14">
        <v>1</v>
      </c>
      <c r="C97" s="14"/>
      <c r="D97" s="14"/>
      <c r="E97" s="14"/>
      <c r="F97" s="14"/>
      <c r="G97" s="14">
        <v>2</v>
      </c>
      <c r="H97" s="27">
        <f t="shared" si="4"/>
        <v>-1</v>
      </c>
      <c r="I97">
        <f>'Male Emergency'!H97+'Female Emergency'!H97</f>
        <v>4</v>
      </c>
    </row>
    <row r="98" spans="1:9" x14ac:dyDescent="0.25">
      <c r="A98" s="26">
        <v>14</v>
      </c>
      <c r="B98" s="14">
        <v>2</v>
      </c>
      <c r="C98" s="14"/>
      <c r="D98" s="14"/>
      <c r="E98" s="14">
        <v>1</v>
      </c>
      <c r="F98" s="14"/>
      <c r="G98" s="14"/>
      <c r="H98" s="27">
        <f t="shared" si="4"/>
        <v>0</v>
      </c>
      <c r="I98">
        <f>'Male Emergency'!H98+'Female Emergency'!H98</f>
        <v>5</v>
      </c>
    </row>
    <row r="99" spans="1:9" x14ac:dyDescent="0.25">
      <c r="A99" s="26">
        <v>15</v>
      </c>
      <c r="B99" s="14">
        <v>6</v>
      </c>
      <c r="C99" s="14">
        <v>1</v>
      </c>
      <c r="D99" s="14"/>
      <c r="E99" s="14"/>
      <c r="F99" s="14"/>
      <c r="G99" s="14">
        <v>4</v>
      </c>
      <c r="H99" s="27">
        <f t="shared" si="4"/>
        <v>1</v>
      </c>
      <c r="I99">
        <f>'Male Emergency'!H99+'Female Emergency'!H99</f>
        <v>3</v>
      </c>
    </row>
    <row r="100" spans="1:9" x14ac:dyDescent="0.25">
      <c r="A100" s="26">
        <v>16</v>
      </c>
      <c r="B100" s="14">
        <v>2</v>
      </c>
      <c r="C100" s="14">
        <v>1</v>
      </c>
      <c r="D100" s="14"/>
      <c r="E100" s="14"/>
      <c r="F100" s="14"/>
      <c r="G100" s="14">
        <v>1</v>
      </c>
      <c r="H100" s="27">
        <f t="shared" si="4"/>
        <v>1</v>
      </c>
      <c r="I100">
        <f>'Male Emergency'!H100+'Female Emergency'!H100</f>
        <v>5</v>
      </c>
    </row>
    <row r="101" spans="1:9" x14ac:dyDescent="0.25">
      <c r="A101" s="26">
        <v>17</v>
      </c>
      <c r="B101" s="14">
        <v>1</v>
      </c>
      <c r="C101" s="14"/>
      <c r="D101" s="14"/>
      <c r="E101" s="14"/>
      <c r="F101" s="14"/>
      <c r="G101" s="14">
        <v>1</v>
      </c>
      <c r="H101" s="27">
        <f t="shared" si="4"/>
        <v>1</v>
      </c>
      <c r="I101">
        <f>'Male Emergency'!H101+'Female Emergency'!H101</f>
        <v>4</v>
      </c>
    </row>
    <row r="102" spans="1:9" x14ac:dyDescent="0.25">
      <c r="A102" s="26">
        <v>18</v>
      </c>
      <c r="B102" s="14">
        <v>6</v>
      </c>
      <c r="C102" s="14">
        <v>1</v>
      </c>
      <c r="D102" s="14"/>
      <c r="E102" s="14"/>
      <c r="F102" s="14"/>
      <c r="G102" s="14">
        <v>1</v>
      </c>
      <c r="H102" s="27">
        <f t="shared" si="4"/>
        <v>5</v>
      </c>
      <c r="I102">
        <f>'Male Emergency'!H102+'Female Emergency'!H102</f>
        <v>8</v>
      </c>
    </row>
    <row r="103" spans="1:9" x14ac:dyDescent="0.25">
      <c r="A103" s="26">
        <v>19</v>
      </c>
      <c r="B103" s="14">
        <v>4</v>
      </c>
      <c r="C103" s="14"/>
      <c r="D103" s="14"/>
      <c r="E103" s="14"/>
      <c r="F103" s="14"/>
      <c r="G103" s="14">
        <v>3</v>
      </c>
      <c r="H103" s="27">
        <f t="shared" si="4"/>
        <v>6</v>
      </c>
      <c r="I103">
        <f>'Male Emergency'!H103+'Female Emergency'!H103</f>
        <v>8</v>
      </c>
    </row>
    <row r="104" spans="1:9" x14ac:dyDescent="0.25">
      <c r="A104" s="26">
        <v>20</v>
      </c>
      <c r="B104" s="14">
        <v>2</v>
      </c>
      <c r="C104" s="14"/>
      <c r="D104" s="14"/>
      <c r="E104" s="14"/>
      <c r="F104" s="14"/>
      <c r="G104" s="14"/>
      <c r="H104" s="27">
        <f t="shared" si="4"/>
        <v>8</v>
      </c>
      <c r="I104">
        <f>'Male Emergency'!H104+'Female Emergency'!H104</f>
        <v>10</v>
      </c>
    </row>
    <row r="105" spans="1:9" x14ac:dyDescent="0.25">
      <c r="A105" s="26">
        <v>21</v>
      </c>
      <c r="B105" s="14">
        <v>2</v>
      </c>
      <c r="C105" s="14">
        <v>3</v>
      </c>
      <c r="D105" s="14"/>
      <c r="E105" s="14"/>
      <c r="F105" s="14"/>
      <c r="G105" s="14">
        <v>1</v>
      </c>
      <c r="H105" s="27">
        <f t="shared" si="4"/>
        <v>6</v>
      </c>
      <c r="I105">
        <f>'Male Emergency'!H105+'Female Emergency'!H105</f>
        <v>10</v>
      </c>
    </row>
    <row r="106" spans="1:9" x14ac:dyDescent="0.25">
      <c r="A106" s="26">
        <v>22</v>
      </c>
      <c r="B106" s="14">
        <v>3</v>
      </c>
      <c r="C106" s="14">
        <v>1</v>
      </c>
      <c r="D106" s="14">
        <v>2</v>
      </c>
      <c r="E106" s="14"/>
      <c r="F106" s="14"/>
      <c r="G106" s="14">
        <v>1</v>
      </c>
      <c r="H106" s="27">
        <f t="shared" si="4"/>
        <v>5</v>
      </c>
      <c r="I106">
        <f>'Male Emergency'!H106+'Female Emergency'!H106</f>
        <v>7</v>
      </c>
    </row>
    <row r="107" spans="1:9" x14ac:dyDescent="0.25">
      <c r="A107" s="26">
        <v>23</v>
      </c>
      <c r="B107" s="14">
        <v>1</v>
      </c>
      <c r="C107" s="14">
        <v>2</v>
      </c>
      <c r="D107" s="14"/>
      <c r="E107" s="14"/>
      <c r="F107" s="14"/>
      <c r="G107" s="14">
        <v>2</v>
      </c>
      <c r="H107" s="27">
        <f t="shared" si="4"/>
        <v>2</v>
      </c>
      <c r="I107">
        <f>'Male Emergency'!H107+'Female Emergency'!H107</f>
        <v>4</v>
      </c>
    </row>
    <row r="108" spans="1:9" x14ac:dyDescent="0.25">
      <c r="A108" s="26">
        <v>24</v>
      </c>
      <c r="B108" s="14">
        <v>2</v>
      </c>
      <c r="C108" s="14"/>
      <c r="D108" s="14"/>
      <c r="E108" s="14"/>
      <c r="F108" s="14"/>
      <c r="G108" s="14">
        <v>2</v>
      </c>
      <c r="H108" s="27">
        <f t="shared" si="4"/>
        <v>2</v>
      </c>
      <c r="I108">
        <f>'Male Emergency'!H108+'Female Emergency'!H108</f>
        <v>5</v>
      </c>
    </row>
    <row r="109" spans="1:9" x14ac:dyDescent="0.25">
      <c r="A109" s="26">
        <v>25</v>
      </c>
      <c r="B109" s="14">
        <v>1</v>
      </c>
      <c r="C109" s="14">
        <v>1</v>
      </c>
      <c r="D109" s="14"/>
      <c r="E109" s="14"/>
      <c r="F109" s="14"/>
      <c r="G109" s="14">
        <v>1</v>
      </c>
      <c r="H109" s="27">
        <f t="shared" si="4"/>
        <v>1</v>
      </c>
      <c r="I109">
        <f>'Male Emergency'!H109+'Female Emergency'!H109</f>
        <v>5</v>
      </c>
    </row>
    <row r="110" spans="1:9" x14ac:dyDescent="0.25">
      <c r="A110" s="26">
        <v>26</v>
      </c>
      <c r="B110" s="14">
        <v>4</v>
      </c>
      <c r="C110" s="14">
        <v>1</v>
      </c>
      <c r="D110" s="14"/>
      <c r="E110" s="14"/>
      <c r="F110" s="14"/>
      <c r="G110" s="14">
        <v>1</v>
      </c>
      <c r="H110" s="27">
        <f t="shared" si="4"/>
        <v>3</v>
      </c>
      <c r="I110">
        <f>'Male Emergency'!H110+'Female Emergency'!H110</f>
        <v>7</v>
      </c>
    </row>
    <row r="111" spans="1:9" x14ac:dyDescent="0.25">
      <c r="A111" s="26">
        <v>27</v>
      </c>
      <c r="B111" s="14">
        <v>2</v>
      </c>
      <c r="C111" s="14"/>
      <c r="D111" s="14"/>
      <c r="E111" s="14"/>
      <c r="F111" s="14"/>
      <c r="G111" s="14">
        <v>1</v>
      </c>
      <c r="H111" s="27">
        <f t="shared" si="4"/>
        <v>4</v>
      </c>
      <c r="I111">
        <f>'Male Emergency'!H111+'Female Emergency'!H111</f>
        <v>7</v>
      </c>
    </row>
    <row r="112" spans="1:9" x14ac:dyDescent="0.25">
      <c r="A112" s="26">
        <v>28</v>
      </c>
      <c r="B112" s="14">
        <v>1</v>
      </c>
      <c r="C112" s="14">
        <v>1</v>
      </c>
      <c r="D112" s="14"/>
      <c r="E112" s="14"/>
      <c r="F112" s="14"/>
      <c r="G112" s="14">
        <v>3</v>
      </c>
      <c r="H112" s="27">
        <f t="shared" si="4"/>
        <v>1</v>
      </c>
      <c r="I112">
        <f>'Male Emergency'!H112+'Female Emergency'!H112</f>
        <v>4</v>
      </c>
    </row>
    <row r="113" spans="1:9" x14ac:dyDescent="0.25">
      <c r="A113" s="26">
        <v>29</v>
      </c>
      <c r="B113" s="14">
        <v>1</v>
      </c>
      <c r="C113" s="14"/>
      <c r="D113" s="14">
        <v>1</v>
      </c>
      <c r="E113" s="14"/>
      <c r="F113" s="14"/>
      <c r="G113" s="14"/>
      <c r="H113" s="27">
        <f t="shared" si="4"/>
        <v>1</v>
      </c>
      <c r="I113">
        <f>'Male Emergency'!H113+'Female Emergency'!H113</f>
        <v>5</v>
      </c>
    </row>
    <row r="114" spans="1:9" x14ac:dyDescent="0.25">
      <c r="A114" s="26">
        <v>30</v>
      </c>
      <c r="B114" s="14">
        <v>1</v>
      </c>
      <c r="C114" s="14"/>
      <c r="D114" s="14"/>
      <c r="E114" s="14"/>
      <c r="F114" s="14"/>
      <c r="G114" s="14">
        <v>2</v>
      </c>
      <c r="H114" s="27">
        <f t="shared" si="4"/>
        <v>0</v>
      </c>
      <c r="I114">
        <f>'Male Emergency'!H114+'Female Emergency'!H114</f>
        <v>3</v>
      </c>
    </row>
    <row r="115" spans="1:9" ht="15.75" thickBot="1" x14ac:dyDescent="0.3">
      <c r="A115" s="28">
        <v>31</v>
      </c>
      <c r="B115" s="29">
        <v>2</v>
      </c>
      <c r="C115" s="29"/>
      <c r="D115" s="29"/>
      <c r="E115" s="29"/>
      <c r="F115" s="29"/>
      <c r="G115" s="29"/>
      <c r="H115" s="30">
        <f t="shared" si="4"/>
        <v>2</v>
      </c>
      <c r="I115">
        <f>'Male Emergency'!H115+'Female Emergency'!H115</f>
        <v>5</v>
      </c>
    </row>
    <row r="116" spans="1:9" ht="15.75" thickBot="1" x14ac:dyDescent="0.3">
      <c r="A116" s="46" t="s">
        <v>35</v>
      </c>
      <c r="B116" s="47">
        <f>SUM(B85:B115)-E116</f>
        <v>62</v>
      </c>
      <c r="C116" s="47">
        <f t="shared" ref="C116:H116" si="5">SUM(C85:C115)</f>
        <v>21</v>
      </c>
      <c r="D116" s="47">
        <f t="shared" si="5"/>
        <v>4</v>
      </c>
      <c r="E116" s="47">
        <f t="shared" si="5"/>
        <v>2</v>
      </c>
      <c r="F116" s="47">
        <f t="shared" si="5"/>
        <v>0</v>
      </c>
      <c r="G116" s="47">
        <f t="shared" si="5"/>
        <v>37</v>
      </c>
      <c r="H116" s="48">
        <f t="shared" si="5"/>
        <v>52</v>
      </c>
      <c r="I116">
        <f>'Male Emergency'!H116+'Female Emergency'!H116</f>
        <v>178</v>
      </c>
    </row>
    <row r="119" spans="1:9" ht="36" x14ac:dyDescent="0.55000000000000004">
      <c r="A119" s="605" t="s">
        <v>1</v>
      </c>
      <c r="B119" s="605"/>
      <c r="C119" s="605"/>
      <c r="D119" s="605"/>
      <c r="E119" s="605"/>
      <c r="F119" s="605"/>
      <c r="G119" s="605"/>
      <c r="H119" s="605"/>
    </row>
    <row r="120" spans="1:9" ht="27" thickBot="1" x14ac:dyDescent="0.45">
      <c r="A120" s="606" t="s">
        <v>0</v>
      </c>
      <c r="B120" s="606"/>
      <c r="C120" s="606"/>
      <c r="D120" s="606"/>
      <c r="E120" s="606"/>
      <c r="F120" s="606"/>
      <c r="G120" s="606"/>
      <c r="H120" s="606"/>
    </row>
    <row r="121" spans="1:9" ht="15.75" x14ac:dyDescent="0.25">
      <c r="A121" s="39" t="s">
        <v>2</v>
      </c>
      <c r="B121" s="19" t="s">
        <v>3</v>
      </c>
      <c r="C121" s="20"/>
      <c r="D121" s="21" t="s">
        <v>52</v>
      </c>
      <c r="E121" s="617" t="s">
        <v>54</v>
      </c>
      <c r="F121" s="618"/>
      <c r="G121" s="19" t="s">
        <v>16</v>
      </c>
      <c r="H121" s="22" t="s">
        <v>50</v>
      </c>
    </row>
    <row r="122" spans="1:9" ht="15.75" x14ac:dyDescent="0.25">
      <c r="A122" s="609" t="s">
        <v>6</v>
      </c>
      <c r="B122" s="610"/>
      <c r="C122" s="610"/>
      <c r="D122" s="610"/>
      <c r="E122" s="610"/>
      <c r="F122" s="610"/>
      <c r="G122" s="611"/>
      <c r="H122" s="2">
        <f>H115</f>
        <v>2</v>
      </c>
    </row>
    <row r="123" spans="1:9" ht="15.75" x14ac:dyDescent="0.25">
      <c r="A123" s="3" t="s">
        <v>7</v>
      </c>
      <c r="B123" s="1"/>
      <c r="C123" s="1"/>
      <c r="D123" s="1"/>
      <c r="E123" s="1"/>
      <c r="F123" s="1"/>
      <c r="G123" s="1"/>
      <c r="H123" s="2">
        <v>10</v>
      </c>
    </row>
    <row r="124" spans="1:9" ht="51.75" thickBot="1" x14ac:dyDescent="0.3">
      <c r="A124" s="40" t="s">
        <v>8</v>
      </c>
      <c r="B124" s="41" t="s">
        <v>9</v>
      </c>
      <c r="C124" s="41" t="s">
        <v>10</v>
      </c>
      <c r="D124" s="41" t="s">
        <v>11</v>
      </c>
      <c r="E124" s="41" t="s">
        <v>12</v>
      </c>
      <c r="F124" s="41" t="s">
        <v>13</v>
      </c>
      <c r="G124" s="41" t="s">
        <v>14</v>
      </c>
      <c r="H124" s="42" t="s">
        <v>15</v>
      </c>
    </row>
    <row r="125" spans="1:9" x14ac:dyDescent="0.25">
      <c r="A125" s="36">
        <v>1</v>
      </c>
      <c r="B125" s="37">
        <v>4</v>
      </c>
      <c r="C125" s="37">
        <v>1</v>
      </c>
      <c r="D125" s="37"/>
      <c r="E125" s="37"/>
      <c r="F125" s="37"/>
      <c r="G125" s="37">
        <v>3</v>
      </c>
      <c r="H125" s="38">
        <f>H122+B125+F125-(C125+D125+G125)-E125</f>
        <v>2</v>
      </c>
      <c r="I125">
        <f>'Male Emergency'!H125+'Female Emergency'!H125</f>
        <v>3</v>
      </c>
    </row>
    <row r="126" spans="1:9" x14ac:dyDescent="0.25">
      <c r="A126" s="26">
        <v>2</v>
      </c>
      <c r="B126" s="5">
        <v>5</v>
      </c>
      <c r="C126" s="5">
        <v>2</v>
      </c>
      <c r="D126" s="5"/>
      <c r="E126" s="5"/>
      <c r="F126" s="5"/>
      <c r="G126" s="5">
        <v>3</v>
      </c>
      <c r="H126" s="2">
        <f>H125+B126+F126-(C126+D126+G126)-E126</f>
        <v>2</v>
      </c>
      <c r="I126">
        <f>'Male Emergency'!H126+'Female Emergency'!H126</f>
        <v>7</v>
      </c>
    </row>
    <row r="127" spans="1:9" x14ac:dyDescent="0.25">
      <c r="A127" s="26">
        <v>3</v>
      </c>
      <c r="B127" s="5">
        <v>3</v>
      </c>
      <c r="C127" s="5"/>
      <c r="D127" s="5"/>
      <c r="E127" s="5"/>
      <c r="F127" s="5"/>
      <c r="G127" s="5">
        <v>3</v>
      </c>
      <c r="H127" s="2">
        <f>H126+B127+F127-(C127+D127+G127)-E127</f>
        <v>2</v>
      </c>
      <c r="I127">
        <f>'Male Emergency'!H127+'Female Emergency'!H127</f>
        <v>7</v>
      </c>
    </row>
    <row r="128" spans="1:9" x14ac:dyDescent="0.25">
      <c r="A128" s="26">
        <v>4</v>
      </c>
      <c r="B128" s="5">
        <v>3</v>
      </c>
      <c r="C128" s="5"/>
      <c r="D128" s="5">
        <v>1</v>
      </c>
      <c r="E128" s="5"/>
      <c r="F128" s="5"/>
      <c r="G128" s="5"/>
      <c r="H128" s="2">
        <f t="shared" ref="H128:H154" si="6">H127+B128+F128-(C128+D128+G128)-E128</f>
        <v>4</v>
      </c>
      <c r="I128">
        <f>'Male Emergency'!H128+'Female Emergency'!H128</f>
        <v>8</v>
      </c>
    </row>
    <row r="129" spans="1:9" x14ac:dyDescent="0.25">
      <c r="A129" s="26">
        <v>5</v>
      </c>
      <c r="B129" s="5">
        <v>3</v>
      </c>
      <c r="C129" s="5"/>
      <c r="D129" s="5"/>
      <c r="E129" s="5"/>
      <c r="F129" s="5"/>
      <c r="G129" s="5">
        <v>1</v>
      </c>
      <c r="H129" s="2">
        <f t="shared" si="6"/>
        <v>6</v>
      </c>
      <c r="I129">
        <f>'Male Emergency'!H129+'Female Emergency'!H129</f>
        <v>8</v>
      </c>
    </row>
    <row r="130" spans="1:9" x14ac:dyDescent="0.25">
      <c r="A130" s="26">
        <v>6</v>
      </c>
      <c r="B130" s="5">
        <v>4</v>
      </c>
      <c r="C130" s="5">
        <v>3</v>
      </c>
      <c r="D130" s="5"/>
      <c r="E130" s="5"/>
      <c r="F130" s="5"/>
      <c r="G130" s="5">
        <v>1</v>
      </c>
      <c r="H130" s="2">
        <f>H129+B130+F130-(C130+D130+G130)-E130</f>
        <v>6</v>
      </c>
      <c r="I130">
        <f>'Male Emergency'!H130+'Female Emergency'!H130</f>
        <v>8</v>
      </c>
    </row>
    <row r="131" spans="1:9" x14ac:dyDescent="0.25">
      <c r="A131" s="26">
        <v>7</v>
      </c>
      <c r="B131" s="5">
        <v>3</v>
      </c>
      <c r="C131" s="5">
        <v>4</v>
      </c>
      <c r="D131" s="5"/>
      <c r="E131" s="5">
        <v>1</v>
      </c>
      <c r="F131" s="5"/>
      <c r="G131" s="5">
        <v>1</v>
      </c>
      <c r="H131" s="2">
        <f t="shared" si="6"/>
        <v>3</v>
      </c>
      <c r="I131">
        <f>'Male Emergency'!H131+'Female Emergency'!H131</f>
        <v>5</v>
      </c>
    </row>
    <row r="132" spans="1:9" x14ac:dyDescent="0.25">
      <c r="A132" s="26">
        <v>8</v>
      </c>
      <c r="B132" s="5">
        <v>4</v>
      </c>
      <c r="C132" s="5">
        <v>1</v>
      </c>
      <c r="D132" s="5"/>
      <c r="E132" s="5"/>
      <c r="F132" s="5"/>
      <c r="G132" s="5">
        <v>1</v>
      </c>
      <c r="H132" s="2">
        <f t="shared" si="6"/>
        <v>5</v>
      </c>
      <c r="I132">
        <f>'Male Emergency'!H132+'Female Emergency'!H132</f>
        <v>7</v>
      </c>
    </row>
    <row r="133" spans="1:9" x14ac:dyDescent="0.25">
      <c r="A133" s="26">
        <v>9</v>
      </c>
      <c r="B133" s="5"/>
      <c r="C133" s="5">
        <v>1</v>
      </c>
      <c r="D133" s="5"/>
      <c r="E133" s="5"/>
      <c r="F133" s="5"/>
      <c r="G133" s="5">
        <v>2</v>
      </c>
      <c r="H133" s="2">
        <f t="shared" si="6"/>
        <v>2</v>
      </c>
      <c r="I133">
        <f>'Male Emergency'!H133+'Female Emergency'!H133</f>
        <v>5</v>
      </c>
    </row>
    <row r="134" spans="1:9" x14ac:dyDescent="0.25">
      <c r="A134" s="26">
        <v>10</v>
      </c>
      <c r="B134" s="5">
        <v>7</v>
      </c>
      <c r="C134" s="5">
        <v>1</v>
      </c>
      <c r="D134" s="5"/>
      <c r="E134" s="5"/>
      <c r="F134" s="5"/>
      <c r="G134" s="5">
        <v>2</v>
      </c>
      <c r="H134" s="2">
        <f t="shared" si="6"/>
        <v>6</v>
      </c>
      <c r="I134">
        <f>'Male Emergency'!H134+'Female Emergency'!H134</f>
        <v>8</v>
      </c>
    </row>
    <row r="135" spans="1:9" x14ac:dyDescent="0.25">
      <c r="A135" s="26">
        <v>11</v>
      </c>
      <c r="B135" s="5">
        <v>3</v>
      </c>
      <c r="C135" s="5">
        <v>1</v>
      </c>
      <c r="D135" s="5"/>
      <c r="E135" s="5"/>
      <c r="F135" s="5"/>
      <c r="G135" s="5">
        <v>3</v>
      </c>
      <c r="H135" s="2">
        <f t="shared" si="6"/>
        <v>5</v>
      </c>
      <c r="I135">
        <f>'Male Emergency'!H135+'Female Emergency'!H135</f>
        <v>6</v>
      </c>
    </row>
    <row r="136" spans="1:9" x14ac:dyDescent="0.25">
      <c r="A136" s="26">
        <v>12</v>
      </c>
      <c r="B136" s="5">
        <v>1</v>
      </c>
      <c r="C136" s="5">
        <v>2</v>
      </c>
      <c r="D136" s="5">
        <v>1</v>
      </c>
      <c r="E136" s="5"/>
      <c r="F136" s="5"/>
      <c r="G136" s="5">
        <v>1</v>
      </c>
      <c r="H136" s="2">
        <f t="shared" si="6"/>
        <v>2</v>
      </c>
      <c r="I136">
        <f>'Male Emergency'!H136+'Female Emergency'!H136</f>
        <v>3</v>
      </c>
    </row>
    <row r="137" spans="1:9" x14ac:dyDescent="0.25">
      <c r="A137" s="26">
        <v>13</v>
      </c>
      <c r="B137" s="5">
        <v>1</v>
      </c>
      <c r="C137" s="5"/>
      <c r="D137" s="5"/>
      <c r="E137" s="5"/>
      <c r="F137" s="5"/>
      <c r="G137" s="5"/>
      <c r="H137" s="2">
        <f t="shared" si="6"/>
        <v>3</v>
      </c>
      <c r="I137">
        <f>'Male Emergency'!H137+'Female Emergency'!H137</f>
        <v>7</v>
      </c>
    </row>
    <row r="138" spans="1:9" x14ac:dyDescent="0.25">
      <c r="A138" s="26">
        <v>14</v>
      </c>
      <c r="B138" s="5">
        <v>4</v>
      </c>
      <c r="C138" s="5">
        <v>2</v>
      </c>
      <c r="D138" s="5"/>
      <c r="E138" s="5"/>
      <c r="F138" s="5"/>
      <c r="G138" s="5"/>
      <c r="H138" s="2">
        <f t="shared" si="6"/>
        <v>5</v>
      </c>
      <c r="I138">
        <f>'Male Emergency'!H138+'Female Emergency'!H138</f>
        <v>8</v>
      </c>
    </row>
    <row r="139" spans="1:9" x14ac:dyDescent="0.25">
      <c r="A139" s="26">
        <v>15</v>
      </c>
      <c r="B139" s="5">
        <v>1</v>
      </c>
      <c r="C139" s="5">
        <v>2</v>
      </c>
      <c r="D139" s="5"/>
      <c r="E139" s="5"/>
      <c r="F139" s="5"/>
      <c r="G139" s="5">
        <v>2</v>
      </c>
      <c r="H139" s="2">
        <f t="shared" si="6"/>
        <v>2</v>
      </c>
      <c r="I139">
        <f>'Male Emergency'!H139+'Female Emergency'!H139</f>
        <v>7</v>
      </c>
    </row>
    <row r="140" spans="1:9" x14ac:dyDescent="0.25">
      <c r="A140" s="26">
        <v>16</v>
      </c>
      <c r="B140" s="5">
        <v>1</v>
      </c>
      <c r="C140" s="5"/>
      <c r="D140" s="5"/>
      <c r="E140" s="5"/>
      <c r="F140" s="5"/>
      <c r="G140" s="5">
        <v>2</v>
      </c>
      <c r="H140" s="2">
        <f t="shared" si="6"/>
        <v>1</v>
      </c>
      <c r="I140">
        <f>'Male Emergency'!H140+'Female Emergency'!H140</f>
        <v>4</v>
      </c>
    </row>
    <row r="141" spans="1:9" x14ac:dyDescent="0.25">
      <c r="A141" s="26">
        <v>17</v>
      </c>
      <c r="B141" s="5">
        <v>1</v>
      </c>
      <c r="C141" s="5"/>
      <c r="D141" s="5"/>
      <c r="E141" s="5"/>
      <c r="F141" s="5"/>
      <c r="G141" s="5">
        <v>1</v>
      </c>
      <c r="H141" s="2">
        <f t="shared" si="6"/>
        <v>1</v>
      </c>
      <c r="I141">
        <f>'Male Emergency'!H141+'Female Emergency'!H141</f>
        <v>5</v>
      </c>
    </row>
    <row r="142" spans="1:9" x14ac:dyDescent="0.25">
      <c r="A142" s="26">
        <v>18</v>
      </c>
      <c r="B142" s="5">
        <v>2</v>
      </c>
      <c r="C142" s="5">
        <v>1</v>
      </c>
      <c r="D142" s="5"/>
      <c r="E142" s="5"/>
      <c r="F142" s="5"/>
      <c r="G142" s="5">
        <v>1</v>
      </c>
      <c r="H142" s="2">
        <f t="shared" si="6"/>
        <v>1</v>
      </c>
      <c r="I142">
        <f>'Male Emergency'!H142+'Female Emergency'!H142</f>
        <v>4</v>
      </c>
    </row>
    <row r="143" spans="1:9" x14ac:dyDescent="0.25">
      <c r="A143" s="26">
        <v>19</v>
      </c>
      <c r="B143" s="5">
        <v>2</v>
      </c>
      <c r="C143" s="5"/>
      <c r="D143" s="5"/>
      <c r="E143" s="5"/>
      <c r="F143" s="5"/>
      <c r="G143" s="5">
        <v>1</v>
      </c>
      <c r="H143" s="2">
        <f t="shared" si="6"/>
        <v>2</v>
      </c>
      <c r="I143">
        <f>'Male Emergency'!H143+'Female Emergency'!H143</f>
        <v>4</v>
      </c>
    </row>
    <row r="144" spans="1:9" x14ac:dyDescent="0.25">
      <c r="A144" s="26">
        <v>20</v>
      </c>
      <c r="B144" s="5">
        <v>1</v>
      </c>
      <c r="C144" s="5">
        <v>1</v>
      </c>
      <c r="D144" s="5"/>
      <c r="E144" s="5"/>
      <c r="F144" s="5"/>
      <c r="G144" s="5">
        <v>2</v>
      </c>
      <c r="H144" s="2">
        <f t="shared" si="6"/>
        <v>0</v>
      </c>
      <c r="I144">
        <f>'Male Emergency'!H144+'Female Emergency'!H144</f>
        <v>5</v>
      </c>
    </row>
    <row r="145" spans="1:9" x14ac:dyDescent="0.25">
      <c r="A145" s="26">
        <v>21</v>
      </c>
      <c r="B145" s="5">
        <v>2</v>
      </c>
      <c r="C145" s="5">
        <v>1</v>
      </c>
      <c r="D145" s="5"/>
      <c r="E145" s="5"/>
      <c r="F145" s="5"/>
      <c r="G145" s="5">
        <v>1</v>
      </c>
      <c r="H145" s="2">
        <f t="shared" si="6"/>
        <v>0</v>
      </c>
      <c r="I145">
        <f>'Male Emergency'!H145+'Female Emergency'!H145</f>
        <v>4</v>
      </c>
    </row>
    <row r="146" spans="1:9" x14ac:dyDescent="0.25">
      <c r="A146" s="26">
        <v>22</v>
      </c>
      <c r="B146" s="5">
        <v>2</v>
      </c>
      <c r="C146" s="5"/>
      <c r="D146" s="5"/>
      <c r="E146" s="5"/>
      <c r="F146" s="5"/>
      <c r="G146" s="5">
        <v>1</v>
      </c>
      <c r="H146" s="2">
        <f t="shared" si="6"/>
        <v>1</v>
      </c>
      <c r="I146">
        <f>'Male Emergency'!H146+'Female Emergency'!H146</f>
        <v>5</v>
      </c>
    </row>
    <row r="147" spans="1:9" x14ac:dyDescent="0.25">
      <c r="A147" s="26">
        <v>23</v>
      </c>
      <c r="B147" s="5">
        <v>2</v>
      </c>
      <c r="C147" s="5"/>
      <c r="D147" s="5"/>
      <c r="E147" s="5"/>
      <c r="F147" s="5"/>
      <c r="G147" s="5">
        <v>1</v>
      </c>
      <c r="H147" s="2">
        <f t="shared" si="6"/>
        <v>2</v>
      </c>
      <c r="I147">
        <f>'Male Emergency'!H147+'Female Emergency'!H147</f>
        <v>4</v>
      </c>
    </row>
    <row r="148" spans="1:9" x14ac:dyDescent="0.25">
      <c r="A148" s="26">
        <v>24</v>
      </c>
      <c r="B148" s="5">
        <v>4</v>
      </c>
      <c r="C148" s="5"/>
      <c r="D148" s="5"/>
      <c r="E148" s="5"/>
      <c r="F148" s="5"/>
      <c r="G148" s="5">
        <v>1</v>
      </c>
      <c r="H148" s="2">
        <f t="shared" si="6"/>
        <v>5</v>
      </c>
      <c r="I148">
        <f>'Male Emergency'!H148+'Female Emergency'!H148</f>
        <v>8</v>
      </c>
    </row>
    <row r="149" spans="1:9" x14ac:dyDescent="0.25">
      <c r="A149" s="26">
        <v>25</v>
      </c>
      <c r="B149" s="5">
        <v>2</v>
      </c>
      <c r="C149" s="5"/>
      <c r="D149" s="5"/>
      <c r="E149" s="5">
        <v>1</v>
      </c>
      <c r="F149" s="5"/>
      <c r="G149" s="5">
        <v>2</v>
      </c>
      <c r="H149" s="2">
        <f t="shared" si="6"/>
        <v>4</v>
      </c>
      <c r="I149">
        <f>'Male Emergency'!H149+'Female Emergency'!H149</f>
        <v>7</v>
      </c>
    </row>
    <row r="150" spans="1:9" x14ac:dyDescent="0.25">
      <c r="A150" s="26">
        <v>26</v>
      </c>
      <c r="B150" s="5">
        <v>3</v>
      </c>
      <c r="C150" s="5">
        <v>1</v>
      </c>
      <c r="D150" s="5"/>
      <c r="E150" s="5"/>
      <c r="F150" s="5"/>
      <c r="G150" s="5">
        <v>2</v>
      </c>
      <c r="H150" s="2">
        <f t="shared" si="6"/>
        <v>4</v>
      </c>
      <c r="I150">
        <f>'Male Emergency'!H150+'Female Emergency'!H150</f>
        <v>5</v>
      </c>
    </row>
    <row r="151" spans="1:9" x14ac:dyDescent="0.25">
      <c r="A151" s="26">
        <v>27</v>
      </c>
      <c r="B151" s="5">
        <v>2</v>
      </c>
      <c r="C151" s="5"/>
      <c r="D151" s="5"/>
      <c r="E151" s="5"/>
      <c r="F151" s="5"/>
      <c r="G151" s="5">
        <v>1</v>
      </c>
      <c r="H151" s="2">
        <f t="shared" si="6"/>
        <v>5</v>
      </c>
      <c r="I151">
        <f>'Male Emergency'!H151+'Female Emergency'!H151</f>
        <v>7</v>
      </c>
    </row>
    <row r="152" spans="1:9" x14ac:dyDescent="0.25">
      <c r="A152" s="26">
        <v>28</v>
      </c>
      <c r="B152" s="5">
        <v>4</v>
      </c>
      <c r="C152" s="5">
        <v>1</v>
      </c>
      <c r="D152" s="5"/>
      <c r="E152" s="5"/>
      <c r="F152" s="5"/>
      <c r="G152" s="5">
        <v>2</v>
      </c>
      <c r="H152" s="2">
        <f t="shared" si="6"/>
        <v>6</v>
      </c>
      <c r="I152">
        <f>'Male Emergency'!H152+'Female Emergency'!H152</f>
        <v>9</v>
      </c>
    </row>
    <row r="153" spans="1:9" x14ac:dyDescent="0.25">
      <c r="A153" s="26">
        <v>29</v>
      </c>
      <c r="B153" s="5">
        <v>3</v>
      </c>
      <c r="C153" s="5"/>
      <c r="D153" s="5"/>
      <c r="E153" s="5"/>
      <c r="F153" s="5"/>
      <c r="G153" s="5">
        <v>2</v>
      </c>
      <c r="H153" s="2">
        <f t="shared" si="6"/>
        <v>7</v>
      </c>
      <c r="I153">
        <f>'Male Emergency'!H153+'Female Emergency'!H153</f>
        <v>8</v>
      </c>
    </row>
    <row r="154" spans="1:9" ht="15.75" thickBot="1" x14ac:dyDescent="0.3">
      <c r="A154" s="28">
        <v>30</v>
      </c>
      <c r="B154" s="29"/>
      <c r="C154" s="29">
        <v>1</v>
      </c>
      <c r="D154" s="29"/>
      <c r="E154" s="29"/>
      <c r="F154" s="29"/>
      <c r="G154" s="29">
        <v>3</v>
      </c>
      <c r="H154" s="57">
        <f t="shared" si="6"/>
        <v>3</v>
      </c>
      <c r="I154">
        <f>'Male Emergency'!H154+'Female Emergency'!H154</f>
        <v>6</v>
      </c>
    </row>
    <row r="155" spans="1:9" ht="15.75" thickBot="1" x14ac:dyDescent="0.3">
      <c r="A155" s="60" t="s">
        <v>35</v>
      </c>
      <c r="B155" s="58">
        <f>SUM(B125:B154)-E155</f>
        <v>75</v>
      </c>
      <c r="C155" s="58">
        <f t="shared" ref="C155:H155" si="7">SUM(C125:C154)</f>
        <v>26</v>
      </c>
      <c r="D155" s="58">
        <f t="shared" si="7"/>
        <v>2</v>
      </c>
      <c r="E155" s="58">
        <f t="shared" si="7"/>
        <v>2</v>
      </c>
      <c r="F155" s="58">
        <f t="shared" si="7"/>
        <v>0</v>
      </c>
      <c r="G155" s="58">
        <f t="shared" si="7"/>
        <v>46</v>
      </c>
      <c r="H155" s="59">
        <f t="shared" si="7"/>
        <v>97</v>
      </c>
      <c r="I155">
        <f>'Male Emergency'!H155+'Female Emergency'!H155</f>
        <v>182</v>
      </c>
    </row>
    <row r="158" spans="1:9" ht="36" x14ac:dyDescent="0.55000000000000004">
      <c r="A158" s="605" t="s">
        <v>1</v>
      </c>
      <c r="B158" s="605"/>
      <c r="C158" s="605"/>
      <c r="D158" s="605"/>
      <c r="E158" s="605"/>
      <c r="F158" s="605"/>
      <c r="G158" s="605"/>
      <c r="H158" s="605"/>
    </row>
    <row r="159" spans="1:9" ht="27" thickBot="1" x14ac:dyDescent="0.45">
      <c r="A159" s="606" t="s">
        <v>0</v>
      </c>
      <c r="B159" s="606"/>
      <c r="C159" s="606"/>
      <c r="D159" s="606"/>
      <c r="E159" s="606"/>
      <c r="F159" s="606"/>
      <c r="G159" s="606"/>
      <c r="H159" s="606"/>
    </row>
    <row r="160" spans="1:9" ht="15.75" x14ac:dyDescent="0.25">
      <c r="A160" s="39" t="s">
        <v>2</v>
      </c>
      <c r="B160" s="19" t="s">
        <v>3</v>
      </c>
      <c r="C160" s="20"/>
      <c r="D160" s="21" t="s">
        <v>52</v>
      </c>
      <c r="E160" s="607" t="s">
        <v>59</v>
      </c>
      <c r="F160" s="608"/>
      <c r="G160" s="19" t="s">
        <v>16</v>
      </c>
      <c r="H160" s="32" t="s">
        <v>58</v>
      </c>
    </row>
    <row r="161" spans="1:9" ht="15.75" x14ac:dyDescent="0.25">
      <c r="A161" s="609" t="s">
        <v>6</v>
      </c>
      <c r="B161" s="610"/>
      <c r="C161" s="610"/>
      <c r="D161" s="610"/>
      <c r="E161" s="610"/>
      <c r="F161" s="610"/>
      <c r="G161" s="611"/>
      <c r="H161" s="2">
        <f>H154</f>
        <v>3</v>
      </c>
    </row>
    <row r="162" spans="1:9" ht="15.75" x14ac:dyDescent="0.25">
      <c r="A162" s="3" t="s">
        <v>7</v>
      </c>
      <c r="B162" s="1"/>
      <c r="C162" s="1"/>
      <c r="D162" s="1"/>
      <c r="E162" s="1"/>
      <c r="F162" s="1"/>
      <c r="G162" s="1"/>
      <c r="H162" s="2">
        <v>10</v>
      </c>
    </row>
    <row r="163" spans="1:9" ht="51.75" thickBot="1" x14ac:dyDescent="0.3">
      <c r="A163" s="40" t="s">
        <v>8</v>
      </c>
      <c r="B163" s="41" t="s">
        <v>9</v>
      </c>
      <c r="C163" s="41" t="s">
        <v>10</v>
      </c>
      <c r="D163" s="41" t="s">
        <v>11</v>
      </c>
      <c r="E163" s="41" t="s">
        <v>12</v>
      </c>
      <c r="F163" s="41" t="s">
        <v>13</v>
      </c>
      <c r="G163" s="41" t="s">
        <v>14</v>
      </c>
      <c r="H163" s="42" t="s">
        <v>15</v>
      </c>
    </row>
    <row r="164" spans="1:9" x14ac:dyDescent="0.25">
      <c r="A164" s="43">
        <v>1</v>
      </c>
      <c r="B164" s="20">
        <v>3</v>
      </c>
      <c r="C164" s="20"/>
      <c r="D164" s="20">
        <v>2</v>
      </c>
      <c r="E164" s="20"/>
      <c r="F164" s="20"/>
      <c r="G164" s="20"/>
      <c r="H164" s="51">
        <f>H161+B164+F164-(C164+D164+G164)-E164</f>
        <v>4</v>
      </c>
      <c r="I164">
        <f>'Male Emergency'!H164+'Female Emergency'!H164</f>
        <v>6</v>
      </c>
    </row>
    <row r="165" spans="1:9" x14ac:dyDescent="0.25">
      <c r="A165" s="26">
        <v>2</v>
      </c>
      <c r="B165" s="5">
        <v>2</v>
      </c>
      <c r="C165" s="5">
        <v>2</v>
      </c>
      <c r="D165" s="5"/>
      <c r="E165" s="5"/>
      <c r="F165" s="5"/>
      <c r="G165" s="5">
        <v>2</v>
      </c>
      <c r="H165" s="2">
        <f>H164+B165+F165-(C165+D165+G165)-E165</f>
        <v>2</v>
      </c>
      <c r="I165">
        <f>'Male Emergency'!H165+'Female Emergency'!H165</f>
        <v>5</v>
      </c>
    </row>
    <row r="166" spans="1:9" x14ac:dyDescent="0.25">
      <c r="A166" s="26">
        <v>3</v>
      </c>
      <c r="B166" s="5">
        <v>3</v>
      </c>
      <c r="C166" s="5"/>
      <c r="D166" s="5">
        <v>1</v>
      </c>
      <c r="E166" s="5"/>
      <c r="F166" s="5"/>
      <c r="G166" s="5">
        <v>1</v>
      </c>
      <c r="H166" s="2">
        <f>H165+B166+F166-(C166+D166+G166)-E166</f>
        <v>3</v>
      </c>
      <c r="I166">
        <f>'Male Emergency'!H166+'Female Emergency'!H166</f>
        <v>7</v>
      </c>
    </row>
    <row r="167" spans="1:9" x14ac:dyDescent="0.25">
      <c r="A167" s="26">
        <v>4</v>
      </c>
      <c r="B167" s="5">
        <v>2</v>
      </c>
      <c r="C167" s="5">
        <v>1</v>
      </c>
      <c r="D167" s="5"/>
      <c r="E167" s="5"/>
      <c r="F167" s="5"/>
      <c r="G167" s="5">
        <v>2</v>
      </c>
      <c r="H167" s="2">
        <f t="shared" ref="H167:H194" si="8">H166+B167+F167-(C167+D167+G167)-E167</f>
        <v>2</v>
      </c>
      <c r="I167">
        <f>'Male Emergency'!H167+'Female Emergency'!H167</f>
        <v>4</v>
      </c>
    </row>
    <row r="168" spans="1:9" x14ac:dyDescent="0.25">
      <c r="A168" s="26">
        <v>5</v>
      </c>
      <c r="B168" s="5">
        <v>5</v>
      </c>
      <c r="C168" s="5">
        <v>2</v>
      </c>
      <c r="D168" s="5"/>
      <c r="E168" s="5">
        <v>3</v>
      </c>
      <c r="F168" s="5"/>
      <c r="G168" s="5">
        <v>2</v>
      </c>
      <c r="H168" s="2">
        <f t="shared" si="8"/>
        <v>0</v>
      </c>
      <c r="I168">
        <f>'Male Emergency'!H168+'Female Emergency'!H168</f>
        <v>3</v>
      </c>
    </row>
    <row r="169" spans="1:9" x14ac:dyDescent="0.25">
      <c r="A169" s="26">
        <v>6</v>
      </c>
      <c r="B169" s="5">
        <v>3</v>
      </c>
      <c r="C169" s="5">
        <v>1</v>
      </c>
      <c r="D169" s="5"/>
      <c r="E169" s="5"/>
      <c r="F169" s="5"/>
      <c r="G169" s="5">
        <v>1</v>
      </c>
      <c r="H169" s="2">
        <f t="shared" si="8"/>
        <v>1</v>
      </c>
      <c r="I169">
        <f>'Male Emergency'!H169+'Female Emergency'!H169</f>
        <v>4</v>
      </c>
    </row>
    <row r="170" spans="1:9" x14ac:dyDescent="0.25">
      <c r="A170" s="26">
        <v>7</v>
      </c>
      <c r="B170" s="5">
        <v>1</v>
      </c>
      <c r="C170" s="5">
        <v>1</v>
      </c>
      <c r="D170" s="5"/>
      <c r="E170" s="5"/>
      <c r="F170" s="5"/>
      <c r="G170" s="5"/>
      <c r="H170" s="2">
        <f t="shared" si="8"/>
        <v>1</v>
      </c>
      <c r="I170">
        <f>'Male Emergency'!H170+'Female Emergency'!H170</f>
        <v>3</v>
      </c>
    </row>
    <row r="171" spans="1:9" x14ac:dyDescent="0.25">
      <c r="A171" s="26">
        <v>8</v>
      </c>
      <c r="B171" s="5">
        <v>4</v>
      </c>
      <c r="C171" s="5">
        <v>1</v>
      </c>
      <c r="D171" s="5"/>
      <c r="E171" s="5"/>
      <c r="F171" s="5"/>
      <c r="G171" s="5">
        <v>1</v>
      </c>
      <c r="H171" s="2">
        <f t="shared" si="8"/>
        <v>3</v>
      </c>
      <c r="I171">
        <f>'Male Emergency'!H171+'Female Emergency'!H171</f>
        <v>5</v>
      </c>
    </row>
    <row r="172" spans="1:9" x14ac:dyDescent="0.25">
      <c r="A172" s="26">
        <v>9</v>
      </c>
      <c r="B172" s="5">
        <v>1</v>
      </c>
      <c r="C172" s="5"/>
      <c r="D172" s="5"/>
      <c r="E172" s="5"/>
      <c r="F172" s="5"/>
      <c r="G172" s="5"/>
      <c r="H172" s="2">
        <f>H171+B172+F172-(C172+D172+G172)-E172</f>
        <v>4</v>
      </c>
      <c r="I172">
        <f>'Male Emergency'!H172+'Female Emergency'!H172</f>
        <v>6</v>
      </c>
    </row>
    <row r="173" spans="1:9" x14ac:dyDescent="0.25">
      <c r="A173" s="26">
        <v>10</v>
      </c>
      <c r="B173" s="5">
        <v>3</v>
      </c>
      <c r="C173" s="5"/>
      <c r="D173" s="5"/>
      <c r="E173" s="5"/>
      <c r="F173" s="5"/>
      <c r="G173" s="5">
        <v>1</v>
      </c>
      <c r="H173" s="2">
        <f>H172+B173+F173-(C173+D173+G173)-E173</f>
        <v>6</v>
      </c>
      <c r="I173">
        <f>'Male Emergency'!H173+'Female Emergency'!H173</f>
        <v>8</v>
      </c>
    </row>
    <row r="174" spans="1:9" x14ac:dyDescent="0.25">
      <c r="A174" s="26">
        <v>11</v>
      </c>
      <c r="B174" s="5">
        <v>4</v>
      </c>
      <c r="C174" s="5">
        <v>2</v>
      </c>
      <c r="D174" s="5"/>
      <c r="E174" s="5"/>
      <c r="F174" s="5"/>
      <c r="G174" s="5">
        <v>1</v>
      </c>
      <c r="H174" s="2">
        <f t="shared" si="8"/>
        <v>7</v>
      </c>
      <c r="I174">
        <f>'Male Emergency'!H174+'Female Emergency'!H174</f>
        <v>10</v>
      </c>
    </row>
    <row r="175" spans="1:9" x14ac:dyDescent="0.25">
      <c r="A175" s="26">
        <v>12</v>
      </c>
      <c r="B175" s="5"/>
      <c r="C175" s="5"/>
      <c r="D175" s="5">
        <v>1</v>
      </c>
      <c r="E175" s="5"/>
      <c r="F175" s="5"/>
      <c r="G175" s="5">
        <v>2</v>
      </c>
      <c r="H175" s="2">
        <f t="shared" si="8"/>
        <v>4</v>
      </c>
      <c r="I175">
        <f>'Male Emergency'!H175+'Female Emergency'!H175</f>
        <v>8</v>
      </c>
    </row>
    <row r="176" spans="1:9" x14ac:dyDescent="0.25">
      <c r="A176" s="26">
        <v>13</v>
      </c>
      <c r="B176" s="5">
        <v>1</v>
      </c>
      <c r="C176" s="5">
        <v>1</v>
      </c>
      <c r="D176" s="5"/>
      <c r="E176" s="5"/>
      <c r="F176" s="5"/>
      <c r="G176" s="5"/>
      <c r="H176" s="2">
        <f t="shared" si="8"/>
        <v>4</v>
      </c>
      <c r="I176">
        <f>'Male Emergency'!H176+'Female Emergency'!H176</f>
        <v>12</v>
      </c>
    </row>
    <row r="177" spans="1:9" x14ac:dyDescent="0.25">
      <c r="A177" s="26">
        <v>14</v>
      </c>
      <c r="B177" s="5">
        <v>2</v>
      </c>
      <c r="C177" s="5"/>
      <c r="D177" s="5">
        <v>1</v>
      </c>
      <c r="E177" s="5"/>
      <c r="F177" s="5"/>
      <c r="G177" s="5">
        <v>2</v>
      </c>
      <c r="H177" s="2">
        <f t="shared" si="8"/>
        <v>3</v>
      </c>
      <c r="I177">
        <f>'Male Emergency'!H177+'Female Emergency'!H177</f>
        <v>9</v>
      </c>
    </row>
    <row r="178" spans="1:9" x14ac:dyDescent="0.25">
      <c r="A178" s="26">
        <v>15</v>
      </c>
      <c r="B178" s="5">
        <v>4</v>
      </c>
      <c r="C178" s="5">
        <v>3</v>
      </c>
      <c r="D178" s="5"/>
      <c r="E178" s="5"/>
      <c r="F178" s="5"/>
      <c r="G178" s="5">
        <v>1</v>
      </c>
      <c r="H178" s="2">
        <f t="shared" si="8"/>
        <v>3</v>
      </c>
      <c r="I178">
        <f>'Male Emergency'!H178+'Female Emergency'!H178</f>
        <v>7</v>
      </c>
    </row>
    <row r="179" spans="1:9" x14ac:dyDescent="0.25">
      <c r="A179" s="26">
        <v>16</v>
      </c>
      <c r="B179" s="5">
        <v>1</v>
      </c>
      <c r="C179" s="5">
        <v>1</v>
      </c>
      <c r="D179" s="5"/>
      <c r="E179" s="5"/>
      <c r="F179" s="5"/>
      <c r="G179" s="5">
        <v>1</v>
      </c>
      <c r="H179" s="2">
        <f t="shared" si="8"/>
        <v>2</v>
      </c>
      <c r="I179">
        <f>'Male Emergency'!H179+'Female Emergency'!H179</f>
        <v>5</v>
      </c>
    </row>
    <row r="180" spans="1:9" x14ac:dyDescent="0.25">
      <c r="A180" s="26">
        <v>17</v>
      </c>
      <c r="B180" s="5"/>
      <c r="C180" s="5"/>
      <c r="D180" s="5"/>
      <c r="E180" s="5"/>
      <c r="F180" s="5"/>
      <c r="G180" s="5">
        <v>2</v>
      </c>
      <c r="H180" s="2">
        <f t="shared" si="8"/>
        <v>0</v>
      </c>
      <c r="I180">
        <f>'Male Emergency'!H180+'Female Emergency'!H180</f>
        <v>4</v>
      </c>
    </row>
    <row r="181" spans="1:9" x14ac:dyDescent="0.25">
      <c r="A181" s="26">
        <v>18</v>
      </c>
      <c r="B181" s="5">
        <v>6</v>
      </c>
      <c r="C181" s="5">
        <v>2</v>
      </c>
      <c r="D181" s="5"/>
      <c r="E181" s="5"/>
      <c r="F181" s="5"/>
      <c r="G181" s="5"/>
      <c r="H181" s="2">
        <f t="shared" si="8"/>
        <v>4</v>
      </c>
      <c r="I181">
        <f>'Male Emergency'!H181+'Female Emergency'!H181</f>
        <v>7</v>
      </c>
    </row>
    <row r="182" spans="1:9" x14ac:dyDescent="0.25">
      <c r="A182" s="26">
        <v>19</v>
      </c>
      <c r="B182" s="5">
        <v>1</v>
      </c>
      <c r="C182" s="5"/>
      <c r="D182" s="5"/>
      <c r="E182" s="5"/>
      <c r="F182" s="5"/>
      <c r="G182" s="5">
        <v>2</v>
      </c>
      <c r="H182" s="2">
        <f t="shared" si="8"/>
        <v>3</v>
      </c>
      <c r="I182">
        <f>'Male Emergency'!H182+'Female Emergency'!H182</f>
        <v>7</v>
      </c>
    </row>
    <row r="183" spans="1:9" x14ac:dyDescent="0.25">
      <c r="A183" s="26">
        <v>20</v>
      </c>
      <c r="B183" s="5">
        <v>3</v>
      </c>
      <c r="C183" s="5"/>
      <c r="D183" s="5"/>
      <c r="E183" s="5"/>
      <c r="F183" s="5"/>
      <c r="G183" s="5">
        <v>2</v>
      </c>
      <c r="H183" s="2">
        <f t="shared" si="8"/>
        <v>4</v>
      </c>
      <c r="I183">
        <f>'Male Emergency'!H183+'Female Emergency'!H183</f>
        <v>5</v>
      </c>
    </row>
    <row r="184" spans="1:9" x14ac:dyDescent="0.25">
      <c r="A184" s="26">
        <v>21</v>
      </c>
      <c r="B184" s="5">
        <v>2</v>
      </c>
      <c r="C184" s="5">
        <v>1</v>
      </c>
      <c r="D184" s="5">
        <v>1</v>
      </c>
      <c r="E184" s="5"/>
      <c r="F184" s="5"/>
      <c r="G184" s="5">
        <v>2</v>
      </c>
      <c r="H184" s="2">
        <f t="shared" si="8"/>
        <v>2</v>
      </c>
      <c r="I184">
        <f>'Male Emergency'!H184+'Female Emergency'!H184</f>
        <v>5</v>
      </c>
    </row>
    <row r="185" spans="1:9" x14ac:dyDescent="0.25">
      <c r="A185" s="26">
        <v>22</v>
      </c>
      <c r="B185" s="5">
        <v>5</v>
      </c>
      <c r="C185" s="5"/>
      <c r="D185" s="5"/>
      <c r="E185" s="5"/>
      <c r="F185" s="5"/>
      <c r="G185" s="5">
        <v>2</v>
      </c>
      <c r="H185" s="2">
        <f t="shared" si="8"/>
        <v>5</v>
      </c>
      <c r="I185">
        <f>'Male Emergency'!H185+'Female Emergency'!H185</f>
        <v>7</v>
      </c>
    </row>
    <row r="186" spans="1:9" x14ac:dyDescent="0.25">
      <c r="A186" s="26">
        <v>23</v>
      </c>
      <c r="B186" s="5">
        <v>2</v>
      </c>
      <c r="C186" s="5">
        <v>3</v>
      </c>
      <c r="D186" s="5"/>
      <c r="E186" s="5"/>
      <c r="F186" s="5"/>
      <c r="G186" s="5">
        <v>1</v>
      </c>
      <c r="H186" s="2">
        <f t="shared" si="8"/>
        <v>3</v>
      </c>
      <c r="I186">
        <f>'Male Emergency'!H186+'Female Emergency'!H186</f>
        <v>8</v>
      </c>
    </row>
    <row r="187" spans="1:9" x14ac:dyDescent="0.25">
      <c r="A187" s="26">
        <v>24</v>
      </c>
      <c r="B187" s="5">
        <v>3</v>
      </c>
      <c r="C187" s="5">
        <v>2</v>
      </c>
      <c r="D187" s="5"/>
      <c r="E187" s="5"/>
      <c r="F187" s="5"/>
      <c r="G187" s="5"/>
      <c r="H187" s="2">
        <f t="shared" si="8"/>
        <v>4</v>
      </c>
      <c r="I187">
        <f>'Male Emergency'!H187+'Female Emergency'!H187</f>
        <v>7</v>
      </c>
    </row>
    <row r="188" spans="1:9" x14ac:dyDescent="0.25">
      <c r="A188" s="26">
        <v>25</v>
      </c>
      <c r="B188" s="5"/>
      <c r="C188" s="5"/>
      <c r="D188" s="5"/>
      <c r="E188" s="5"/>
      <c r="F188" s="5"/>
      <c r="G188" s="5">
        <v>2</v>
      </c>
      <c r="H188" s="2">
        <f t="shared" si="8"/>
        <v>2</v>
      </c>
      <c r="I188">
        <f>'Male Emergency'!H188+'Female Emergency'!H188</f>
        <v>4</v>
      </c>
    </row>
    <row r="189" spans="1:9" x14ac:dyDescent="0.25">
      <c r="A189" s="26">
        <v>26</v>
      </c>
      <c r="B189" s="5">
        <v>1</v>
      </c>
      <c r="C189" s="5"/>
      <c r="D189" s="5"/>
      <c r="E189" s="5"/>
      <c r="F189" s="5"/>
      <c r="G189" s="5">
        <v>1</v>
      </c>
      <c r="H189" s="2">
        <f t="shared" si="8"/>
        <v>2</v>
      </c>
      <c r="I189">
        <f>'Male Emergency'!H189+'Female Emergency'!H189</f>
        <v>6</v>
      </c>
    </row>
    <row r="190" spans="1:9" x14ac:dyDescent="0.25">
      <c r="A190" s="26">
        <v>27</v>
      </c>
      <c r="B190" s="5">
        <v>4</v>
      </c>
      <c r="C190" s="5">
        <v>1</v>
      </c>
      <c r="D190" s="5"/>
      <c r="E190" s="5"/>
      <c r="F190" s="5"/>
      <c r="G190" s="5">
        <v>3</v>
      </c>
      <c r="H190" s="2">
        <f t="shared" si="8"/>
        <v>2</v>
      </c>
      <c r="I190">
        <f>'Male Emergency'!H190+'Female Emergency'!H190</f>
        <v>4</v>
      </c>
    </row>
    <row r="191" spans="1:9" x14ac:dyDescent="0.25">
      <c r="A191" s="26">
        <v>28</v>
      </c>
      <c r="B191" s="5"/>
      <c r="C191" s="5">
        <v>1</v>
      </c>
      <c r="D191" s="5"/>
      <c r="E191" s="5"/>
      <c r="F191" s="5"/>
      <c r="G191" s="5"/>
      <c r="H191" s="2">
        <f t="shared" si="8"/>
        <v>1</v>
      </c>
      <c r="I191">
        <f>'Male Emergency'!H191+'Female Emergency'!H191</f>
        <v>4</v>
      </c>
    </row>
    <row r="192" spans="1:9" x14ac:dyDescent="0.25">
      <c r="A192" s="26">
        <v>29</v>
      </c>
      <c r="B192" s="5">
        <v>3</v>
      </c>
      <c r="C192" s="5">
        <v>1</v>
      </c>
      <c r="D192" s="5"/>
      <c r="E192" s="5"/>
      <c r="F192" s="5"/>
      <c r="G192" s="5"/>
      <c r="H192" s="2">
        <f t="shared" si="8"/>
        <v>3</v>
      </c>
      <c r="I192">
        <f>'Male Emergency'!H192+'Female Emergency'!H192</f>
        <v>5</v>
      </c>
    </row>
    <row r="193" spans="1:9" x14ac:dyDescent="0.25">
      <c r="A193" s="28">
        <v>30</v>
      </c>
      <c r="B193" s="29">
        <v>5</v>
      </c>
      <c r="C193" s="29"/>
      <c r="D193" s="29"/>
      <c r="E193" s="29">
        <v>1</v>
      </c>
      <c r="F193" s="29"/>
      <c r="G193" s="29">
        <v>1</v>
      </c>
      <c r="H193" s="57">
        <f t="shared" si="8"/>
        <v>6</v>
      </c>
      <c r="I193">
        <f>'Male Emergency'!H193+'Female Emergency'!H193</f>
        <v>8</v>
      </c>
    </row>
    <row r="194" spans="1:9" ht="15.75" thickBot="1" x14ac:dyDescent="0.3">
      <c r="A194" s="28">
        <v>31</v>
      </c>
      <c r="B194" s="29">
        <v>1</v>
      </c>
      <c r="C194" s="29">
        <v>2</v>
      </c>
      <c r="D194" s="29"/>
      <c r="E194" s="29"/>
      <c r="F194" s="29"/>
      <c r="G194" s="29">
        <v>1</v>
      </c>
      <c r="H194" s="57">
        <f t="shared" si="8"/>
        <v>4</v>
      </c>
      <c r="I194">
        <f>'Male Emergency'!H194+'Female Emergency'!H194</f>
        <v>6</v>
      </c>
    </row>
    <row r="195" spans="1:9" ht="15.75" thickBot="1" x14ac:dyDescent="0.3">
      <c r="A195" s="60" t="s">
        <v>35</v>
      </c>
      <c r="B195" s="58">
        <f>SUM(B164:B194)-E195</f>
        <v>71</v>
      </c>
      <c r="C195" s="58">
        <f t="shared" ref="C195:H195" si="9">SUM(C164:C194)</f>
        <v>28</v>
      </c>
      <c r="D195" s="58">
        <f t="shared" si="9"/>
        <v>6</v>
      </c>
      <c r="E195" s="58">
        <f t="shared" si="9"/>
        <v>4</v>
      </c>
      <c r="F195" s="58">
        <f t="shared" si="9"/>
        <v>0</v>
      </c>
      <c r="G195" s="58">
        <f t="shared" si="9"/>
        <v>36</v>
      </c>
      <c r="H195" s="59">
        <f t="shared" si="9"/>
        <v>94</v>
      </c>
      <c r="I195">
        <f>'Male Emergency'!H195+'Female Emergency'!H195</f>
        <v>189</v>
      </c>
    </row>
    <row r="198" spans="1:9" ht="36" x14ac:dyDescent="0.55000000000000004">
      <c r="A198" s="605" t="s">
        <v>1</v>
      </c>
      <c r="B198" s="605"/>
      <c r="C198" s="605"/>
      <c r="D198" s="605"/>
      <c r="E198" s="605"/>
      <c r="F198" s="605"/>
      <c r="G198" s="605"/>
      <c r="H198" s="605"/>
    </row>
    <row r="199" spans="1:9" ht="27" thickBot="1" x14ac:dyDescent="0.45">
      <c r="A199" s="606" t="s">
        <v>0</v>
      </c>
      <c r="B199" s="606"/>
      <c r="C199" s="606"/>
      <c r="D199" s="606"/>
      <c r="E199" s="606"/>
      <c r="F199" s="606"/>
      <c r="G199" s="606"/>
      <c r="H199" s="606"/>
    </row>
    <row r="200" spans="1:9" ht="15.75" x14ac:dyDescent="0.25">
      <c r="A200" s="39" t="s">
        <v>2</v>
      </c>
      <c r="B200" s="19" t="s">
        <v>3</v>
      </c>
      <c r="C200" s="20"/>
      <c r="D200" s="21" t="s">
        <v>52</v>
      </c>
      <c r="E200" s="607" t="s">
        <v>59</v>
      </c>
      <c r="F200" s="608"/>
      <c r="G200" s="19" t="s">
        <v>16</v>
      </c>
      <c r="H200" s="32" t="s">
        <v>60</v>
      </c>
    </row>
    <row r="201" spans="1:9" ht="15.75" x14ac:dyDescent="0.25">
      <c r="A201" s="609" t="s">
        <v>6</v>
      </c>
      <c r="B201" s="610"/>
      <c r="C201" s="610"/>
      <c r="D201" s="610"/>
      <c r="E201" s="610"/>
      <c r="F201" s="610"/>
      <c r="G201" s="611"/>
      <c r="H201" s="2">
        <f>H194</f>
        <v>4</v>
      </c>
    </row>
    <row r="202" spans="1:9" ht="15.75" x14ac:dyDescent="0.25">
      <c r="A202" s="3" t="s">
        <v>7</v>
      </c>
      <c r="B202" s="1"/>
      <c r="C202" s="1"/>
      <c r="D202" s="1"/>
      <c r="E202" s="1"/>
      <c r="F202" s="1"/>
      <c r="G202" s="1"/>
      <c r="H202" s="2">
        <v>10</v>
      </c>
    </row>
    <row r="203" spans="1:9" ht="51.75" thickBot="1" x14ac:dyDescent="0.3">
      <c r="A203" s="40" t="s">
        <v>8</v>
      </c>
      <c r="B203" s="41" t="s">
        <v>9</v>
      </c>
      <c r="C203" s="41" t="s">
        <v>10</v>
      </c>
      <c r="D203" s="41" t="s">
        <v>11</v>
      </c>
      <c r="E203" s="41" t="s">
        <v>12</v>
      </c>
      <c r="F203" s="41" t="s">
        <v>13</v>
      </c>
      <c r="G203" s="41" t="s">
        <v>14</v>
      </c>
      <c r="H203" s="42" t="s">
        <v>15</v>
      </c>
    </row>
    <row r="204" spans="1:9" x14ac:dyDescent="0.25">
      <c r="A204" s="36">
        <v>1</v>
      </c>
      <c r="B204" s="37"/>
      <c r="C204" s="37"/>
      <c r="D204" s="37"/>
      <c r="E204" s="37">
        <v>1</v>
      </c>
      <c r="F204" s="37"/>
      <c r="G204" s="37"/>
      <c r="H204" s="38">
        <f>H201+B204+F204-(C204+D204+G204)-E204</f>
        <v>3</v>
      </c>
      <c r="I204">
        <f>'Male Emergency'!H204+'Female Emergency'!H204</f>
        <v>3</v>
      </c>
    </row>
    <row r="205" spans="1:9" x14ac:dyDescent="0.25">
      <c r="A205" s="26">
        <v>2</v>
      </c>
      <c r="B205" s="5">
        <v>2</v>
      </c>
      <c r="C205" s="5">
        <v>1</v>
      </c>
      <c r="D205" s="5"/>
      <c r="E205" s="5"/>
      <c r="F205" s="5"/>
      <c r="G205" s="5">
        <v>1</v>
      </c>
      <c r="H205" s="2">
        <f>H204+B205+F205-(C205+D205+G205)-E205</f>
        <v>3</v>
      </c>
      <c r="I205">
        <f>'Male Emergency'!H205+'Female Emergency'!H205</f>
        <v>4</v>
      </c>
    </row>
    <row r="206" spans="1:9" x14ac:dyDescent="0.25">
      <c r="A206" s="26">
        <v>3</v>
      </c>
      <c r="B206" s="5">
        <v>2</v>
      </c>
      <c r="C206" s="5">
        <v>1</v>
      </c>
      <c r="D206" s="5"/>
      <c r="E206" s="5"/>
      <c r="F206" s="5"/>
      <c r="G206" s="5">
        <v>1</v>
      </c>
      <c r="H206" s="2">
        <f>H205+B206+F206-(C206+D206+G206)-E206</f>
        <v>3</v>
      </c>
      <c r="I206">
        <f>'Male Emergency'!H206+'Female Emergency'!H206</f>
        <v>4</v>
      </c>
    </row>
    <row r="207" spans="1:9" x14ac:dyDescent="0.25">
      <c r="A207" s="26">
        <v>4</v>
      </c>
      <c r="B207" s="5"/>
      <c r="C207" s="5"/>
      <c r="D207" s="5"/>
      <c r="E207" s="5"/>
      <c r="F207" s="5"/>
      <c r="G207" s="5">
        <v>2</v>
      </c>
      <c r="H207" s="2">
        <f t="shared" ref="H207:H233" si="10">H206+B207+F207-(C207+D207+G207)-E207</f>
        <v>1</v>
      </c>
      <c r="I207">
        <f>'Male Emergency'!H207+'Female Emergency'!H207</f>
        <v>2</v>
      </c>
    </row>
    <row r="208" spans="1:9" x14ac:dyDescent="0.25">
      <c r="A208" s="26">
        <v>5</v>
      </c>
      <c r="B208" s="5"/>
      <c r="C208" s="5"/>
      <c r="D208" s="5">
        <v>1</v>
      </c>
      <c r="E208" s="5"/>
      <c r="F208" s="5"/>
      <c r="G208" s="5"/>
      <c r="H208" s="2">
        <f t="shared" si="10"/>
        <v>0</v>
      </c>
      <c r="I208">
        <f>'Male Emergency'!H208+'Female Emergency'!H208</f>
        <v>0</v>
      </c>
    </row>
    <row r="209" spans="1:13" x14ac:dyDescent="0.25">
      <c r="A209" s="26">
        <v>6</v>
      </c>
      <c r="B209" s="5"/>
      <c r="C209" s="5"/>
      <c r="D209" s="5"/>
      <c r="E209" s="5"/>
      <c r="F209" s="5"/>
      <c r="G209" s="5"/>
      <c r="H209" s="2">
        <f t="shared" si="10"/>
        <v>0</v>
      </c>
      <c r="I209">
        <f>'Male Emergency'!H209+'Female Emergency'!H209</f>
        <v>0</v>
      </c>
    </row>
    <row r="210" spans="1:13" x14ac:dyDescent="0.25">
      <c r="A210" s="26">
        <v>7</v>
      </c>
      <c r="B210" s="5"/>
      <c r="C210" s="5"/>
      <c r="D210" s="5"/>
      <c r="E210" s="5"/>
      <c r="F210" s="5"/>
      <c r="G210" s="5"/>
      <c r="H210" s="2">
        <f t="shared" si="10"/>
        <v>0</v>
      </c>
      <c r="I210">
        <f>'Male Emergency'!H210+'Female Emergency'!H210</f>
        <v>0</v>
      </c>
    </row>
    <row r="211" spans="1:13" x14ac:dyDescent="0.25">
      <c r="A211" s="26">
        <v>8</v>
      </c>
      <c r="B211" s="5"/>
      <c r="C211" s="5"/>
      <c r="D211" s="5"/>
      <c r="E211" s="5"/>
      <c r="F211" s="5"/>
      <c r="G211" s="5"/>
      <c r="H211" s="2">
        <f t="shared" si="10"/>
        <v>0</v>
      </c>
      <c r="I211">
        <f>'Male Emergency'!H211+'Female Emergency'!H211</f>
        <v>0</v>
      </c>
    </row>
    <row r="212" spans="1:13" x14ac:dyDescent="0.25">
      <c r="A212" s="26">
        <v>9</v>
      </c>
      <c r="B212" s="5"/>
      <c r="C212" s="5"/>
      <c r="D212" s="5"/>
      <c r="E212" s="5"/>
      <c r="F212" s="5"/>
      <c r="G212" s="5"/>
      <c r="H212" s="2">
        <f t="shared" si="10"/>
        <v>0</v>
      </c>
      <c r="I212">
        <f>'Male Emergency'!H212+'Female Emergency'!H212</f>
        <v>0</v>
      </c>
    </row>
    <row r="213" spans="1:13" x14ac:dyDescent="0.25">
      <c r="A213" s="26">
        <v>10</v>
      </c>
      <c r="B213" s="5"/>
      <c r="C213" s="5"/>
      <c r="D213" s="5"/>
      <c r="E213" s="5"/>
      <c r="F213" s="5"/>
      <c r="G213" s="5"/>
      <c r="H213" s="2">
        <f t="shared" si="10"/>
        <v>0</v>
      </c>
      <c r="I213">
        <f>'Male Emergency'!H213+'Female Emergency'!H213</f>
        <v>0</v>
      </c>
    </row>
    <row r="214" spans="1:13" x14ac:dyDescent="0.25">
      <c r="A214" s="26">
        <v>11</v>
      </c>
      <c r="B214" s="5"/>
      <c r="C214" s="5"/>
      <c r="D214" s="5"/>
      <c r="E214" s="5"/>
      <c r="F214" s="5"/>
      <c r="G214" s="5"/>
      <c r="H214" s="2">
        <f t="shared" si="10"/>
        <v>0</v>
      </c>
      <c r="I214">
        <f>'Male Emergency'!H214+'Female Emergency'!H214</f>
        <v>0</v>
      </c>
    </row>
    <row r="215" spans="1:13" x14ac:dyDescent="0.25">
      <c r="A215" s="26">
        <v>12</v>
      </c>
      <c r="B215" s="5"/>
      <c r="C215" s="5"/>
      <c r="D215" s="5"/>
      <c r="E215" s="5"/>
      <c r="F215" s="5"/>
      <c r="G215" s="5"/>
      <c r="H215" s="2">
        <f t="shared" si="10"/>
        <v>0</v>
      </c>
      <c r="I215">
        <f>'Male Emergency'!H215+'Female Emergency'!H215</f>
        <v>0</v>
      </c>
    </row>
    <row r="216" spans="1:13" x14ac:dyDescent="0.25">
      <c r="A216" s="26">
        <v>13</v>
      </c>
      <c r="B216" s="5"/>
      <c r="C216" s="5"/>
      <c r="D216" s="5"/>
      <c r="E216" s="5"/>
      <c r="F216" s="5"/>
      <c r="G216" s="5"/>
      <c r="H216" s="2">
        <f t="shared" si="10"/>
        <v>0</v>
      </c>
      <c r="I216">
        <f>'Male Emergency'!H216+'Female Emergency'!H216</f>
        <v>0</v>
      </c>
    </row>
    <row r="217" spans="1:13" x14ac:dyDescent="0.25">
      <c r="A217" s="26">
        <v>14</v>
      </c>
      <c r="B217" s="5">
        <v>1</v>
      </c>
      <c r="C217" s="5"/>
      <c r="D217" s="5"/>
      <c r="E217" s="5"/>
      <c r="F217" s="5"/>
      <c r="G217" s="5"/>
      <c r="H217" s="2">
        <f t="shared" si="10"/>
        <v>1</v>
      </c>
      <c r="I217">
        <f>'Male Emergency'!H217+'Female Emergency'!H217</f>
        <v>3</v>
      </c>
    </row>
    <row r="218" spans="1:13" x14ac:dyDescent="0.25">
      <c r="A218" s="26">
        <v>15</v>
      </c>
      <c r="B218" s="5">
        <v>1</v>
      </c>
      <c r="C218" s="5">
        <v>1</v>
      </c>
      <c r="D218" s="5"/>
      <c r="E218" s="5"/>
      <c r="F218" s="5"/>
      <c r="G218" s="5"/>
      <c r="H218" s="2">
        <f t="shared" si="10"/>
        <v>1</v>
      </c>
      <c r="I218">
        <f>'Male Emergency'!H218+'Female Emergency'!H218</f>
        <v>2</v>
      </c>
    </row>
    <row r="219" spans="1:13" x14ac:dyDescent="0.25">
      <c r="A219" s="26">
        <v>16</v>
      </c>
      <c r="B219" s="5"/>
      <c r="C219" s="5"/>
      <c r="D219" s="5"/>
      <c r="E219" s="5"/>
      <c r="F219" s="5"/>
      <c r="G219" s="5">
        <v>1</v>
      </c>
      <c r="H219" s="2">
        <f t="shared" si="10"/>
        <v>0</v>
      </c>
      <c r="I219">
        <f>'Male Emergency'!H219+'Female Emergency'!H219</f>
        <v>2</v>
      </c>
      <c r="M219" t="s">
        <v>49</v>
      </c>
    </row>
    <row r="220" spans="1:13" x14ac:dyDescent="0.25">
      <c r="A220" s="26">
        <v>17</v>
      </c>
      <c r="B220" s="5">
        <v>3</v>
      </c>
      <c r="C220" s="5"/>
      <c r="D220" s="5"/>
      <c r="E220" s="5"/>
      <c r="F220" s="5"/>
      <c r="G220" s="5">
        <v>1</v>
      </c>
      <c r="H220" s="2">
        <f t="shared" si="10"/>
        <v>2</v>
      </c>
      <c r="I220">
        <f>'Male Emergency'!H220+'Female Emergency'!H220</f>
        <v>6</v>
      </c>
    </row>
    <row r="221" spans="1:13" x14ac:dyDescent="0.25">
      <c r="A221" s="26">
        <v>18</v>
      </c>
      <c r="B221" s="5">
        <v>4</v>
      </c>
      <c r="C221" s="5">
        <v>1</v>
      </c>
      <c r="D221" s="5"/>
      <c r="E221" s="5"/>
      <c r="F221" s="5"/>
      <c r="G221" s="5"/>
      <c r="H221" s="2">
        <f t="shared" si="10"/>
        <v>5</v>
      </c>
      <c r="I221">
        <f>'Male Emergency'!H221+'Female Emergency'!H221</f>
        <v>6</v>
      </c>
    </row>
    <row r="222" spans="1:13" x14ac:dyDescent="0.25">
      <c r="A222" s="26">
        <v>19</v>
      </c>
      <c r="B222" s="5">
        <v>2</v>
      </c>
      <c r="C222" s="5">
        <v>2</v>
      </c>
      <c r="D222" s="5"/>
      <c r="E222" s="5"/>
      <c r="F222" s="5"/>
      <c r="G222" s="5">
        <v>1</v>
      </c>
      <c r="H222" s="2">
        <f t="shared" si="10"/>
        <v>4</v>
      </c>
      <c r="I222">
        <f>'Male Emergency'!H222+'Female Emergency'!H222</f>
        <v>7</v>
      </c>
    </row>
    <row r="223" spans="1:13" x14ac:dyDescent="0.25">
      <c r="A223" s="26">
        <v>20</v>
      </c>
      <c r="B223" s="5">
        <v>3</v>
      </c>
      <c r="C223" s="5"/>
      <c r="D223" s="5"/>
      <c r="E223" s="5"/>
      <c r="F223" s="5"/>
      <c r="G223" s="5">
        <v>3</v>
      </c>
      <c r="H223" s="2">
        <f t="shared" si="10"/>
        <v>4</v>
      </c>
      <c r="I223">
        <f>'Male Emergency'!H223+'Female Emergency'!H223</f>
        <v>7</v>
      </c>
    </row>
    <row r="224" spans="1:13" x14ac:dyDescent="0.25">
      <c r="A224" s="26">
        <v>21</v>
      </c>
      <c r="B224" s="5">
        <v>2</v>
      </c>
      <c r="C224" s="5">
        <v>1</v>
      </c>
      <c r="D224" s="5"/>
      <c r="E224" s="5"/>
      <c r="F224" s="5"/>
      <c r="G224" s="5">
        <v>1</v>
      </c>
      <c r="H224" s="2">
        <f t="shared" si="10"/>
        <v>4</v>
      </c>
      <c r="I224">
        <f>'Male Emergency'!H224+'Female Emergency'!H224</f>
        <v>5</v>
      </c>
    </row>
    <row r="225" spans="1:9" x14ac:dyDescent="0.25">
      <c r="A225" s="26">
        <v>22</v>
      </c>
      <c r="B225" s="5">
        <v>1</v>
      </c>
      <c r="C225" s="5"/>
      <c r="D225" s="5">
        <v>1</v>
      </c>
      <c r="E225" s="5"/>
      <c r="F225" s="5"/>
      <c r="G225" s="5">
        <v>2</v>
      </c>
      <c r="H225" s="2">
        <f t="shared" si="10"/>
        <v>2</v>
      </c>
      <c r="I225">
        <f>'Male Emergency'!H225+'Female Emergency'!H225</f>
        <v>2</v>
      </c>
    </row>
    <row r="226" spans="1:9" x14ac:dyDescent="0.25">
      <c r="A226" s="26">
        <v>23</v>
      </c>
      <c r="B226" s="5">
        <v>2</v>
      </c>
      <c r="C226" s="5">
        <v>1</v>
      </c>
      <c r="D226" s="5"/>
      <c r="E226" s="5"/>
      <c r="F226" s="5"/>
      <c r="G226" s="5">
        <v>1</v>
      </c>
      <c r="H226" s="2">
        <f t="shared" si="10"/>
        <v>2</v>
      </c>
      <c r="I226">
        <f>'Male Emergency'!H226+'Female Emergency'!H226</f>
        <v>4</v>
      </c>
    </row>
    <row r="227" spans="1:9" x14ac:dyDescent="0.25">
      <c r="A227" s="26">
        <v>24</v>
      </c>
      <c r="B227" s="5">
        <v>4</v>
      </c>
      <c r="C227" s="5">
        <v>1</v>
      </c>
      <c r="D227" s="5"/>
      <c r="E227" s="5"/>
      <c r="F227" s="5"/>
      <c r="G227" s="5"/>
      <c r="H227" s="2">
        <f t="shared" si="10"/>
        <v>5</v>
      </c>
      <c r="I227">
        <f>'Male Emergency'!H227+'Female Emergency'!H227</f>
        <v>11</v>
      </c>
    </row>
    <row r="228" spans="1:9" x14ac:dyDescent="0.25">
      <c r="A228" s="26">
        <v>25</v>
      </c>
      <c r="B228" s="5"/>
      <c r="C228" s="5">
        <v>1</v>
      </c>
      <c r="D228" s="5"/>
      <c r="E228" s="5"/>
      <c r="F228" s="5"/>
      <c r="G228" s="5">
        <v>3</v>
      </c>
      <c r="H228" s="2">
        <f t="shared" si="10"/>
        <v>1</v>
      </c>
      <c r="I228">
        <f>'Male Emergency'!H228+'Female Emergency'!H228</f>
        <v>7</v>
      </c>
    </row>
    <row r="229" spans="1:9" x14ac:dyDescent="0.25">
      <c r="A229" s="26">
        <v>26</v>
      </c>
      <c r="B229" s="5">
        <v>1</v>
      </c>
      <c r="C229" s="5"/>
      <c r="D229" s="5"/>
      <c r="E229" s="5"/>
      <c r="F229" s="5"/>
      <c r="G229" s="5"/>
      <c r="H229" s="2">
        <f t="shared" si="10"/>
        <v>2</v>
      </c>
      <c r="I229">
        <f>'Male Emergency'!H229+'Female Emergency'!H229</f>
        <v>8</v>
      </c>
    </row>
    <row r="230" spans="1:9" x14ac:dyDescent="0.25">
      <c r="A230" s="26">
        <v>27</v>
      </c>
      <c r="B230" s="5">
        <v>3</v>
      </c>
      <c r="C230" s="5">
        <v>1</v>
      </c>
      <c r="D230" s="5"/>
      <c r="E230" s="5"/>
      <c r="F230" s="5"/>
      <c r="G230" s="5">
        <v>1</v>
      </c>
      <c r="H230" s="2">
        <f t="shared" si="10"/>
        <v>3</v>
      </c>
      <c r="I230">
        <f>'Male Emergency'!H230+'Female Emergency'!H230</f>
        <v>6</v>
      </c>
    </row>
    <row r="231" spans="1:9" x14ac:dyDescent="0.25">
      <c r="A231" s="26">
        <v>28</v>
      </c>
      <c r="B231" s="5">
        <v>1</v>
      </c>
      <c r="C231" s="5">
        <v>1</v>
      </c>
      <c r="D231" s="5"/>
      <c r="E231" s="5"/>
      <c r="F231" s="5"/>
      <c r="G231" s="5"/>
      <c r="H231" s="2">
        <f t="shared" si="10"/>
        <v>3</v>
      </c>
      <c r="I231">
        <f>'Male Emergency'!H231+'Female Emergency'!H231</f>
        <v>6</v>
      </c>
    </row>
    <row r="232" spans="1:9" x14ac:dyDescent="0.25">
      <c r="A232" s="26">
        <v>29</v>
      </c>
      <c r="B232" s="5">
        <v>1</v>
      </c>
      <c r="C232" s="5"/>
      <c r="D232" s="5">
        <v>1</v>
      </c>
      <c r="E232" s="5"/>
      <c r="F232" s="5"/>
      <c r="G232" s="5">
        <v>1</v>
      </c>
      <c r="H232" s="2">
        <f t="shared" si="10"/>
        <v>2</v>
      </c>
      <c r="I232">
        <f>'Male Emergency'!H232+'Female Emergency'!H232</f>
        <v>4</v>
      </c>
    </row>
    <row r="233" spans="1:9" ht="15.75" thickBot="1" x14ac:dyDescent="0.3">
      <c r="A233" s="28">
        <v>30</v>
      </c>
      <c r="B233" s="29">
        <v>3</v>
      </c>
      <c r="C233" s="29">
        <v>1</v>
      </c>
      <c r="D233" s="29"/>
      <c r="E233" s="29"/>
      <c r="F233" s="29"/>
      <c r="G233" s="29">
        <v>3</v>
      </c>
      <c r="H233" s="57">
        <f t="shared" si="10"/>
        <v>1</v>
      </c>
      <c r="I233">
        <f>'Male Emergency'!H233+'Female Emergency'!H233</f>
        <v>3</v>
      </c>
    </row>
    <row r="234" spans="1:9" ht="15.75" thickBot="1" x14ac:dyDescent="0.3">
      <c r="A234" s="60" t="s">
        <v>35</v>
      </c>
      <c r="B234" s="58">
        <f>SUM(B204:B233)-E234</f>
        <v>35</v>
      </c>
      <c r="C234" s="58">
        <f t="shared" ref="C234:H234" si="11">SUM(C204:C233)</f>
        <v>13</v>
      </c>
      <c r="D234" s="58">
        <f t="shared" si="11"/>
        <v>3</v>
      </c>
      <c r="E234" s="58">
        <f t="shared" si="11"/>
        <v>1</v>
      </c>
      <c r="F234" s="58">
        <f t="shared" si="11"/>
        <v>0</v>
      </c>
      <c r="G234" s="58">
        <f t="shared" si="11"/>
        <v>22</v>
      </c>
      <c r="H234" s="59">
        <f t="shared" si="11"/>
        <v>52</v>
      </c>
      <c r="I234">
        <f>'Male Emergency'!H234+'Female Emergency'!H234</f>
        <v>102</v>
      </c>
    </row>
    <row r="237" spans="1:9" ht="36" x14ac:dyDescent="0.55000000000000004">
      <c r="A237" s="605" t="s">
        <v>1</v>
      </c>
      <c r="B237" s="605"/>
      <c r="C237" s="605"/>
      <c r="D237" s="605"/>
      <c r="E237" s="605"/>
      <c r="F237" s="605"/>
      <c r="G237" s="605"/>
      <c r="H237" s="605"/>
    </row>
    <row r="238" spans="1:9" ht="27" thickBot="1" x14ac:dyDescent="0.45">
      <c r="A238" s="606" t="s">
        <v>0</v>
      </c>
      <c r="B238" s="606"/>
      <c r="C238" s="606"/>
      <c r="D238" s="606"/>
      <c r="E238" s="606"/>
      <c r="F238" s="606"/>
      <c r="G238" s="606"/>
      <c r="H238" s="606"/>
    </row>
    <row r="239" spans="1:9" ht="15.75" x14ac:dyDescent="0.25">
      <c r="A239" s="39" t="s">
        <v>2</v>
      </c>
      <c r="B239" s="19" t="s">
        <v>3</v>
      </c>
      <c r="C239" s="20"/>
      <c r="D239" s="21" t="s">
        <v>52</v>
      </c>
      <c r="E239" s="607" t="s">
        <v>59</v>
      </c>
      <c r="F239" s="608"/>
      <c r="G239" s="19" t="s">
        <v>16</v>
      </c>
      <c r="H239" s="32" t="s">
        <v>61</v>
      </c>
    </row>
    <row r="240" spans="1:9" ht="15.75" x14ac:dyDescent="0.25">
      <c r="A240" s="609" t="s">
        <v>6</v>
      </c>
      <c r="B240" s="610"/>
      <c r="C240" s="610"/>
      <c r="D240" s="610"/>
      <c r="E240" s="610"/>
      <c r="F240" s="610"/>
      <c r="G240" s="611"/>
      <c r="H240" s="2">
        <f>H233</f>
        <v>1</v>
      </c>
    </row>
    <row r="241" spans="1:9" ht="15.75" x14ac:dyDescent="0.25">
      <c r="A241" s="3" t="s">
        <v>7</v>
      </c>
      <c r="B241" s="1"/>
      <c r="C241" s="1"/>
      <c r="D241" s="1"/>
      <c r="E241" s="1"/>
      <c r="F241" s="1"/>
      <c r="G241" s="1"/>
      <c r="H241" s="2">
        <v>10</v>
      </c>
    </row>
    <row r="242" spans="1:9" ht="51.75" thickBot="1" x14ac:dyDescent="0.3">
      <c r="A242" s="40" t="s">
        <v>8</v>
      </c>
      <c r="B242" s="41" t="s">
        <v>9</v>
      </c>
      <c r="C242" s="41" t="s">
        <v>10</v>
      </c>
      <c r="D242" s="41" t="s">
        <v>11</v>
      </c>
      <c r="E242" s="41" t="s">
        <v>12</v>
      </c>
      <c r="F242" s="41" t="s">
        <v>13</v>
      </c>
      <c r="G242" s="41" t="s">
        <v>14</v>
      </c>
      <c r="H242" s="42" t="s">
        <v>15</v>
      </c>
    </row>
    <row r="243" spans="1:9" x14ac:dyDescent="0.25">
      <c r="A243" s="36">
        <v>1</v>
      </c>
      <c r="B243" s="37">
        <v>4</v>
      </c>
      <c r="C243" s="37"/>
      <c r="D243" s="37"/>
      <c r="E243" s="37">
        <v>1</v>
      </c>
      <c r="F243" s="37"/>
      <c r="G243" s="37"/>
      <c r="H243" s="38">
        <f>H240+B243+F243-(C243+D243+G243)-E243</f>
        <v>4</v>
      </c>
      <c r="I243">
        <f>H243+'Male Emergency'!H243</f>
        <v>11</v>
      </c>
    </row>
    <row r="244" spans="1:9" x14ac:dyDescent="0.25">
      <c r="A244" s="26">
        <v>2</v>
      </c>
      <c r="B244" s="5">
        <v>2</v>
      </c>
      <c r="C244" s="5"/>
      <c r="D244" s="5"/>
      <c r="E244" s="5"/>
      <c r="F244" s="5"/>
      <c r="G244" s="5">
        <v>1</v>
      </c>
      <c r="H244" s="2">
        <f>H243+B244+F244-(C244+D244+G244)-E244</f>
        <v>5</v>
      </c>
      <c r="I244">
        <f>H244+'Male Emergency'!H244</f>
        <v>9</v>
      </c>
    </row>
    <row r="245" spans="1:9" x14ac:dyDescent="0.25">
      <c r="A245" s="26">
        <v>3</v>
      </c>
      <c r="B245" s="5">
        <v>4</v>
      </c>
      <c r="C245" s="5"/>
      <c r="D245" s="5">
        <v>2</v>
      </c>
      <c r="E245" s="5"/>
      <c r="F245" s="5"/>
      <c r="G245" s="5">
        <v>2</v>
      </c>
      <c r="H245" s="2">
        <f>H244+B245+F245-(C245+D245+G245)-E245</f>
        <v>5</v>
      </c>
      <c r="I245">
        <f>H245+'Male Emergency'!H245</f>
        <v>6</v>
      </c>
    </row>
    <row r="246" spans="1:9" x14ac:dyDescent="0.25">
      <c r="A246" s="26">
        <v>4</v>
      </c>
      <c r="B246" s="5">
        <v>1</v>
      </c>
      <c r="C246" s="5">
        <v>2</v>
      </c>
      <c r="D246" s="5"/>
      <c r="E246" s="5"/>
      <c r="F246" s="5"/>
      <c r="G246" s="5">
        <v>3</v>
      </c>
      <c r="H246" s="2">
        <f t="shared" ref="H246:H273" si="12">H245+B246+F246-(C246+D246+G246)-E246</f>
        <v>1</v>
      </c>
      <c r="I246">
        <f>H246+'Male Emergency'!H246</f>
        <v>4</v>
      </c>
    </row>
    <row r="247" spans="1:9" x14ac:dyDescent="0.25">
      <c r="A247" s="26">
        <v>5</v>
      </c>
      <c r="B247" s="5">
        <v>5</v>
      </c>
      <c r="C247" s="5"/>
      <c r="D247" s="5"/>
      <c r="E247" s="5"/>
      <c r="F247" s="5"/>
      <c r="G247" s="5">
        <v>2</v>
      </c>
      <c r="H247" s="2">
        <f t="shared" si="12"/>
        <v>4</v>
      </c>
      <c r="I247">
        <f>H247+'Male Emergency'!H247</f>
        <v>7</v>
      </c>
    </row>
    <row r="248" spans="1:9" x14ac:dyDescent="0.25">
      <c r="A248" s="26">
        <v>6</v>
      </c>
      <c r="B248" s="5">
        <v>3</v>
      </c>
      <c r="C248" s="5">
        <v>4</v>
      </c>
      <c r="D248" s="5"/>
      <c r="E248" s="5"/>
      <c r="F248" s="5"/>
      <c r="G248" s="5"/>
      <c r="H248" s="2">
        <f t="shared" si="12"/>
        <v>3</v>
      </c>
      <c r="I248">
        <f>H248+'Male Emergency'!H248</f>
        <v>8</v>
      </c>
    </row>
    <row r="249" spans="1:9" x14ac:dyDescent="0.25">
      <c r="A249" s="26">
        <v>7</v>
      </c>
      <c r="B249" s="5">
        <v>5</v>
      </c>
      <c r="C249" s="5">
        <v>2</v>
      </c>
      <c r="D249" s="5"/>
      <c r="E249" s="5">
        <v>1</v>
      </c>
      <c r="F249" s="5"/>
      <c r="G249" s="5">
        <v>1</v>
      </c>
      <c r="H249" s="2">
        <f t="shared" si="12"/>
        <v>4</v>
      </c>
      <c r="I249">
        <f>H249+'Male Emergency'!H249</f>
        <v>10</v>
      </c>
    </row>
    <row r="250" spans="1:9" x14ac:dyDescent="0.25">
      <c r="A250" s="26">
        <v>8</v>
      </c>
      <c r="B250" s="5"/>
      <c r="C250" s="5">
        <v>2</v>
      </c>
      <c r="D250" s="5"/>
      <c r="E250" s="5"/>
      <c r="F250" s="5"/>
      <c r="G250" s="5"/>
      <c r="H250" s="2">
        <f t="shared" si="12"/>
        <v>2</v>
      </c>
      <c r="I250">
        <f>H250+'Male Emergency'!H250</f>
        <v>8</v>
      </c>
    </row>
    <row r="251" spans="1:9" x14ac:dyDescent="0.25">
      <c r="A251" s="26">
        <v>9</v>
      </c>
      <c r="B251" s="5">
        <v>1</v>
      </c>
      <c r="C251" s="5">
        <v>1</v>
      </c>
      <c r="D251" s="5"/>
      <c r="E251" s="5"/>
      <c r="F251" s="5"/>
      <c r="G251" s="5"/>
      <c r="H251" s="2">
        <f t="shared" si="12"/>
        <v>2</v>
      </c>
      <c r="I251">
        <f>H251+'Male Emergency'!H251</f>
        <v>8</v>
      </c>
    </row>
    <row r="252" spans="1:9" x14ac:dyDescent="0.25">
      <c r="A252" s="26">
        <v>10</v>
      </c>
      <c r="B252" s="5">
        <v>2</v>
      </c>
      <c r="C252" s="5"/>
      <c r="D252" s="5"/>
      <c r="E252" s="5"/>
      <c r="F252" s="5"/>
      <c r="G252" s="5"/>
      <c r="H252" s="2">
        <f t="shared" si="12"/>
        <v>4</v>
      </c>
      <c r="I252">
        <f>H252+'Male Emergency'!H252</f>
        <v>11</v>
      </c>
    </row>
    <row r="253" spans="1:9" x14ac:dyDescent="0.25">
      <c r="A253" s="26">
        <v>11</v>
      </c>
      <c r="B253" s="5">
        <v>2</v>
      </c>
      <c r="C253" s="5">
        <v>1</v>
      </c>
      <c r="D253" s="5"/>
      <c r="E253" s="5"/>
      <c r="F253" s="5"/>
      <c r="G253" s="5">
        <v>2</v>
      </c>
      <c r="H253" s="2">
        <f t="shared" si="12"/>
        <v>3</v>
      </c>
      <c r="I253">
        <f>H253+'Male Emergency'!H253</f>
        <v>6</v>
      </c>
    </row>
    <row r="254" spans="1:9" x14ac:dyDescent="0.25">
      <c r="A254" s="26">
        <v>12</v>
      </c>
      <c r="B254" s="5">
        <v>2</v>
      </c>
      <c r="C254" s="5">
        <v>2</v>
      </c>
      <c r="D254" s="5"/>
      <c r="E254" s="5"/>
      <c r="F254" s="5"/>
      <c r="G254" s="5"/>
      <c r="H254" s="2">
        <f t="shared" si="12"/>
        <v>3</v>
      </c>
      <c r="I254">
        <f>H254+'Male Emergency'!H254</f>
        <v>7</v>
      </c>
    </row>
    <row r="255" spans="1:9" x14ac:dyDescent="0.25">
      <c r="A255" s="26">
        <v>13</v>
      </c>
      <c r="B255" s="5">
        <v>4</v>
      </c>
      <c r="C255" s="5">
        <v>1</v>
      </c>
      <c r="D255" s="5"/>
      <c r="E255" s="5">
        <v>1</v>
      </c>
      <c r="F255" s="5"/>
      <c r="G255" s="5">
        <v>1</v>
      </c>
      <c r="H255" s="2">
        <f t="shared" si="12"/>
        <v>4</v>
      </c>
      <c r="I255">
        <f>H255+'Male Emergency'!H255</f>
        <v>8</v>
      </c>
    </row>
    <row r="256" spans="1:9" x14ac:dyDescent="0.25">
      <c r="A256" s="26">
        <v>14</v>
      </c>
      <c r="B256" s="5">
        <v>2</v>
      </c>
      <c r="C256" s="5"/>
      <c r="D256" s="5"/>
      <c r="E256" s="5"/>
      <c r="F256" s="5"/>
      <c r="G256" s="5"/>
      <c r="H256" s="2">
        <f t="shared" si="12"/>
        <v>6</v>
      </c>
      <c r="I256">
        <f>H256+'Male Emergency'!H256</f>
        <v>8</v>
      </c>
    </row>
    <row r="257" spans="1:9" x14ac:dyDescent="0.25">
      <c r="A257" s="26">
        <v>15</v>
      </c>
      <c r="B257" s="5">
        <v>1</v>
      </c>
      <c r="C257" s="5">
        <v>1</v>
      </c>
      <c r="D257" s="5"/>
      <c r="E257" s="5"/>
      <c r="F257" s="5"/>
      <c r="G257" s="5">
        <v>3</v>
      </c>
      <c r="H257" s="2">
        <f t="shared" si="12"/>
        <v>3</v>
      </c>
      <c r="I257">
        <f>H257+'Male Emergency'!H257</f>
        <v>6</v>
      </c>
    </row>
    <row r="258" spans="1:9" x14ac:dyDescent="0.25">
      <c r="A258" s="26">
        <v>16</v>
      </c>
      <c r="B258" s="5">
        <v>3</v>
      </c>
      <c r="C258" s="5"/>
      <c r="D258" s="5"/>
      <c r="E258" s="5"/>
      <c r="F258" s="5"/>
      <c r="G258" s="5">
        <v>3</v>
      </c>
      <c r="H258" s="2">
        <f t="shared" si="12"/>
        <v>3</v>
      </c>
      <c r="I258">
        <f>H258+'Male Emergency'!H258</f>
        <v>9</v>
      </c>
    </row>
    <row r="259" spans="1:9" x14ac:dyDescent="0.25">
      <c r="A259" s="26">
        <v>17</v>
      </c>
      <c r="B259" s="5">
        <v>2</v>
      </c>
      <c r="C259" s="5"/>
      <c r="D259" s="5"/>
      <c r="E259" s="5"/>
      <c r="F259" s="5"/>
      <c r="G259" s="5">
        <v>1</v>
      </c>
      <c r="H259" s="2">
        <f t="shared" si="12"/>
        <v>4</v>
      </c>
      <c r="I259">
        <f>H259+'Male Emergency'!H259</f>
        <v>5</v>
      </c>
    </row>
    <row r="260" spans="1:9" x14ac:dyDescent="0.25">
      <c r="A260" s="26">
        <v>18</v>
      </c>
      <c r="B260" s="5">
        <v>3</v>
      </c>
      <c r="C260" s="5"/>
      <c r="D260" s="5"/>
      <c r="E260" s="5"/>
      <c r="F260" s="5"/>
      <c r="G260" s="5">
        <v>3</v>
      </c>
      <c r="H260" s="2">
        <f t="shared" si="12"/>
        <v>4</v>
      </c>
      <c r="I260">
        <f>H260+'Male Emergency'!H260</f>
        <v>11</v>
      </c>
    </row>
    <row r="261" spans="1:9" x14ac:dyDescent="0.25">
      <c r="A261" s="26">
        <v>19</v>
      </c>
      <c r="B261" s="5">
        <v>3</v>
      </c>
      <c r="C261" s="5">
        <v>1</v>
      </c>
      <c r="D261" s="5">
        <v>1</v>
      </c>
      <c r="E261" s="5"/>
      <c r="F261" s="5"/>
      <c r="G261" s="5"/>
      <c r="H261" s="2">
        <f t="shared" si="12"/>
        <v>5</v>
      </c>
      <c r="I261">
        <f>H261+'Male Emergency'!H261</f>
        <v>11</v>
      </c>
    </row>
    <row r="262" spans="1:9" x14ac:dyDescent="0.25">
      <c r="A262" s="26">
        <v>20</v>
      </c>
      <c r="B262" s="5">
        <v>1</v>
      </c>
      <c r="C262" s="5"/>
      <c r="D262" s="5"/>
      <c r="E262" s="5"/>
      <c r="F262" s="5"/>
      <c r="G262" s="5">
        <v>3</v>
      </c>
      <c r="H262" s="2">
        <f t="shared" si="12"/>
        <v>3</v>
      </c>
      <c r="I262">
        <f>H262+'Male Emergency'!H262</f>
        <v>9</v>
      </c>
    </row>
    <row r="263" spans="1:9" x14ac:dyDescent="0.25">
      <c r="A263" s="26">
        <v>21</v>
      </c>
      <c r="B263" s="5">
        <v>3</v>
      </c>
      <c r="C263" s="5"/>
      <c r="D263" s="5"/>
      <c r="E263" s="5">
        <v>1</v>
      </c>
      <c r="F263" s="5"/>
      <c r="G263" s="5">
        <v>2</v>
      </c>
      <c r="H263" s="2">
        <f t="shared" si="12"/>
        <v>3</v>
      </c>
      <c r="I263">
        <f>H263+'Male Emergency'!H263</f>
        <v>9</v>
      </c>
    </row>
    <row r="264" spans="1:9" x14ac:dyDescent="0.25">
      <c r="A264" s="26">
        <v>22</v>
      </c>
      <c r="B264" s="5">
        <v>2</v>
      </c>
      <c r="C264" s="5">
        <v>1</v>
      </c>
      <c r="D264" s="5"/>
      <c r="E264" s="5"/>
      <c r="F264" s="5"/>
      <c r="G264" s="5">
        <v>1</v>
      </c>
      <c r="H264" s="2">
        <f t="shared" si="12"/>
        <v>3</v>
      </c>
      <c r="I264">
        <f>H264+'Male Emergency'!H264</f>
        <v>7</v>
      </c>
    </row>
    <row r="265" spans="1:9" x14ac:dyDescent="0.25">
      <c r="A265" s="26">
        <v>23</v>
      </c>
      <c r="B265" s="5"/>
      <c r="C265" s="5">
        <v>1</v>
      </c>
      <c r="D265" s="5"/>
      <c r="E265" s="5"/>
      <c r="F265" s="5"/>
      <c r="G265" s="5"/>
      <c r="H265" s="2">
        <f t="shared" si="12"/>
        <v>2</v>
      </c>
      <c r="I265">
        <f>H265+'Male Emergency'!H265</f>
        <v>6</v>
      </c>
    </row>
    <row r="266" spans="1:9" x14ac:dyDescent="0.25">
      <c r="A266" s="26">
        <v>24</v>
      </c>
      <c r="B266" s="5">
        <v>3</v>
      </c>
      <c r="C266" s="5"/>
      <c r="D266" s="5"/>
      <c r="E266" s="5"/>
      <c r="F266" s="5"/>
      <c r="G266" s="5">
        <v>2</v>
      </c>
      <c r="H266" s="2">
        <f t="shared" si="12"/>
        <v>3</v>
      </c>
      <c r="I266">
        <f>H266+'Male Emergency'!H266</f>
        <v>6</v>
      </c>
    </row>
    <row r="267" spans="1:9" x14ac:dyDescent="0.25">
      <c r="A267" s="26">
        <v>25</v>
      </c>
      <c r="B267" s="5"/>
      <c r="C267" s="5"/>
      <c r="D267" s="5"/>
      <c r="E267" s="5"/>
      <c r="F267" s="5"/>
      <c r="G267" s="5">
        <v>2</v>
      </c>
      <c r="H267" s="2">
        <f t="shared" si="12"/>
        <v>1</v>
      </c>
      <c r="I267">
        <f>H267+'Male Emergency'!H267</f>
        <v>2</v>
      </c>
    </row>
    <row r="268" spans="1:9" x14ac:dyDescent="0.25">
      <c r="A268" s="26">
        <v>26</v>
      </c>
      <c r="B268" s="5">
        <v>2</v>
      </c>
      <c r="C268" s="5"/>
      <c r="D268" s="5"/>
      <c r="E268" s="5"/>
      <c r="F268" s="5"/>
      <c r="G268" s="5">
        <v>1</v>
      </c>
      <c r="H268" s="2">
        <f t="shared" si="12"/>
        <v>2</v>
      </c>
      <c r="I268">
        <f>H268+'Male Emergency'!H268</f>
        <v>5</v>
      </c>
    </row>
    <row r="269" spans="1:9" x14ac:dyDescent="0.25">
      <c r="A269" s="26">
        <v>27</v>
      </c>
      <c r="B269" s="5">
        <v>3</v>
      </c>
      <c r="C269" s="5"/>
      <c r="D269" s="5"/>
      <c r="E269" s="5">
        <v>1</v>
      </c>
      <c r="F269" s="5"/>
      <c r="G269" s="5">
        <v>2</v>
      </c>
      <c r="H269" s="2">
        <f t="shared" si="12"/>
        <v>2</v>
      </c>
      <c r="I269">
        <f>H269+'Male Emergency'!H269</f>
        <v>5</v>
      </c>
    </row>
    <row r="270" spans="1:9" x14ac:dyDescent="0.25">
      <c r="A270" s="26">
        <v>28</v>
      </c>
      <c r="B270" s="5">
        <v>4</v>
      </c>
      <c r="C270" s="5"/>
      <c r="D270" s="5"/>
      <c r="E270" s="5"/>
      <c r="F270" s="5"/>
      <c r="G270" s="5">
        <v>1</v>
      </c>
      <c r="H270" s="2">
        <f t="shared" si="12"/>
        <v>5</v>
      </c>
      <c r="I270">
        <f>H270+'Male Emergency'!H270</f>
        <v>7</v>
      </c>
    </row>
    <row r="271" spans="1:9" x14ac:dyDescent="0.25">
      <c r="A271" s="26">
        <v>29</v>
      </c>
      <c r="B271" s="5">
        <v>1</v>
      </c>
      <c r="C271" s="5">
        <v>1</v>
      </c>
      <c r="D271" s="5"/>
      <c r="E271" s="5"/>
      <c r="F271" s="5"/>
      <c r="G271" s="5">
        <v>2</v>
      </c>
      <c r="H271" s="2">
        <f t="shared" si="12"/>
        <v>3</v>
      </c>
      <c r="I271">
        <f>H271+'Male Emergency'!H271</f>
        <v>5</v>
      </c>
    </row>
    <row r="272" spans="1:9" x14ac:dyDescent="0.25">
      <c r="A272" s="26">
        <v>30</v>
      </c>
      <c r="B272" s="5">
        <v>3</v>
      </c>
      <c r="C272" s="5"/>
      <c r="D272" s="5"/>
      <c r="E272" s="5"/>
      <c r="F272" s="5"/>
      <c r="G272" s="5">
        <v>1</v>
      </c>
      <c r="H272" s="2">
        <f t="shared" si="12"/>
        <v>5</v>
      </c>
      <c r="I272">
        <f>H272+'Male Emergency'!H272</f>
        <v>6</v>
      </c>
    </row>
    <row r="273" spans="1:9" ht="15.75" thickBot="1" x14ac:dyDescent="0.3">
      <c r="A273" s="28">
        <v>31</v>
      </c>
      <c r="B273" s="29"/>
      <c r="C273" s="29">
        <v>1</v>
      </c>
      <c r="D273" s="29"/>
      <c r="E273" s="29"/>
      <c r="F273" s="29"/>
      <c r="G273" s="29">
        <v>1</v>
      </c>
      <c r="H273" s="2">
        <f t="shared" si="12"/>
        <v>3</v>
      </c>
      <c r="I273">
        <f>H273+'Male Emergency'!H273</f>
        <v>4</v>
      </c>
    </row>
    <row r="274" spans="1:9" ht="15.75" thickBot="1" x14ac:dyDescent="0.3">
      <c r="A274" s="60" t="s">
        <v>35</v>
      </c>
      <c r="B274" s="58">
        <f>SUM(B243:B273)-E274</f>
        <v>66</v>
      </c>
      <c r="C274" s="58">
        <f t="shared" ref="C274:H274" si="13">SUM(C243:C273)</f>
        <v>21</v>
      </c>
      <c r="D274" s="58">
        <f t="shared" si="13"/>
        <v>3</v>
      </c>
      <c r="E274" s="58">
        <f t="shared" si="13"/>
        <v>5</v>
      </c>
      <c r="F274" s="58">
        <f t="shared" si="13"/>
        <v>0</v>
      </c>
      <c r="G274" s="58">
        <f t="shared" si="13"/>
        <v>40</v>
      </c>
      <c r="H274" s="59">
        <f t="shared" si="13"/>
        <v>104</v>
      </c>
    </row>
    <row r="277" spans="1:9" ht="36" x14ac:dyDescent="0.55000000000000004">
      <c r="A277" s="605" t="s">
        <v>1</v>
      </c>
      <c r="B277" s="605"/>
      <c r="C277" s="605"/>
      <c r="D277" s="605"/>
      <c r="E277" s="605"/>
      <c r="F277" s="605"/>
      <c r="G277" s="605"/>
      <c r="H277" s="605"/>
    </row>
    <row r="278" spans="1:9" ht="27" thickBot="1" x14ac:dyDescent="0.45">
      <c r="A278" s="606" t="s">
        <v>0</v>
      </c>
      <c r="B278" s="606"/>
      <c r="C278" s="606"/>
      <c r="D278" s="606"/>
      <c r="E278" s="606"/>
      <c r="F278" s="606"/>
      <c r="G278" s="606"/>
      <c r="H278" s="606"/>
    </row>
    <row r="279" spans="1:9" ht="15.75" x14ac:dyDescent="0.25">
      <c r="A279" s="39" t="s">
        <v>2</v>
      </c>
      <c r="B279" s="19" t="s">
        <v>3</v>
      </c>
      <c r="C279" s="20"/>
      <c r="D279" s="21" t="s">
        <v>52</v>
      </c>
      <c r="E279" s="607" t="s">
        <v>59</v>
      </c>
      <c r="F279" s="608"/>
      <c r="G279" s="19" t="s">
        <v>16</v>
      </c>
      <c r="H279" s="32" t="s">
        <v>62</v>
      </c>
    </row>
    <row r="280" spans="1:9" ht="15.75" x14ac:dyDescent="0.25">
      <c r="A280" s="609" t="s">
        <v>6</v>
      </c>
      <c r="B280" s="610"/>
      <c r="C280" s="610"/>
      <c r="D280" s="610"/>
      <c r="E280" s="610"/>
      <c r="F280" s="610"/>
      <c r="G280" s="611"/>
      <c r="H280" s="2">
        <f>H273</f>
        <v>3</v>
      </c>
    </row>
    <row r="281" spans="1:9" ht="15.75" x14ac:dyDescent="0.25">
      <c r="A281" s="3" t="s">
        <v>7</v>
      </c>
      <c r="B281" s="1"/>
      <c r="C281" s="1"/>
      <c r="D281" s="1"/>
      <c r="E281" s="1"/>
      <c r="F281" s="1"/>
      <c r="G281" s="1"/>
      <c r="H281" s="2">
        <v>10</v>
      </c>
    </row>
    <row r="282" spans="1:9" ht="51.75" thickBot="1" x14ac:dyDescent="0.3">
      <c r="A282" s="40" t="s">
        <v>8</v>
      </c>
      <c r="B282" s="41" t="s">
        <v>9</v>
      </c>
      <c r="C282" s="41" t="s">
        <v>10</v>
      </c>
      <c r="D282" s="41" t="s">
        <v>11</v>
      </c>
      <c r="E282" s="41" t="s">
        <v>12</v>
      </c>
      <c r="F282" s="41" t="s">
        <v>13</v>
      </c>
      <c r="G282" s="41" t="s">
        <v>14</v>
      </c>
      <c r="H282" s="42" t="s">
        <v>15</v>
      </c>
    </row>
    <row r="283" spans="1:9" x14ac:dyDescent="0.25">
      <c r="A283" s="36">
        <v>1</v>
      </c>
      <c r="B283" s="37">
        <v>3</v>
      </c>
      <c r="C283" s="37"/>
      <c r="D283" s="37"/>
      <c r="E283" s="37"/>
      <c r="F283" s="37"/>
      <c r="G283" s="37">
        <v>1</v>
      </c>
      <c r="H283" s="38">
        <f>H280+B283+F283-(C283+D283+G283)-E283</f>
        <v>5</v>
      </c>
      <c r="I283">
        <f>H283+'Male Emergency'!H283</f>
        <v>6</v>
      </c>
    </row>
    <row r="284" spans="1:9" x14ac:dyDescent="0.25">
      <c r="A284" s="26">
        <v>2</v>
      </c>
      <c r="B284" s="5">
        <v>1</v>
      </c>
      <c r="C284" s="5"/>
      <c r="D284" s="5">
        <v>2</v>
      </c>
      <c r="E284" s="5"/>
      <c r="F284" s="5"/>
      <c r="G284" s="5">
        <v>1</v>
      </c>
      <c r="H284" s="2">
        <f>H283+B284+F284-(C284+D284+G284)-E284</f>
        <v>3</v>
      </c>
      <c r="I284">
        <f>H284+'Male Emergency'!H284</f>
        <v>5</v>
      </c>
    </row>
    <row r="285" spans="1:9" x14ac:dyDescent="0.25">
      <c r="A285" s="26">
        <v>3</v>
      </c>
      <c r="B285" s="5">
        <v>1</v>
      </c>
      <c r="C285" s="5"/>
      <c r="D285" s="5"/>
      <c r="E285" s="5"/>
      <c r="F285" s="5"/>
      <c r="G285" s="5">
        <v>2</v>
      </c>
      <c r="H285" s="2">
        <f>H284+B285+F285-(C285+D285+G285)-E285</f>
        <v>2</v>
      </c>
      <c r="I285">
        <f>H285+'Male Emergency'!H285</f>
        <v>3</v>
      </c>
    </row>
    <row r="286" spans="1:9" x14ac:dyDescent="0.25">
      <c r="A286" s="26">
        <v>4</v>
      </c>
      <c r="B286" s="5">
        <v>2</v>
      </c>
      <c r="C286" s="5"/>
      <c r="D286" s="5"/>
      <c r="E286" s="5"/>
      <c r="F286" s="5"/>
      <c r="G286" s="5">
        <v>1</v>
      </c>
      <c r="H286" s="2">
        <f t="shared" ref="H286:H313" si="14">H285+B286+F286-(C286+D286+G286)-E286</f>
        <v>3</v>
      </c>
      <c r="I286">
        <f>H286+'Male Emergency'!H286</f>
        <v>3</v>
      </c>
    </row>
    <row r="287" spans="1:9" x14ac:dyDescent="0.25">
      <c r="A287" s="26">
        <v>5</v>
      </c>
      <c r="B287" s="5">
        <v>2</v>
      </c>
      <c r="C287" s="5"/>
      <c r="D287" s="5"/>
      <c r="E287" s="5"/>
      <c r="F287" s="5"/>
      <c r="G287" s="5">
        <v>2</v>
      </c>
      <c r="H287" s="2">
        <f t="shared" si="14"/>
        <v>3</v>
      </c>
      <c r="I287">
        <f>H287+'Male Emergency'!H287</f>
        <v>5</v>
      </c>
    </row>
    <row r="288" spans="1:9" x14ac:dyDescent="0.25">
      <c r="A288" s="26">
        <v>6</v>
      </c>
      <c r="B288" s="5">
        <v>4</v>
      </c>
      <c r="C288" s="5">
        <v>1</v>
      </c>
      <c r="D288" s="5"/>
      <c r="E288" s="5"/>
      <c r="F288" s="5"/>
      <c r="G288" s="5">
        <v>3</v>
      </c>
      <c r="H288" s="2">
        <f t="shared" si="14"/>
        <v>3</v>
      </c>
      <c r="I288">
        <f>H288+'Male Emergency'!H288</f>
        <v>6</v>
      </c>
    </row>
    <row r="289" spans="1:9" x14ac:dyDescent="0.25">
      <c r="A289" s="26">
        <v>7</v>
      </c>
      <c r="B289" s="5"/>
      <c r="C289" s="5"/>
      <c r="D289" s="5"/>
      <c r="E289" s="5"/>
      <c r="F289" s="5"/>
      <c r="G289" s="5">
        <v>2</v>
      </c>
      <c r="H289" s="2">
        <f t="shared" si="14"/>
        <v>1</v>
      </c>
      <c r="I289">
        <f>H289+'Male Emergency'!H289</f>
        <v>1</v>
      </c>
    </row>
    <row r="290" spans="1:9" x14ac:dyDescent="0.25">
      <c r="A290" s="26">
        <v>8</v>
      </c>
      <c r="B290" s="5">
        <v>2</v>
      </c>
      <c r="C290" s="5"/>
      <c r="D290" s="5">
        <v>1</v>
      </c>
      <c r="E290" s="5"/>
      <c r="F290" s="5"/>
      <c r="G290" s="5"/>
      <c r="H290" s="2">
        <f t="shared" si="14"/>
        <v>2</v>
      </c>
      <c r="I290">
        <f>H290+'Male Emergency'!H290</f>
        <v>4</v>
      </c>
    </row>
    <row r="291" spans="1:9" x14ac:dyDescent="0.25">
      <c r="A291" s="26">
        <v>9</v>
      </c>
      <c r="B291" s="5">
        <v>1</v>
      </c>
      <c r="C291" s="5">
        <v>1</v>
      </c>
      <c r="D291" s="5"/>
      <c r="E291" s="5">
        <v>1</v>
      </c>
      <c r="F291" s="5"/>
      <c r="G291" s="5"/>
      <c r="H291" s="2">
        <f t="shared" si="14"/>
        <v>1</v>
      </c>
      <c r="I291">
        <f>H291+'Male Emergency'!H291</f>
        <v>4</v>
      </c>
    </row>
    <row r="292" spans="1:9" x14ac:dyDescent="0.25">
      <c r="A292" s="26">
        <v>10</v>
      </c>
      <c r="B292" s="5">
        <v>2</v>
      </c>
      <c r="C292" s="5"/>
      <c r="D292" s="5"/>
      <c r="E292" s="5"/>
      <c r="F292" s="5"/>
      <c r="G292" s="5"/>
      <c r="H292" s="2">
        <f t="shared" si="14"/>
        <v>3</v>
      </c>
      <c r="I292">
        <f>H292+'Male Emergency'!H292</f>
        <v>5</v>
      </c>
    </row>
    <row r="293" spans="1:9" x14ac:dyDescent="0.25">
      <c r="A293" s="26">
        <v>11</v>
      </c>
      <c r="B293" s="5">
        <v>4</v>
      </c>
      <c r="C293" s="5">
        <v>1</v>
      </c>
      <c r="D293" s="5"/>
      <c r="E293" s="5"/>
      <c r="F293" s="5"/>
      <c r="G293" s="5"/>
      <c r="H293" s="2">
        <f t="shared" si="14"/>
        <v>6</v>
      </c>
      <c r="I293">
        <f>H293+'Male Emergency'!H293</f>
        <v>8</v>
      </c>
    </row>
    <row r="294" spans="1:9" x14ac:dyDescent="0.25">
      <c r="A294" s="26">
        <v>12</v>
      </c>
      <c r="B294" s="5">
        <v>3</v>
      </c>
      <c r="C294" s="5">
        <v>3</v>
      </c>
      <c r="D294" s="5"/>
      <c r="E294" s="5"/>
      <c r="F294" s="5"/>
      <c r="G294" s="5">
        <v>2</v>
      </c>
      <c r="H294" s="2">
        <f t="shared" si="14"/>
        <v>4</v>
      </c>
      <c r="I294">
        <f>H294+'Male Emergency'!H294</f>
        <v>7</v>
      </c>
    </row>
    <row r="295" spans="1:9" x14ac:dyDescent="0.25">
      <c r="A295" s="26">
        <v>13</v>
      </c>
      <c r="B295" s="5">
        <v>1</v>
      </c>
      <c r="C295" s="5">
        <v>1</v>
      </c>
      <c r="D295" s="5"/>
      <c r="E295" s="5"/>
      <c r="F295" s="5"/>
      <c r="G295" s="5">
        <v>2</v>
      </c>
      <c r="H295" s="2">
        <f t="shared" si="14"/>
        <v>2</v>
      </c>
      <c r="I295">
        <f>H295+'Male Emergency'!H295</f>
        <v>4</v>
      </c>
    </row>
    <row r="296" spans="1:9" x14ac:dyDescent="0.25">
      <c r="A296" s="26">
        <v>14</v>
      </c>
      <c r="B296" s="5">
        <v>4</v>
      </c>
      <c r="C296" s="5"/>
      <c r="D296" s="5"/>
      <c r="E296" s="5">
        <v>1</v>
      </c>
      <c r="F296" s="5"/>
      <c r="G296" s="5">
        <v>2</v>
      </c>
      <c r="H296" s="2">
        <f t="shared" si="14"/>
        <v>3</v>
      </c>
      <c r="I296">
        <f>H296+'Male Emergency'!H296</f>
        <v>5</v>
      </c>
    </row>
    <row r="297" spans="1:9" x14ac:dyDescent="0.25">
      <c r="A297" s="26">
        <v>15</v>
      </c>
      <c r="B297" s="5">
        <v>1</v>
      </c>
      <c r="C297" s="5">
        <v>2</v>
      </c>
      <c r="D297" s="5"/>
      <c r="E297" s="5"/>
      <c r="F297" s="5"/>
      <c r="G297" s="5">
        <v>1</v>
      </c>
      <c r="H297" s="2">
        <f t="shared" si="14"/>
        <v>1</v>
      </c>
      <c r="I297">
        <f>H297+'Male Emergency'!H297</f>
        <v>3</v>
      </c>
    </row>
    <row r="298" spans="1:9" x14ac:dyDescent="0.25">
      <c r="A298" s="26">
        <v>16</v>
      </c>
      <c r="B298" s="5">
        <v>1</v>
      </c>
      <c r="C298" s="5"/>
      <c r="D298" s="5">
        <v>1</v>
      </c>
      <c r="E298" s="5"/>
      <c r="F298" s="5"/>
      <c r="G298" s="5"/>
      <c r="H298" s="2">
        <f t="shared" si="14"/>
        <v>1</v>
      </c>
      <c r="I298">
        <f>H298+'Male Emergency'!H298</f>
        <v>2</v>
      </c>
    </row>
    <row r="299" spans="1:9" x14ac:dyDescent="0.25">
      <c r="A299" s="26">
        <v>17</v>
      </c>
      <c r="B299" s="5">
        <v>3</v>
      </c>
      <c r="C299" s="5"/>
      <c r="D299" s="5"/>
      <c r="E299" s="5"/>
      <c r="F299" s="5"/>
      <c r="G299" s="5">
        <v>1</v>
      </c>
      <c r="H299" s="2">
        <f t="shared" si="14"/>
        <v>3</v>
      </c>
      <c r="I299">
        <f>H299+'Male Emergency'!H299</f>
        <v>6</v>
      </c>
    </row>
    <row r="300" spans="1:9" x14ac:dyDescent="0.25">
      <c r="A300" s="26">
        <v>18</v>
      </c>
      <c r="B300" s="5">
        <v>1</v>
      </c>
      <c r="C300" s="5">
        <v>2</v>
      </c>
      <c r="D300" s="5"/>
      <c r="E300" s="5">
        <v>1</v>
      </c>
      <c r="F300" s="5"/>
      <c r="G300" s="5"/>
      <c r="H300" s="2">
        <f t="shared" si="14"/>
        <v>1</v>
      </c>
      <c r="I300">
        <f>H300+'Male Emergency'!H300</f>
        <v>3</v>
      </c>
    </row>
    <row r="301" spans="1:9" x14ac:dyDescent="0.25">
      <c r="A301" s="26">
        <v>19</v>
      </c>
      <c r="B301" s="5">
        <v>3</v>
      </c>
      <c r="C301" s="5"/>
      <c r="D301" s="5"/>
      <c r="E301" s="5"/>
      <c r="F301" s="5"/>
      <c r="G301" s="5">
        <v>1</v>
      </c>
      <c r="H301" s="2">
        <f t="shared" si="14"/>
        <v>3</v>
      </c>
      <c r="I301">
        <f>H301+'Male Emergency'!H301</f>
        <v>6</v>
      </c>
    </row>
    <row r="302" spans="1:9" x14ac:dyDescent="0.25">
      <c r="A302" s="26">
        <v>20</v>
      </c>
      <c r="B302" s="5">
        <v>5</v>
      </c>
      <c r="C302" s="5">
        <v>3</v>
      </c>
      <c r="D302" s="5"/>
      <c r="E302" s="5"/>
      <c r="F302" s="5"/>
      <c r="G302" s="5">
        <v>1</v>
      </c>
      <c r="H302" s="2">
        <f t="shared" si="14"/>
        <v>4</v>
      </c>
      <c r="I302">
        <f>H302+'Male Emergency'!H302</f>
        <v>7</v>
      </c>
    </row>
    <row r="303" spans="1:9" x14ac:dyDescent="0.25">
      <c r="A303" s="26">
        <v>21</v>
      </c>
      <c r="B303" s="5">
        <v>7</v>
      </c>
      <c r="C303" s="5">
        <v>2</v>
      </c>
      <c r="D303" s="5"/>
      <c r="E303" s="5">
        <v>2</v>
      </c>
      <c r="F303" s="5"/>
      <c r="G303" s="5"/>
      <c r="H303" s="2">
        <f t="shared" si="14"/>
        <v>7</v>
      </c>
      <c r="I303">
        <f>H303+'Male Emergency'!H303</f>
        <v>8</v>
      </c>
    </row>
    <row r="304" spans="1:9" x14ac:dyDescent="0.25">
      <c r="A304" s="26">
        <v>22</v>
      </c>
      <c r="B304" s="5">
        <v>1</v>
      </c>
      <c r="C304" s="5">
        <v>2</v>
      </c>
      <c r="D304" s="5"/>
      <c r="E304" s="5"/>
      <c r="F304" s="5"/>
      <c r="G304" s="5">
        <v>2</v>
      </c>
      <c r="H304" s="2">
        <f t="shared" si="14"/>
        <v>4</v>
      </c>
      <c r="I304">
        <f>H304+'Male Emergency'!H304</f>
        <v>5</v>
      </c>
    </row>
    <row r="305" spans="1:9" x14ac:dyDescent="0.25">
      <c r="A305" s="26">
        <v>23</v>
      </c>
      <c r="B305" s="5">
        <v>4</v>
      </c>
      <c r="C305" s="5">
        <v>2</v>
      </c>
      <c r="D305" s="5"/>
      <c r="E305" s="5"/>
      <c r="F305" s="5"/>
      <c r="G305" s="5"/>
      <c r="H305" s="2">
        <f t="shared" si="14"/>
        <v>6</v>
      </c>
      <c r="I305">
        <f>H305+'Male Emergency'!H305</f>
        <v>9</v>
      </c>
    </row>
    <row r="306" spans="1:9" x14ac:dyDescent="0.25">
      <c r="A306" s="26">
        <v>24</v>
      </c>
      <c r="B306" s="5">
        <v>6</v>
      </c>
      <c r="C306" s="5">
        <v>3</v>
      </c>
      <c r="D306" s="5"/>
      <c r="E306" s="5"/>
      <c r="F306" s="5"/>
      <c r="G306" s="5">
        <v>3</v>
      </c>
      <c r="H306" s="2">
        <f t="shared" si="14"/>
        <v>6</v>
      </c>
      <c r="I306">
        <f>H306+'Male Emergency'!H306</f>
        <v>9</v>
      </c>
    </row>
    <row r="307" spans="1:9" x14ac:dyDescent="0.25">
      <c r="A307" s="26">
        <v>25</v>
      </c>
      <c r="B307" s="5">
        <v>3</v>
      </c>
      <c r="C307" s="5">
        <v>4</v>
      </c>
      <c r="D307" s="5"/>
      <c r="E307" s="5"/>
      <c r="F307" s="5"/>
      <c r="G307" s="5">
        <v>1</v>
      </c>
      <c r="H307" s="2">
        <f t="shared" si="14"/>
        <v>4</v>
      </c>
      <c r="I307">
        <f>I308</f>
        <v>4</v>
      </c>
    </row>
    <row r="308" spans="1:9" x14ac:dyDescent="0.25">
      <c r="A308" s="26">
        <v>26</v>
      </c>
      <c r="B308" s="5">
        <v>2</v>
      </c>
      <c r="C308" s="5">
        <v>2</v>
      </c>
      <c r="D308" s="5"/>
      <c r="E308" s="5"/>
      <c r="F308" s="5"/>
      <c r="G308" s="5">
        <v>2</v>
      </c>
      <c r="H308" s="2">
        <f t="shared" si="14"/>
        <v>2</v>
      </c>
      <c r="I308">
        <f>H308+'Male Emergency'!H308</f>
        <v>4</v>
      </c>
    </row>
    <row r="309" spans="1:9" x14ac:dyDescent="0.25">
      <c r="A309" s="26">
        <v>27</v>
      </c>
      <c r="B309" s="5"/>
      <c r="C309" s="5"/>
      <c r="D309" s="5"/>
      <c r="E309" s="5"/>
      <c r="F309" s="5"/>
      <c r="G309" s="5">
        <v>1</v>
      </c>
      <c r="H309" s="2">
        <f t="shared" si="14"/>
        <v>1</v>
      </c>
      <c r="I309">
        <f>H309+'Male Emergency'!H309</f>
        <v>2</v>
      </c>
    </row>
    <row r="310" spans="1:9" x14ac:dyDescent="0.25">
      <c r="A310" s="26">
        <v>28</v>
      </c>
      <c r="B310" s="5">
        <v>2</v>
      </c>
      <c r="C310" s="5"/>
      <c r="D310" s="5"/>
      <c r="E310" s="5"/>
      <c r="F310" s="5"/>
      <c r="G310" s="5"/>
      <c r="H310" s="2">
        <f t="shared" si="14"/>
        <v>3</v>
      </c>
      <c r="I310">
        <f>H310+'Male Emergency'!H310</f>
        <v>7</v>
      </c>
    </row>
    <row r="311" spans="1:9" x14ac:dyDescent="0.25">
      <c r="A311" s="26">
        <v>29</v>
      </c>
      <c r="B311" s="5">
        <v>3</v>
      </c>
      <c r="C311" s="5">
        <v>4</v>
      </c>
      <c r="D311" s="5"/>
      <c r="E311" s="5">
        <v>1</v>
      </c>
      <c r="F311" s="5"/>
      <c r="G311" s="5">
        <v>1</v>
      </c>
      <c r="H311" s="2">
        <f t="shared" si="14"/>
        <v>0</v>
      </c>
      <c r="I311">
        <f>H311+'Male Emergency'!H311</f>
        <v>3</v>
      </c>
    </row>
    <row r="312" spans="1:9" x14ac:dyDescent="0.25">
      <c r="A312" s="26">
        <v>30</v>
      </c>
      <c r="B312" s="5">
        <v>1</v>
      </c>
      <c r="C312" s="5"/>
      <c r="D312" s="5"/>
      <c r="E312" s="5"/>
      <c r="F312" s="5"/>
      <c r="G312" s="5">
        <v>1</v>
      </c>
      <c r="H312" s="2">
        <f t="shared" si="14"/>
        <v>0</v>
      </c>
      <c r="I312">
        <f>H312+'Male Emergency'!H312</f>
        <v>3</v>
      </c>
    </row>
    <row r="313" spans="1:9" ht="15.75" thickBot="1" x14ac:dyDescent="0.3">
      <c r="A313" s="28">
        <v>31</v>
      </c>
      <c r="B313" s="29">
        <v>2</v>
      </c>
      <c r="C313" s="29">
        <v>1</v>
      </c>
      <c r="D313" s="29"/>
      <c r="E313" s="29">
        <v>1</v>
      </c>
      <c r="F313" s="29"/>
      <c r="G313" s="29"/>
      <c r="H313" s="2">
        <f t="shared" si="14"/>
        <v>0</v>
      </c>
      <c r="I313">
        <f>H313+'Male Emergency'!H313</f>
        <v>1</v>
      </c>
    </row>
    <row r="314" spans="1:9" ht="15.75" thickBot="1" x14ac:dyDescent="0.3">
      <c r="A314" s="60" t="s">
        <v>35</v>
      </c>
      <c r="B314" s="58">
        <f>SUM(B283:B313)-E314</f>
        <v>68</v>
      </c>
      <c r="C314" s="58">
        <f t="shared" ref="C314:H314" si="15">SUM(C283:C313)</f>
        <v>34</v>
      </c>
      <c r="D314" s="58">
        <f t="shared" si="15"/>
        <v>4</v>
      </c>
      <c r="E314" s="58">
        <f t="shared" si="15"/>
        <v>7</v>
      </c>
      <c r="F314" s="58">
        <f t="shared" si="15"/>
        <v>0</v>
      </c>
      <c r="G314" s="58">
        <f t="shared" si="15"/>
        <v>33</v>
      </c>
      <c r="H314" s="59">
        <f t="shared" si="15"/>
        <v>87</v>
      </c>
    </row>
    <row r="317" spans="1:9" ht="36" x14ac:dyDescent="0.55000000000000004">
      <c r="A317" s="605" t="s">
        <v>1</v>
      </c>
      <c r="B317" s="605"/>
      <c r="C317" s="605"/>
      <c r="D317" s="605"/>
      <c r="E317" s="605"/>
      <c r="F317" s="605"/>
      <c r="G317" s="605"/>
      <c r="H317" s="605"/>
    </row>
    <row r="318" spans="1:9" ht="27" thickBot="1" x14ac:dyDescent="0.45">
      <c r="A318" s="606" t="s">
        <v>0</v>
      </c>
      <c r="B318" s="606"/>
      <c r="C318" s="606"/>
      <c r="D318" s="606"/>
      <c r="E318" s="606"/>
      <c r="F318" s="606"/>
      <c r="G318" s="606"/>
      <c r="H318" s="606"/>
    </row>
    <row r="319" spans="1:9" ht="15.75" x14ac:dyDescent="0.25">
      <c r="A319" s="39" t="s">
        <v>2</v>
      </c>
      <c r="B319" s="19" t="s">
        <v>3</v>
      </c>
      <c r="C319" s="20"/>
      <c r="D319" s="21" t="s">
        <v>52</v>
      </c>
      <c r="E319" s="607" t="s">
        <v>59</v>
      </c>
      <c r="F319" s="608"/>
      <c r="G319" s="19" t="s">
        <v>16</v>
      </c>
      <c r="H319" s="32" t="s">
        <v>63</v>
      </c>
    </row>
    <row r="320" spans="1:9" ht="15.75" x14ac:dyDescent="0.25">
      <c r="A320" s="609" t="s">
        <v>6</v>
      </c>
      <c r="B320" s="610"/>
      <c r="C320" s="610"/>
      <c r="D320" s="610"/>
      <c r="E320" s="610"/>
      <c r="F320" s="610"/>
      <c r="G320" s="611"/>
      <c r="H320" s="2">
        <f>H313</f>
        <v>0</v>
      </c>
    </row>
    <row r="321" spans="1:9" ht="15.75" x14ac:dyDescent="0.25">
      <c r="A321" s="3" t="s">
        <v>7</v>
      </c>
      <c r="B321" s="1"/>
      <c r="C321" s="1"/>
      <c r="D321" s="1"/>
      <c r="E321" s="1"/>
      <c r="F321" s="1"/>
      <c r="G321" s="1"/>
      <c r="H321" s="2">
        <v>10</v>
      </c>
    </row>
    <row r="322" spans="1:9" ht="51.75" thickBot="1" x14ac:dyDescent="0.3">
      <c r="A322" s="40" t="s">
        <v>8</v>
      </c>
      <c r="B322" s="41" t="s">
        <v>9</v>
      </c>
      <c r="C322" s="41" t="s">
        <v>10</v>
      </c>
      <c r="D322" s="41" t="s">
        <v>11</v>
      </c>
      <c r="E322" s="41" t="s">
        <v>12</v>
      </c>
      <c r="F322" s="41" t="s">
        <v>13</v>
      </c>
      <c r="G322" s="41" t="s">
        <v>14</v>
      </c>
      <c r="H322" s="42" t="s">
        <v>15</v>
      </c>
    </row>
    <row r="323" spans="1:9" x14ac:dyDescent="0.25">
      <c r="A323" s="36">
        <v>1</v>
      </c>
      <c r="B323" s="37">
        <v>2</v>
      </c>
      <c r="C323" s="37"/>
      <c r="D323" s="37"/>
      <c r="E323" s="37"/>
      <c r="F323" s="37"/>
      <c r="G323" s="37">
        <v>1</v>
      </c>
      <c r="H323" s="38">
        <f>H320+B323+F323-(C323+D323+G323)-E323</f>
        <v>1</v>
      </c>
      <c r="I323">
        <f>H323+'Male Emergency'!H323</f>
        <v>3</v>
      </c>
    </row>
    <row r="324" spans="1:9" x14ac:dyDescent="0.25">
      <c r="A324" s="26">
        <v>2</v>
      </c>
      <c r="B324" s="5">
        <v>1</v>
      </c>
      <c r="C324" s="5"/>
      <c r="D324" s="5"/>
      <c r="E324" s="5"/>
      <c r="F324" s="5"/>
      <c r="G324" s="5">
        <v>1</v>
      </c>
      <c r="H324" s="2">
        <f>H323+B324+F324-(C324+D324+G324)-E324</f>
        <v>1</v>
      </c>
      <c r="I324">
        <f>H324+'Male Emergency'!H324</f>
        <v>3</v>
      </c>
    </row>
    <row r="325" spans="1:9" x14ac:dyDescent="0.25">
      <c r="A325" s="26">
        <v>3</v>
      </c>
      <c r="B325" s="5">
        <v>1</v>
      </c>
      <c r="C325" s="5"/>
      <c r="D325" s="5"/>
      <c r="E325" s="5"/>
      <c r="F325" s="5"/>
      <c r="G325" s="5">
        <v>1</v>
      </c>
      <c r="H325" s="2">
        <f>H324+B325+F325-(C325+D325+G325)-E325</f>
        <v>1</v>
      </c>
      <c r="I325">
        <f>H325+'Male Emergency'!H325</f>
        <v>3</v>
      </c>
    </row>
    <row r="326" spans="1:9" x14ac:dyDescent="0.25">
      <c r="A326" s="26">
        <v>4</v>
      </c>
      <c r="B326" s="5">
        <v>4</v>
      </c>
      <c r="C326" s="5">
        <v>1</v>
      </c>
      <c r="D326" s="5"/>
      <c r="E326" s="5"/>
      <c r="F326" s="5"/>
      <c r="G326" s="5"/>
      <c r="H326" s="2">
        <f t="shared" ref="H326:H352" si="16">H325+B326+F326-(C326+D326+G326)-E326</f>
        <v>4</v>
      </c>
      <c r="I326">
        <f>H326+'Male Emergency'!H326</f>
        <v>6</v>
      </c>
    </row>
    <row r="327" spans="1:9" x14ac:dyDescent="0.25">
      <c r="A327" s="26">
        <v>5</v>
      </c>
      <c r="B327" s="5">
        <v>2</v>
      </c>
      <c r="C327" s="5">
        <v>1</v>
      </c>
      <c r="D327" s="5"/>
      <c r="E327" s="5">
        <v>1</v>
      </c>
      <c r="F327" s="5"/>
      <c r="G327" s="5">
        <v>2</v>
      </c>
      <c r="H327" s="2">
        <f t="shared" si="16"/>
        <v>2</v>
      </c>
      <c r="I327">
        <f>H327+'Male Emergency'!H327</f>
        <v>7</v>
      </c>
    </row>
    <row r="328" spans="1:9" x14ac:dyDescent="0.25">
      <c r="A328" s="26">
        <v>6</v>
      </c>
      <c r="B328" s="5">
        <v>2</v>
      </c>
      <c r="C328" s="5"/>
      <c r="D328" s="5"/>
      <c r="E328" s="5"/>
      <c r="F328" s="5"/>
      <c r="G328" s="5">
        <v>3</v>
      </c>
      <c r="H328" s="2">
        <f t="shared" si="16"/>
        <v>1</v>
      </c>
      <c r="I328">
        <f>H328+'Male Emergency'!H328</f>
        <v>4</v>
      </c>
    </row>
    <row r="329" spans="1:9" x14ac:dyDescent="0.25">
      <c r="A329" s="26">
        <v>7</v>
      </c>
      <c r="B329" s="5">
        <v>2</v>
      </c>
      <c r="C329" s="5"/>
      <c r="D329" s="5"/>
      <c r="E329" s="5"/>
      <c r="F329" s="5"/>
      <c r="G329" s="5">
        <v>3</v>
      </c>
      <c r="H329" s="2">
        <f t="shared" si="16"/>
        <v>0</v>
      </c>
      <c r="I329">
        <f>H329+'Male Emergency'!H329</f>
        <v>5</v>
      </c>
    </row>
    <row r="330" spans="1:9" x14ac:dyDescent="0.25">
      <c r="A330" s="26">
        <v>8</v>
      </c>
      <c r="B330" s="5">
        <v>1</v>
      </c>
      <c r="C330" s="5"/>
      <c r="D330" s="5">
        <v>1</v>
      </c>
      <c r="E330" s="5"/>
      <c r="F330" s="5"/>
      <c r="G330" s="5">
        <v>1</v>
      </c>
      <c r="H330" s="2">
        <f t="shared" si="16"/>
        <v>-1</v>
      </c>
      <c r="I330">
        <f>H330+'Male Emergency'!H330</f>
        <v>5</v>
      </c>
    </row>
    <row r="331" spans="1:9" x14ac:dyDescent="0.25">
      <c r="A331" s="26">
        <v>9</v>
      </c>
      <c r="B331" s="5">
        <v>1</v>
      </c>
      <c r="C331" s="5"/>
      <c r="D331" s="5"/>
      <c r="E331" s="5"/>
      <c r="F331" s="5"/>
      <c r="G331" s="5"/>
      <c r="H331" s="2">
        <f t="shared" si="16"/>
        <v>0</v>
      </c>
      <c r="I331">
        <f>H331+'Male Emergency'!H331</f>
        <v>4</v>
      </c>
    </row>
    <row r="332" spans="1:9" x14ac:dyDescent="0.25">
      <c r="A332" s="26">
        <v>10</v>
      </c>
      <c r="B332" s="5"/>
      <c r="C332" s="5"/>
      <c r="D332" s="5"/>
      <c r="E332" s="5"/>
      <c r="F332" s="5"/>
      <c r="G332" s="5"/>
      <c r="H332" s="2">
        <f t="shared" si="16"/>
        <v>0</v>
      </c>
      <c r="I332">
        <f>H332+'Male Emergency'!H332</f>
        <v>4</v>
      </c>
    </row>
    <row r="333" spans="1:9" x14ac:dyDescent="0.25">
      <c r="A333" s="26">
        <v>11</v>
      </c>
      <c r="B333" s="5">
        <v>2</v>
      </c>
      <c r="C333" s="5"/>
      <c r="D333" s="5"/>
      <c r="E333" s="5"/>
      <c r="F333" s="5"/>
      <c r="G333" s="5"/>
      <c r="H333" s="2">
        <f t="shared" si="16"/>
        <v>2</v>
      </c>
      <c r="I333">
        <f>H333+'Male Emergency'!H333</f>
        <v>5</v>
      </c>
    </row>
    <row r="334" spans="1:9" x14ac:dyDescent="0.25">
      <c r="A334" s="26">
        <v>12</v>
      </c>
      <c r="B334" s="5">
        <v>2</v>
      </c>
      <c r="C334" s="5">
        <v>2</v>
      </c>
      <c r="D334" s="5"/>
      <c r="E334" s="5"/>
      <c r="F334" s="5"/>
      <c r="G334" s="5">
        <v>1</v>
      </c>
      <c r="H334" s="2">
        <f t="shared" si="16"/>
        <v>1</v>
      </c>
      <c r="I334">
        <f>H334+'Male Emergency'!H334</f>
        <v>3</v>
      </c>
    </row>
    <row r="335" spans="1:9" x14ac:dyDescent="0.25">
      <c r="A335" s="26">
        <v>13</v>
      </c>
      <c r="B335" s="5">
        <v>2</v>
      </c>
      <c r="C335" s="5">
        <v>1</v>
      </c>
      <c r="D335" s="5"/>
      <c r="E335" s="5"/>
      <c r="F335" s="5"/>
      <c r="G335" s="5">
        <v>1</v>
      </c>
      <c r="H335" s="2">
        <f t="shared" si="16"/>
        <v>1</v>
      </c>
      <c r="I335">
        <f>H335+'Male Emergency'!H335</f>
        <v>5</v>
      </c>
    </row>
    <row r="336" spans="1:9" x14ac:dyDescent="0.25">
      <c r="A336" s="26">
        <v>14</v>
      </c>
      <c r="B336" s="5">
        <v>2</v>
      </c>
      <c r="C336" s="5"/>
      <c r="D336" s="5"/>
      <c r="E336" s="5"/>
      <c r="F336" s="5"/>
      <c r="G336" s="5">
        <v>1</v>
      </c>
      <c r="H336" s="2">
        <f t="shared" si="16"/>
        <v>2</v>
      </c>
      <c r="I336">
        <f>H336+'Male Emergency'!H336</f>
        <v>6</v>
      </c>
    </row>
    <row r="337" spans="1:9" x14ac:dyDescent="0.25">
      <c r="A337" s="26">
        <v>15</v>
      </c>
      <c r="B337" s="5">
        <v>2</v>
      </c>
      <c r="C337" s="5">
        <v>1</v>
      </c>
      <c r="D337" s="5"/>
      <c r="E337" s="5"/>
      <c r="F337" s="5"/>
      <c r="G337" s="5">
        <v>2</v>
      </c>
      <c r="H337" s="2">
        <f t="shared" si="16"/>
        <v>1</v>
      </c>
      <c r="I337">
        <f>H337+'Male Emergency'!H337</f>
        <v>4</v>
      </c>
    </row>
    <row r="338" spans="1:9" x14ac:dyDescent="0.25">
      <c r="A338" s="26">
        <v>16</v>
      </c>
      <c r="B338" s="5"/>
      <c r="C338" s="5"/>
      <c r="D338" s="5"/>
      <c r="E338" s="5"/>
      <c r="F338" s="5"/>
      <c r="G338" s="5">
        <v>1</v>
      </c>
      <c r="H338" s="2">
        <f t="shared" si="16"/>
        <v>0</v>
      </c>
      <c r="I338">
        <f>H338+'Male Emergency'!H338</f>
        <v>3</v>
      </c>
    </row>
    <row r="339" spans="1:9" x14ac:dyDescent="0.25">
      <c r="A339" s="26">
        <v>17</v>
      </c>
      <c r="B339" s="5">
        <v>2</v>
      </c>
      <c r="C339" s="5">
        <v>2</v>
      </c>
      <c r="D339" s="5"/>
      <c r="E339" s="5"/>
      <c r="F339" s="5"/>
      <c r="G339" s="5">
        <v>1</v>
      </c>
      <c r="H339" s="2">
        <f t="shared" si="16"/>
        <v>-1</v>
      </c>
      <c r="I339">
        <f>H339+'Male Emergency'!H339</f>
        <v>5</v>
      </c>
    </row>
    <row r="340" spans="1:9" x14ac:dyDescent="0.25">
      <c r="A340" s="26">
        <v>18</v>
      </c>
      <c r="B340" s="5">
        <v>3</v>
      </c>
      <c r="C340" s="5">
        <v>1</v>
      </c>
      <c r="D340" s="5"/>
      <c r="E340" s="5"/>
      <c r="F340" s="5"/>
      <c r="G340" s="5">
        <v>2</v>
      </c>
      <c r="H340" s="2">
        <f t="shared" si="16"/>
        <v>-1</v>
      </c>
      <c r="I340">
        <f>H340+'Male Emergency'!H340</f>
        <v>3</v>
      </c>
    </row>
    <row r="341" spans="1:9" x14ac:dyDescent="0.25">
      <c r="A341" s="26">
        <v>19</v>
      </c>
      <c r="B341" s="5">
        <v>1</v>
      </c>
      <c r="C341" s="5"/>
      <c r="D341" s="5"/>
      <c r="E341" s="5"/>
      <c r="F341" s="5"/>
      <c r="G341" s="5">
        <v>1</v>
      </c>
      <c r="H341" s="2">
        <f t="shared" si="16"/>
        <v>-1</v>
      </c>
      <c r="I341">
        <f>H341+'Male Emergency'!H341</f>
        <v>4</v>
      </c>
    </row>
    <row r="342" spans="1:9" x14ac:dyDescent="0.25">
      <c r="A342" s="26">
        <v>20</v>
      </c>
      <c r="B342" s="5">
        <v>4</v>
      </c>
      <c r="C342" s="5"/>
      <c r="D342" s="5"/>
      <c r="E342" s="5"/>
      <c r="F342" s="5"/>
      <c r="G342" s="5">
        <v>2</v>
      </c>
      <c r="H342" s="2">
        <f t="shared" si="16"/>
        <v>1</v>
      </c>
      <c r="I342">
        <f>H342+'Male Emergency'!H342</f>
        <v>5</v>
      </c>
    </row>
    <row r="343" spans="1:9" x14ac:dyDescent="0.25">
      <c r="A343" s="26">
        <v>21</v>
      </c>
      <c r="B343" s="5">
        <v>3</v>
      </c>
      <c r="C343" s="5">
        <v>2</v>
      </c>
      <c r="D343" s="5"/>
      <c r="E343" s="5">
        <v>1</v>
      </c>
      <c r="F343" s="5"/>
      <c r="G343" s="5">
        <v>1</v>
      </c>
      <c r="H343" s="2">
        <f t="shared" si="16"/>
        <v>0</v>
      </c>
      <c r="I343">
        <f>H343+'Male Emergency'!H343</f>
        <v>2</v>
      </c>
    </row>
    <row r="344" spans="1:9" x14ac:dyDescent="0.25">
      <c r="A344" s="26">
        <v>22</v>
      </c>
      <c r="B344" s="5">
        <v>3</v>
      </c>
      <c r="C344" s="5"/>
      <c r="D344" s="5"/>
      <c r="E344" s="5"/>
      <c r="F344" s="5"/>
      <c r="G344" s="5">
        <v>3</v>
      </c>
      <c r="H344" s="2">
        <f t="shared" si="16"/>
        <v>0</v>
      </c>
      <c r="I344">
        <f>H344+'Male Emergency'!H344</f>
        <v>2</v>
      </c>
    </row>
    <row r="345" spans="1:9" x14ac:dyDescent="0.25">
      <c r="A345" s="26">
        <v>23</v>
      </c>
      <c r="B345" s="5"/>
      <c r="C345" s="5"/>
      <c r="D345" s="5"/>
      <c r="E345" s="5"/>
      <c r="F345" s="5"/>
      <c r="G345" s="5">
        <v>1</v>
      </c>
      <c r="H345" s="2">
        <f t="shared" si="16"/>
        <v>-1</v>
      </c>
      <c r="I345">
        <f>H345+'Male Emergency'!H345</f>
        <v>1</v>
      </c>
    </row>
    <row r="346" spans="1:9" x14ac:dyDescent="0.25">
      <c r="A346" s="26">
        <v>24</v>
      </c>
      <c r="B346" s="5">
        <v>1</v>
      </c>
      <c r="C346" s="5"/>
      <c r="D346" s="5"/>
      <c r="E346" s="5"/>
      <c r="F346" s="5"/>
      <c r="G346" s="5"/>
      <c r="H346" s="2">
        <f t="shared" si="16"/>
        <v>0</v>
      </c>
      <c r="I346">
        <f>H346+'Male Emergency'!H346</f>
        <v>3</v>
      </c>
    </row>
    <row r="347" spans="1:9" x14ac:dyDescent="0.25">
      <c r="A347" s="26">
        <v>25</v>
      </c>
      <c r="B347" s="5">
        <v>1</v>
      </c>
      <c r="C347" s="5"/>
      <c r="D347" s="5"/>
      <c r="E347" s="5"/>
      <c r="F347" s="5"/>
      <c r="G347" s="5">
        <v>2</v>
      </c>
      <c r="H347" s="2">
        <f t="shared" si="16"/>
        <v>-1</v>
      </c>
      <c r="I347">
        <f>H347+'Male Emergency'!H347</f>
        <v>3</v>
      </c>
    </row>
    <row r="348" spans="1:9" x14ac:dyDescent="0.25">
      <c r="A348" s="26">
        <v>26</v>
      </c>
      <c r="B348" s="5">
        <v>3</v>
      </c>
      <c r="C348" s="5">
        <v>2</v>
      </c>
      <c r="D348" s="5"/>
      <c r="E348" s="5"/>
      <c r="F348" s="5"/>
      <c r="G348" s="5"/>
      <c r="H348" s="2">
        <f t="shared" si="16"/>
        <v>0</v>
      </c>
      <c r="I348">
        <f>H348+'Male Emergency'!H348</f>
        <v>2</v>
      </c>
    </row>
    <row r="349" spans="1:9" x14ac:dyDescent="0.25">
      <c r="A349" s="26">
        <v>27</v>
      </c>
      <c r="B349" s="5">
        <v>2</v>
      </c>
      <c r="C349" s="5"/>
      <c r="D349" s="5"/>
      <c r="E349" s="5"/>
      <c r="F349" s="5"/>
      <c r="G349" s="5">
        <v>3</v>
      </c>
      <c r="H349" s="2">
        <f t="shared" si="16"/>
        <v>-1</v>
      </c>
      <c r="I349">
        <f>H349+'Male Emergency'!H349</f>
        <v>4</v>
      </c>
    </row>
    <row r="350" spans="1:9" x14ac:dyDescent="0.25">
      <c r="A350" s="26">
        <v>28</v>
      </c>
      <c r="B350" s="5">
        <v>1</v>
      </c>
      <c r="C350" s="5"/>
      <c r="D350" s="5"/>
      <c r="E350" s="5"/>
      <c r="F350" s="5"/>
      <c r="G350" s="5"/>
      <c r="H350" s="2">
        <f t="shared" si="16"/>
        <v>0</v>
      </c>
      <c r="I350">
        <f>H350+'Male Emergency'!H350</f>
        <v>4</v>
      </c>
    </row>
    <row r="351" spans="1:9" x14ac:dyDescent="0.25">
      <c r="A351" s="26">
        <v>29</v>
      </c>
      <c r="B351" s="5">
        <v>2</v>
      </c>
      <c r="C351" s="5">
        <v>1</v>
      </c>
      <c r="D351" s="5"/>
      <c r="E351" s="5"/>
      <c r="F351" s="5"/>
      <c r="G351" s="5">
        <v>1</v>
      </c>
      <c r="H351" s="2">
        <f t="shared" si="16"/>
        <v>0</v>
      </c>
      <c r="I351">
        <f>H351+'Male Emergency'!H351</f>
        <v>3</v>
      </c>
    </row>
    <row r="352" spans="1:9" ht="15.75" thickBot="1" x14ac:dyDescent="0.3">
      <c r="A352" s="26">
        <v>30</v>
      </c>
      <c r="B352" s="5">
        <v>2</v>
      </c>
      <c r="C352" s="5"/>
      <c r="D352" s="5"/>
      <c r="E352" s="5">
        <v>1</v>
      </c>
      <c r="F352" s="5"/>
      <c r="G352" s="5">
        <v>1</v>
      </c>
      <c r="H352" s="2">
        <f t="shared" si="16"/>
        <v>0</v>
      </c>
      <c r="I352">
        <f>H352+'Male Emergency'!H352</f>
        <v>5</v>
      </c>
    </row>
    <row r="353" spans="1:11" ht="15.75" thickBot="1" x14ac:dyDescent="0.3">
      <c r="A353" s="60" t="s">
        <v>35</v>
      </c>
      <c r="B353" s="58">
        <f>SUM(B323:B352)-E353</f>
        <v>51</v>
      </c>
      <c r="C353" s="58">
        <f t="shared" ref="C353:H353" si="17">SUM(C323:C352)</f>
        <v>14</v>
      </c>
      <c r="D353" s="58">
        <f t="shared" si="17"/>
        <v>1</v>
      </c>
      <c r="E353" s="58">
        <f t="shared" si="17"/>
        <v>3</v>
      </c>
      <c r="F353" s="58">
        <f t="shared" si="17"/>
        <v>0</v>
      </c>
      <c r="G353" s="58">
        <f t="shared" si="17"/>
        <v>36</v>
      </c>
      <c r="H353" s="59">
        <f t="shared" si="17"/>
        <v>11</v>
      </c>
    </row>
    <row r="356" spans="1:11" ht="36" x14ac:dyDescent="0.55000000000000004">
      <c r="A356" s="605" t="s">
        <v>1</v>
      </c>
      <c r="B356" s="605"/>
      <c r="C356" s="605"/>
      <c r="D356" s="605"/>
      <c r="E356" s="605"/>
      <c r="F356" s="605"/>
      <c r="G356" s="605"/>
      <c r="H356" s="605"/>
    </row>
    <row r="357" spans="1:11" ht="27" thickBot="1" x14ac:dyDescent="0.45">
      <c r="A357" s="606" t="s">
        <v>0</v>
      </c>
      <c r="B357" s="606"/>
      <c r="C357" s="606"/>
      <c r="D357" s="606"/>
      <c r="E357" s="606"/>
      <c r="F357" s="606"/>
      <c r="G357" s="606"/>
      <c r="H357" s="606"/>
    </row>
    <row r="358" spans="1:11" ht="15.75" x14ac:dyDescent="0.25">
      <c r="A358" s="39" t="s">
        <v>2</v>
      </c>
      <c r="B358" s="19" t="s">
        <v>3</v>
      </c>
      <c r="C358" s="20"/>
      <c r="D358" s="21" t="s">
        <v>52</v>
      </c>
      <c r="E358" s="607" t="s">
        <v>59</v>
      </c>
      <c r="F358" s="608"/>
      <c r="G358" s="19" t="s">
        <v>16</v>
      </c>
      <c r="H358" s="32" t="s">
        <v>64</v>
      </c>
    </row>
    <row r="359" spans="1:11" ht="15.75" x14ac:dyDescent="0.25">
      <c r="A359" s="609" t="s">
        <v>6</v>
      </c>
      <c r="B359" s="610"/>
      <c r="C359" s="610"/>
      <c r="D359" s="610"/>
      <c r="E359" s="610"/>
      <c r="F359" s="610"/>
      <c r="G359" s="611"/>
      <c r="H359" s="2">
        <f>H352</f>
        <v>0</v>
      </c>
    </row>
    <row r="360" spans="1:11" ht="15.75" x14ac:dyDescent="0.25">
      <c r="A360" s="3" t="s">
        <v>7</v>
      </c>
      <c r="B360" s="1"/>
      <c r="C360" s="1"/>
      <c r="D360" s="1"/>
      <c r="E360" s="1"/>
      <c r="F360" s="1"/>
      <c r="G360" s="1"/>
      <c r="H360" s="2">
        <v>10</v>
      </c>
    </row>
    <row r="361" spans="1:11" ht="51.75" thickBot="1" x14ac:dyDescent="0.3">
      <c r="A361" s="40" t="s">
        <v>8</v>
      </c>
      <c r="B361" s="41" t="s">
        <v>9</v>
      </c>
      <c r="C361" s="41" t="s">
        <v>10</v>
      </c>
      <c r="D361" s="41" t="s">
        <v>11</v>
      </c>
      <c r="E361" s="41" t="s">
        <v>12</v>
      </c>
      <c r="F361" s="41" t="s">
        <v>13</v>
      </c>
      <c r="G361" s="41" t="s">
        <v>14</v>
      </c>
      <c r="H361" s="42" t="s">
        <v>15</v>
      </c>
    </row>
    <row r="362" spans="1:11" x14ac:dyDescent="0.25">
      <c r="A362" s="36">
        <v>1</v>
      </c>
      <c r="B362" s="527"/>
      <c r="C362" s="527"/>
      <c r="D362" s="527"/>
      <c r="E362" s="527"/>
      <c r="F362" s="527"/>
      <c r="G362" s="527"/>
      <c r="H362" s="38">
        <f>H359+B362+F362-(C362+D362+G362)-E362</f>
        <v>0</v>
      </c>
      <c r="I362">
        <f>H362+'Male Emergency'!H362</f>
        <v>5</v>
      </c>
      <c r="J362">
        <f>'Male Emergency'!B362+'Female Emergency'!B362</f>
        <v>0</v>
      </c>
      <c r="K362">
        <f>G362+'Male Emergency'!G362</f>
        <v>0</v>
      </c>
    </row>
    <row r="363" spans="1:11" x14ac:dyDescent="0.25">
      <c r="A363" s="26">
        <v>2</v>
      </c>
      <c r="B363" s="268"/>
      <c r="C363" s="268"/>
      <c r="D363" s="268"/>
      <c r="E363" s="268"/>
      <c r="F363" s="268"/>
      <c r="G363" s="268"/>
      <c r="H363" s="2">
        <f>H362+B363+F363-(C363+D363+G363)-E363</f>
        <v>0</v>
      </c>
      <c r="I363">
        <f>H363+'Male Emergency'!H363</f>
        <v>5</v>
      </c>
      <c r="J363">
        <f>'Male Emergency'!B363+'Female Emergency'!B363</f>
        <v>0</v>
      </c>
      <c r="K363">
        <f>G363+'Male Emergency'!G363</f>
        <v>0</v>
      </c>
    </row>
    <row r="364" spans="1:11" x14ac:dyDescent="0.25">
      <c r="A364" s="26">
        <v>3</v>
      </c>
      <c r="B364" s="268"/>
      <c r="C364" s="268"/>
      <c r="D364" s="268"/>
      <c r="E364" s="268"/>
      <c r="F364" s="268"/>
      <c r="G364" s="268"/>
      <c r="H364" s="2">
        <f>H363+B364+F364-(C364+D364+G364)-E364</f>
        <v>0</v>
      </c>
      <c r="I364">
        <f>H364+'Male Emergency'!H364</f>
        <v>5</v>
      </c>
      <c r="J364">
        <f>'Male Emergency'!B364+'Female Emergency'!B364</f>
        <v>0</v>
      </c>
      <c r="K364">
        <f>G364+'Male Emergency'!G364</f>
        <v>0</v>
      </c>
    </row>
    <row r="365" spans="1:11" x14ac:dyDescent="0.25">
      <c r="A365" s="26">
        <v>4</v>
      </c>
      <c r="B365" s="268"/>
      <c r="C365" s="268"/>
      <c r="D365" s="268"/>
      <c r="E365" s="268"/>
      <c r="F365" s="268"/>
      <c r="G365" s="268"/>
      <c r="H365" s="2">
        <f t="shared" ref="H365:H392" si="18">H364+B365+F365-(C365+D365+G365)-E365</f>
        <v>0</v>
      </c>
      <c r="I365">
        <f>H365+'Male Emergency'!H365</f>
        <v>5</v>
      </c>
      <c r="J365">
        <f>'Male Emergency'!B365+'Female Emergency'!B365</f>
        <v>0</v>
      </c>
      <c r="K365">
        <f>G365+'Male Emergency'!G365</f>
        <v>0</v>
      </c>
    </row>
    <row r="366" spans="1:11" x14ac:dyDescent="0.25">
      <c r="A366" s="26">
        <v>5</v>
      </c>
      <c r="B366" s="268"/>
      <c r="C366" s="268"/>
      <c r="D366" s="268"/>
      <c r="E366" s="268"/>
      <c r="F366" s="268"/>
      <c r="G366" s="268"/>
      <c r="H366" s="2">
        <f t="shared" si="18"/>
        <v>0</v>
      </c>
      <c r="I366">
        <f>H366+'Male Emergency'!H366</f>
        <v>5</v>
      </c>
      <c r="J366">
        <f>'Male Emergency'!B366+'Female Emergency'!B366</f>
        <v>0</v>
      </c>
      <c r="K366">
        <f>G366+'Male Emergency'!G366</f>
        <v>0</v>
      </c>
    </row>
    <row r="367" spans="1:11" x14ac:dyDescent="0.25">
      <c r="A367" s="26">
        <v>6</v>
      </c>
      <c r="B367" s="268"/>
      <c r="C367" s="268"/>
      <c r="D367" s="268"/>
      <c r="E367" s="268"/>
      <c r="F367" s="268"/>
      <c r="G367" s="268"/>
      <c r="H367" s="2">
        <f t="shared" si="18"/>
        <v>0</v>
      </c>
      <c r="I367">
        <f>H367+'Male Emergency'!H367</f>
        <v>5</v>
      </c>
      <c r="J367">
        <f>'Male Emergency'!B367+'Female Emergency'!B367</f>
        <v>0</v>
      </c>
      <c r="K367">
        <f>G367+'Male Emergency'!G367</f>
        <v>0</v>
      </c>
    </row>
    <row r="368" spans="1:11" x14ac:dyDescent="0.25">
      <c r="A368" s="26">
        <v>7</v>
      </c>
      <c r="B368" s="268"/>
      <c r="C368" s="268"/>
      <c r="D368" s="268"/>
      <c r="E368" s="268"/>
      <c r="F368" s="268"/>
      <c r="G368" s="268"/>
      <c r="H368" s="2">
        <f t="shared" si="18"/>
        <v>0</v>
      </c>
      <c r="I368">
        <f>H368+'Male Emergency'!H368</f>
        <v>5</v>
      </c>
      <c r="J368">
        <f>'Male Emergency'!B368+'Female Emergency'!B368</f>
        <v>0</v>
      </c>
      <c r="K368">
        <f>G368+'Male Emergency'!G368</f>
        <v>0</v>
      </c>
    </row>
    <row r="369" spans="1:11" x14ac:dyDescent="0.25">
      <c r="A369" s="26">
        <v>8</v>
      </c>
      <c r="B369" s="268"/>
      <c r="C369" s="268"/>
      <c r="D369" s="268"/>
      <c r="E369" s="268"/>
      <c r="F369" s="268"/>
      <c r="G369" s="268"/>
      <c r="H369" s="2">
        <f t="shared" si="18"/>
        <v>0</v>
      </c>
      <c r="I369">
        <f>H369+'Male Emergency'!H369</f>
        <v>5</v>
      </c>
      <c r="J369">
        <f>'Male Emergency'!B369+'Female Emergency'!B369</f>
        <v>0</v>
      </c>
      <c r="K369">
        <f>G369+'Male Emergency'!G369</f>
        <v>0</v>
      </c>
    </row>
    <row r="370" spans="1:11" x14ac:dyDescent="0.25">
      <c r="A370" s="26">
        <v>9</v>
      </c>
      <c r="B370" s="268"/>
      <c r="C370" s="268"/>
      <c r="D370" s="268"/>
      <c r="E370" s="268"/>
      <c r="F370" s="268"/>
      <c r="G370" s="268"/>
      <c r="H370" s="2">
        <f t="shared" si="18"/>
        <v>0</v>
      </c>
      <c r="I370">
        <f>H370+'Male Emergency'!H370</f>
        <v>5</v>
      </c>
      <c r="J370">
        <f>'Male Emergency'!B370+'Female Emergency'!B370</f>
        <v>0</v>
      </c>
      <c r="K370">
        <f>G370+'Male Emergency'!G370</f>
        <v>0</v>
      </c>
    </row>
    <row r="371" spans="1:11" x14ac:dyDescent="0.25">
      <c r="A371" s="26">
        <v>10</v>
      </c>
      <c r="B371" s="268"/>
      <c r="C371" s="268"/>
      <c r="D371" s="268"/>
      <c r="E371" s="268"/>
      <c r="F371" s="268"/>
      <c r="G371" s="268"/>
      <c r="H371" s="2">
        <f t="shared" si="18"/>
        <v>0</v>
      </c>
      <c r="I371">
        <f>H371+'Male Emergency'!H371</f>
        <v>5</v>
      </c>
      <c r="J371">
        <f>'Male Emergency'!B371+'Female Emergency'!B371</f>
        <v>0</v>
      </c>
      <c r="K371">
        <f>G371+'Male Emergency'!G371</f>
        <v>0</v>
      </c>
    </row>
    <row r="372" spans="1:11" x14ac:dyDescent="0.25">
      <c r="A372" s="26">
        <v>11</v>
      </c>
      <c r="B372" s="268"/>
      <c r="C372" s="268"/>
      <c r="D372" s="268"/>
      <c r="E372" s="268"/>
      <c r="F372" s="268"/>
      <c r="G372" s="268"/>
      <c r="H372" s="2">
        <f t="shared" si="18"/>
        <v>0</v>
      </c>
      <c r="I372">
        <f>H372+'Male Emergency'!H372</f>
        <v>5</v>
      </c>
      <c r="J372">
        <f>'Male Emergency'!B372+'Female Emergency'!B372</f>
        <v>0</v>
      </c>
      <c r="K372">
        <f>G372+'Male Emergency'!G372</f>
        <v>0</v>
      </c>
    </row>
    <row r="373" spans="1:11" x14ac:dyDescent="0.25">
      <c r="A373" s="26">
        <v>12</v>
      </c>
      <c r="B373" s="268"/>
      <c r="C373" s="268"/>
      <c r="D373" s="268"/>
      <c r="E373" s="268"/>
      <c r="F373" s="268"/>
      <c r="G373" s="268"/>
      <c r="H373" s="2">
        <f t="shared" si="18"/>
        <v>0</v>
      </c>
      <c r="I373">
        <f>H373+'Male Emergency'!H373</f>
        <v>5</v>
      </c>
      <c r="J373">
        <f>'Male Emergency'!B373+'Female Emergency'!B373</f>
        <v>0</v>
      </c>
      <c r="K373">
        <f>G373+'Male Emergency'!G373</f>
        <v>0</v>
      </c>
    </row>
    <row r="374" spans="1:11" x14ac:dyDescent="0.25">
      <c r="A374" s="26">
        <v>13</v>
      </c>
      <c r="B374" s="268"/>
      <c r="C374" s="268"/>
      <c r="D374" s="268"/>
      <c r="E374" s="268"/>
      <c r="F374" s="268"/>
      <c r="G374" s="268"/>
      <c r="H374" s="2">
        <f t="shared" si="18"/>
        <v>0</v>
      </c>
      <c r="I374">
        <f>H374+'Male Emergency'!H374</f>
        <v>5</v>
      </c>
      <c r="J374">
        <f>'Male Emergency'!B374+'Female Emergency'!B374</f>
        <v>0</v>
      </c>
      <c r="K374">
        <f>G374+'Male Emergency'!G374</f>
        <v>0</v>
      </c>
    </row>
    <row r="375" spans="1:11" x14ac:dyDescent="0.25">
      <c r="A375" s="26">
        <v>14</v>
      </c>
      <c r="B375" s="268"/>
      <c r="C375" s="268"/>
      <c r="D375" s="268"/>
      <c r="E375" s="268"/>
      <c r="F375" s="268"/>
      <c r="G375" s="268"/>
      <c r="H375" s="2">
        <f t="shared" si="18"/>
        <v>0</v>
      </c>
      <c r="I375">
        <f>H375+'Male Emergency'!H375</f>
        <v>5</v>
      </c>
      <c r="J375">
        <f>'Male Emergency'!B375+'Female Emergency'!B375</f>
        <v>0</v>
      </c>
      <c r="K375">
        <f>G375+'Male Emergency'!G375</f>
        <v>0</v>
      </c>
    </row>
    <row r="376" spans="1:11" x14ac:dyDescent="0.25">
      <c r="A376" s="26">
        <v>15</v>
      </c>
      <c r="B376" s="268"/>
      <c r="C376" s="268"/>
      <c r="D376" s="268"/>
      <c r="E376" s="268"/>
      <c r="F376" s="268"/>
      <c r="G376" s="268"/>
      <c r="H376" s="2">
        <f t="shared" si="18"/>
        <v>0</v>
      </c>
      <c r="I376">
        <f>H376+'Male Emergency'!H376</f>
        <v>5</v>
      </c>
      <c r="J376">
        <f>'Male Emergency'!B376+'Female Emergency'!B376</f>
        <v>0</v>
      </c>
      <c r="K376">
        <f>G376+'Male Emergency'!G376</f>
        <v>0</v>
      </c>
    </row>
    <row r="377" spans="1:11" x14ac:dyDescent="0.25">
      <c r="A377" s="26">
        <v>16</v>
      </c>
      <c r="B377" s="268"/>
      <c r="C377" s="268"/>
      <c r="D377" s="268"/>
      <c r="E377" s="268"/>
      <c r="F377" s="268"/>
      <c r="G377" s="268"/>
      <c r="H377" s="2">
        <f t="shared" si="18"/>
        <v>0</v>
      </c>
      <c r="I377">
        <f>H377+'Male Emergency'!H377</f>
        <v>5</v>
      </c>
      <c r="J377">
        <f>'Male Emergency'!B377+'Female Emergency'!B377</f>
        <v>0</v>
      </c>
      <c r="K377">
        <f>G377+'Male Emergency'!G377</f>
        <v>0</v>
      </c>
    </row>
    <row r="378" spans="1:11" x14ac:dyDescent="0.25">
      <c r="A378" s="26">
        <v>17</v>
      </c>
      <c r="B378" s="268"/>
      <c r="C378" s="268"/>
      <c r="D378" s="268"/>
      <c r="E378" s="268"/>
      <c r="F378" s="268"/>
      <c r="G378" s="268"/>
      <c r="H378" s="2">
        <f t="shared" si="18"/>
        <v>0</v>
      </c>
      <c r="I378">
        <f>H378+'Male Emergency'!H378</f>
        <v>5</v>
      </c>
      <c r="J378">
        <f>'Male Emergency'!B378+'Female Emergency'!B378</f>
        <v>0</v>
      </c>
      <c r="K378">
        <f>G378+'Male Emergency'!G378</f>
        <v>0</v>
      </c>
    </row>
    <row r="379" spans="1:11" x14ac:dyDescent="0.25">
      <c r="A379" s="26">
        <v>18</v>
      </c>
      <c r="B379" s="268"/>
      <c r="C379" s="268"/>
      <c r="D379" s="268"/>
      <c r="E379" s="268"/>
      <c r="F379" s="268"/>
      <c r="G379" s="268"/>
      <c r="H379" s="2">
        <f t="shared" si="18"/>
        <v>0</v>
      </c>
      <c r="I379">
        <f>H379+'Male Emergency'!H379</f>
        <v>5</v>
      </c>
      <c r="J379">
        <f>'Male Emergency'!B379+'Female Emergency'!B379</f>
        <v>0</v>
      </c>
      <c r="K379">
        <f>G379+'Male Emergency'!G379</f>
        <v>0</v>
      </c>
    </row>
    <row r="380" spans="1:11" x14ac:dyDescent="0.25">
      <c r="A380" s="26">
        <v>19</v>
      </c>
      <c r="B380" s="268"/>
      <c r="C380" s="268"/>
      <c r="D380" s="268"/>
      <c r="E380" s="268"/>
      <c r="F380" s="268"/>
      <c r="G380" s="268"/>
      <c r="H380" s="2">
        <f t="shared" si="18"/>
        <v>0</v>
      </c>
      <c r="I380">
        <f>H380+'Male Emergency'!H380</f>
        <v>5</v>
      </c>
      <c r="J380">
        <f>'Male Emergency'!B380+'Female Emergency'!B380</f>
        <v>0</v>
      </c>
      <c r="K380">
        <f>G380+'Male Emergency'!G380</f>
        <v>0</v>
      </c>
    </row>
    <row r="381" spans="1:11" x14ac:dyDescent="0.25">
      <c r="A381" s="26">
        <v>20</v>
      </c>
      <c r="B381" s="268"/>
      <c r="C381" s="268"/>
      <c r="D381" s="268"/>
      <c r="E381" s="268"/>
      <c r="F381" s="268"/>
      <c r="G381" s="268"/>
      <c r="H381" s="2">
        <f t="shared" si="18"/>
        <v>0</v>
      </c>
      <c r="I381">
        <f>H381+'Male Emergency'!H381</f>
        <v>5</v>
      </c>
      <c r="J381">
        <f>'Male Emergency'!B381+'Female Emergency'!B381</f>
        <v>0</v>
      </c>
      <c r="K381">
        <f>G381+'Male Emergency'!G381</f>
        <v>0</v>
      </c>
    </row>
    <row r="382" spans="1:11" x14ac:dyDescent="0.25">
      <c r="A382" s="26">
        <v>21</v>
      </c>
      <c r="B382" s="268"/>
      <c r="C382" s="268"/>
      <c r="D382" s="268"/>
      <c r="E382" s="268"/>
      <c r="F382" s="268"/>
      <c r="G382" s="268"/>
      <c r="H382" s="2">
        <f t="shared" si="18"/>
        <v>0</v>
      </c>
      <c r="I382">
        <v>7</v>
      </c>
      <c r="J382">
        <f>'Male Emergency'!B382+'Female Emergency'!B382</f>
        <v>0</v>
      </c>
      <c r="K382">
        <f>G382+'Male Emergency'!G382</f>
        <v>0</v>
      </c>
    </row>
    <row r="383" spans="1:11" x14ac:dyDescent="0.25">
      <c r="A383" s="26">
        <v>22</v>
      </c>
      <c r="B383" s="268"/>
      <c r="C383" s="268"/>
      <c r="D383" s="268"/>
      <c r="E383" s="268"/>
      <c r="F383" s="268"/>
      <c r="G383" s="268"/>
      <c r="H383" s="2">
        <f t="shared" si="18"/>
        <v>0</v>
      </c>
      <c r="I383">
        <f>H383+'Male Emergency'!H383</f>
        <v>5</v>
      </c>
      <c r="J383">
        <f>'Male Emergency'!B383+'Female Emergency'!B383</f>
        <v>0</v>
      </c>
      <c r="K383">
        <f>G383+'Male Emergency'!G383</f>
        <v>0</v>
      </c>
    </row>
    <row r="384" spans="1:11" x14ac:dyDescent="0.25">
      <c r="A384" s="26">
        <v>23</v>
      </c>
      <c r="B384" s="268"/>
      <c r="C384" s="268"/>
      <c r="D384" s="268"/>
      <c r="E384" s="268"/>
      <c r="F384" s="268"/>
      <c r="G384" s="268"/>
      <c r="H384" s="2">
        <f t="shared" si="18"/>
        <v>0</v>
      </c>
      <c r="I384">
        <f>H384+'Male Emergency'!H384</f>
        <v>5</v>
      </c>
      <c r="J384">
        <f>'Male Emergency'!B384+'Female Emergency'!B384</f>
        <v>0</v>
      </c>
      <c r="K384">
        <f>G384+'Male Emergency'!G384</f>
        <v>0</v>
      </c>
    </row>
    <row r="385" spans="1:11" x14ac:dyDescent="0.25">
      <c r="A385" s="26">
        <v>24</v>
      </c>
      <c r="B385" s="268"/>
      <c r="C385" s="268"/>
      <c r="D385" s="268"/>
      <c r="E385" s="268"/>
      <c r="F385" s="268"/>
      <c r="G385" s="268"/>
      <c r="H385" s="2">
        <f t="shared" si="18"/>
        <v>0</v>
      </c>
      <c r="I385">
        <f>H385+'Male Emergency'!H385</f>
        <v>5</v>
      </c>
      <c r="J385">
        <f>'Male Emergency'!B385+'Female Emergency'!B385</f>
        <v>0</v>
      </c>
      <c r="K385">
        <f>G385+'Male Emergency'!G385</f>
        <v>0</v>
      </c>
    </row>
    <row r="386" spans="1:11" x14ac:dyDescent="0.25">
      <c r="A386" s="26">
        <v>25</v>
      </c>
      <c r="B386" s="268"/>
      <c r="C386" s="268"/>
      <c r="D386" s="268"/>
      <c r="E386" s="268"/>
      <c r="F386" s="268"/>
      <c r="G386" s="268"/>
      <c r="H386" s="2">
        <f t="shared" si="18"/>
        <v>0</v>
      </c>
      <c r="I386">
        <f>H386+'Male Emergency'!H386</f>
        <v>5</v>
      </c>
      <c r="J386">
        <f>'Male Emergency'!B386+'Female Emergency'!B386</f>
        <v>0</v>
      </c>
      <c r="K386">
        <f>G386+'Male Emergency'!G386</f>
        <v>0</v>
      </c>
    </row>
    <row r="387" spans="1:11" x14ac:dyDescent="0.25">
      <c r="A387" s="26">
        <v>26</v>
      </c>
      <c r="B387" s="268"/>
      <c r="C387" s="268"/>
      <c r="D387" s="268"/>
      <c r="E387" s="268"/>
      <c r="F387" s="268"/>
      <c r="G387" s="268"/>
      <c r="H387" s="2">
        <f t="shared" si="18"/>
        <v>0</v>
      </c>
      <c r="I387">
        <f>H387+'Male Emergency'!H387</f>
        <v>5</v>
      </c>
      <c r="J387">
        <f>'Male Emergency'!B387+'Female Emergency'!B387</f>
        <v>0</v>
      </c>
      <c r="K387">
        <f>G387+'Male Emergency'!G387</f>
        <v>0</v>
      </c>
    </row>
    <row r="388" spans="1:11" x14ac:dyDescent="0.25">
      <c r="A388" s="26">
        <v>27</v>
      </c>
      <c r="B388" s="268"/>
      <c r="C388" s="268"/>
      <c r="D388" s="268"/>
      <c r="E388" s="268"/>
      <c r="F388" s="268"/>
      <c r="G388" s="268"/>
      <c r="H388" s="2">
        <f t="shared" si="18"/>
        <v>0</v>
      </c>
      <c r="I388">
        <f>H388+'Male Emergency'!H388</f>
        <v>5</v>
      </c>
      <c r="J388">
        <f>'Male Emergency'!B388+'Female Emergency'!B388</f>
        <v>0</v>
      </c>
      <c r="K388">
        <f>G388+'Male Emergency'!G388</f>
        <v>0</v>
      </c>
    </row>
    <row r="389" spans="1:11" x14ac:dyDescent="0.25">
      <c r="A389" s="26">
        <v>28</v>
      </c>
      <c r="B389" s="268"/>
      <c r="C389" s="268"/>
      <c r="D389" s="268"/>
      <c r="E389" s="268"/>
      <c r="F389" s="268"/>
      <c r="G389" s="268"/>
      <c r="H389" s="2">
        <f t="shared" si="18"/>
        <v>0</v>
      </c>
      <c r="I389">
        <f>H389+'Male Emergency'!H389</f>
        <v>5</v>
      </c>
      <c r="J389">
        <f>'Male Emergency'!B389+'Female Emergency'!B389</f>
        <v>0</v>
      </c>
      <c r="K389">
        <f>G389+'Male Emergency'!G389</f>
        <v>0</v>
      </c>
    </row>
    <row r="390" spans="1:11" x14ac:dyDescent="0.25">
      <c r="A390" s="26">
        <v>29</v>
      </c>
      <c r="B390" s="268"/>
      <c r="C390" s="268"/>
      <c r="D390" s="268"/>
      <c r="E390" s="268"/>
      <c r="F390" s="268"/>
      <c r="G390" s="268"/>
      <c r="H390" s="2">
        <f t="shared" si="18"/>
        <v>0</v>
      </c>
      <c r="I390">
        <f>H390+'Male Emergency'!H390</f>
        <v>5</v>
      </c>
      <c r="J390">
        <f>'Male Emergency'!B390+'Female Emergency'!B390</f>
        <v>0</v>
      </c>
      <c r="K390">
        <f>G390+'Male Emergency'!G390</f>
        <v>0</v>
      </c>
    </row>
    <row r="391" spans="1:11" x14ac:dyDescent="0.25">
      <c r="A391" s="26">
        <v>30</v>
      </c>
      <c r="B391" s="268"/>
      <c r="C391" s="268"/>
      <c r="D391" s="268"/>
      <c r="E391" s="268"/>
      <c r="F391" s="268"/>
      <c r="G391" s="268"/>
      <c r="H391" s="2">
        <f t="shared" si="18"/>
        <v>0</v>
      </c>
      <c r="I391">
        <f>H391+'Male Emergency'!H391</f>
        <v>5</v>
      </c>
      <c r="J391">
        <f>'Male Emergency'!B391+'Female Emergency'!B391</f>
        <v>0</v>
      </c>
      <c r="K391">
        <f>G391+'Male Emergency'!G391</f>
        <v>0</v>
      </c>
    </row>
    <row r="392" spans="1:11" ht="15.75" thickBot="1" x14ac:dyDescent="0.3">
      <c r="A392" s="64">
        <v>31</v>
      </c>
      <c r="B392" s="528"/>
      <c r="C392" s="528"/>
      <c r="D392" s="528"/>
      <c r="E392" s="528"/>
      <c r="F392" s="528"/>
      <c r="G392" s="528"/>
      <c r="H392" s="2">
        <f t="shared" si="18"/>
        <v>0</v>
      </c>
      <c r="I392">
        <f>H392+'Male Emergency'!H392</f>
        <v>5</v>
      </c>
      <c r="J392">
        <f>'Male Emergency'!B392+'Female Emergency'!B392</f>
        <v>0</v>
      </c>
      <c r="K392">
        <f>G392+'Male Emergency'!G392</f>
        <v>0</v>
      </c>
    </row>
    <row r="393" spans="1:11" ht="15.75" thickBot="1" x14ac:dyDescent="0.3">
      <c r="A393" s="60" t="s">
        <v>35</v>
      </c>
      <c r="B393" s="58">
        <f>SUM(B362:B392)-E393</f>
        <v>0</v>
      </c>
      <c r="C393" s="58">
        <f t="shared" ref="C393:H393" si="19">SUM(C362:C392)</f>
        <v>0</v>
      </c>
      <c r="D393" s="58">
        <f t="shared" si="19"/>
        <v>0</v>
      </c>
      <c r="E393" s="58">
        <f t="shared" si="19"/>
        <v>0</v>
      </c>
      <c r="F393" s="58">
        <f t="shared" si="19"/>
        <v>0</v>
      </c>
      <c r="G393" s="58">
        <f t="shared" si="19"/>
        <v>0</v>
      </c>
      <c r="H393" s="59">
        <f t="shared" si="19"/>
        <v>0</v>
      </c>
    </row>
    <row r="396" spans="1:11" ht="36" x14ac:dyDescent="0.55000000000000004">
      <c r="A396" s="605" t="s">
        <v>1</v>
      </c>
      <c r="B396" s="605"/>
      <c r="C396" s="605"/>
      <c r="D396" s="605"/>
      <c r="E396" s="605"/>
      <c r="F396" s="605"/>
      <c r="G396" s="605"/>
      <c r="H396" s="605"/>
    </row>
    <row r="397" spans="1:11" ht="27" thickBot="1" x14ac:dyDescent="0.45">
      <c r="A397" s="606" t="s">
        <v>0</v>
      </c>
      <c r="B397" s="606"/>
      <c r="C397" s="606"/>
      <c r="D397" s="606"/>
      <c r="E397" s="606"/>
      <c r="F397" s="606"/>
      <c r="G397" s="606"/>
      <c r="H397" s="606"/>
    </row>
    <row r="398" spans="1:11" ht="15.75" x14ac:dyDescent="0.25">
      <c r="A398" s="39" t="s">
        <v>2</v>
      </c>
      <c r="B398" s="19" t="s">
        <v>3</v>
      </c>
      <c r="C398" s="20"/>
      <c r="D398" s="21" t="s">
        <v>52</v>
      </c>
      <c r="E398" s="607" t="s">
        <v>59</v>
      </c>
      <c r="F398" s="608"/>
      <c r="G398" s="19" t="s">
        <v>16</v>
      </c>
      <c r="H398" s="32" t="s">
        <v>66</v>
      </c>
    </row>
    <row r="399" spans="1:11" ht="15.75" x14ac:dyDescent="0.25">
      <c r="A399" s="609" t="s">
        <v>6</v>
      </c>
      <c r="B399" s="610"/>
      <c r="C399" s="610"/>
      <c r="D399" s="610"/>
      <c r="E399" s="610"/>
      <c r="F399" s="610"/>
      <c r="G399" s="611"/>
      <c r="H399" s="2">
        <f>H392</f>
        <v>0</v>
      </c>
    </row>
    <row r="400" spans="1:11" ht="15.75" x14ac:dyDescent="0.25">
      <c r="A400" s="3" t="s">
        <v>7</v>
      </c>
      <c r="B400" s="1"/>
      <c r="C400" s="1"/>
      <c r="D400" s="1"/>
      <c r="E400" s="1"/>
      <c r="F400" s="1"/>
      <c r="G400" s="1"/>
      <c r="H400" s="2">
        <v>10</v>
      </c>
    </row>
    <row r="401" spans="1:12" ht="51.75" thickBot="1" x14ac:dyDescent="0.3">
      <c r="A401" s="40" t="s">
        <v>8</v>
      </c>
      <c r="B401" s="41" t="s">
        <v>9</v>
      </c>
      <c r="C401" s="41" t="s">
        <v>10</v>
      </c>
      <c r="D401" s="41" t="s">
        <v>11</v>
      </c>
      <c r="E401" s="41" t="s">
        <v>12</v>
      </c>
      <c r="F401" s="41" t="s">
        <v>13</v>
      </c>
      <c r="G401" s="41" t="s">
        <v>14</v>
      </c>
      <c r="H401" s="42" t="s">
        <v>15</v>
      </c>
    </row>
    <row r="402" spans="1:12" x14ac:dyDescent="0.25">
      <c r="A402" s="36">
        <v>1</v>
      </c>
      <c r="B402" s="527"/>
      <c r="C402" s="527"/>
      <c r="D402" s="527"/>
      <c r="E402" s="527"/>
      <c r="F402" s="527"/>
      <c r="G402" s="527"/>
      <c r="H402" s="38"/>
      <c r="I402">
        <f>H402+'Male Emergency'!H402</f>
        <v>0</v>
      </c>
      <c r="K402">
        <f>'Male Emergency'!B402+'Female Emergency'!B402</f>
        <v>0</v>
      </c>
      <c r="L402">
        <f>K402-'Male Emergency'!E402-'Female Emergency'!E402</f>
        <v>0</v>
      </c>
    </row>
    <row r="403" spans="1:12" x14ac:dyDescent="0.25">
      <c r="A403" s="26">
        <v>2</v>
      </c>
      <c r="B403" s="268"/>
      <c r="C403" s="268"/>
      <c r="D403" s="268"/>
      <c r="E403" s="268"/>
      <c r="F403" s="268"/>
      <c r="G403" s="268"/>
      <c r="H403" s="2"/>
      <c r="I403">
        <f>H403+'Male Emergency'!H403</f>
        <v>0</v>
      </c>
      <c r="K403">
        <f>'Male Emergency'!B403+'Female Emergency'!B403</f>
        <v>0</v>
      </c>
      <c r="L403">
        <f>K403-'Male Emergency'!E403-'Female Emergency'!E403</f>
        <v>0</v>
      </c>
    </row>
    <row r="404" spans="1:12" x14ac:dyDescent="0.25">
      <c r="A404" s="26">
        <v>3</v>
      </c>
      <c r="B404" s="268"/>
      <c r="C404" s="268"/>
      <c r="D404" s="268"/>
      <c r="E404" s="268"/>
      <c r="F404" s="268"/>
      <c r="G404" s="268"/>
      <c r="H404" s="2"/>
      <c r="I404">
        <f>H404+'Male Emergency'!H404</f>
        <v>0</v>
      </c>
      <c r="K404">
        <f>'Male Emergency'!B404+'Female Emergency'!B404</f>
        <v>0</v>
      </c>
      <c r="L404">
        <f>K404-'Male Emergency'!E404-'Female Emergency'!E404</f>
        <v>0</v>
      </c>
    </row>
    <row r="405" spans="1:12" x14ac:dyDescent="0.25">
      <c r="A405" s="26">
        <v>4</v>
      </c>
      <c r="B405" s="268"/>
      <c r="C405" s="268"/>
      <c r="D405" s="268"/>
      <c r="E405" s="268"/>
      <c r="F405" s="268"/>
      <c r="G405" s="268"/>
      <c r="H405" s="2"/>
      <c r="I405">
        <f>H405+'Male Emergency'!H405</f>
        <v>0</v>
      </c>
      <c r="K405">
        <f>'Male Emergency'!B405+'Female Emergency'!B405</f>
        <v>0</v>
      </c>
      <c r="L405">
        <f>K405-'Male Emergency'!E405-'Female Emergency'!E405</f>
        <v>0</v>
      </c>
    </row>
    <row r="406" spans="1:12" x14ac:dyDescent="0.25">
      <c r="A406" s="26">
        <v>5</v>
      </c>
      <c r="B406" s="268"/>
      <c r="C406" s="268"/>
      <c r="D406" s="268"/>
      <c r="E406" s="268"/>
      <c r="F406" s="268"/>
      <c r="G406" s="268"/>
      <c r="H406" s="2"/>
      <c r="I406">
        <f>H406+'Male Emergency'!H406</f>
        <v>0</v>
      </c>
      <c r="K406">
        <f>'Male Emergency'!B406+'Female Emergency'!B406</f>
        <v>0</v>
      </c>
      <c r="L406">
        <f>K406-'Male Emergency'!E406-'Female Emergency'!E406</f>
        <v>0</v>
      </c>
    </row>
    <row r="407" spans="1:12" x14ac:dyDescent="0.25">
      <c r="A407" s="26">
        <v>6</v>
      </c>
      <c r="B407" s="268"/>
      <c r="C407" s="268"/>
      <c r="D407" s="268"/>
      <c r="E407" s="268"/>
      <c r="F407" s="268"/>
      <c r="G407" s="268"/>
      <c r="H407" s="2"/>
      <c r="I407">
        <f>H407+'Male Emergency'!H407</f>
        <v>0</v>
      </c>
      <c r="K407">
        <f>'Male Emergency'!B407+'Female Emergency'!B407</f>
        <v>0</v>
      </c>
      <c r="L407">
        <f>K407-'Male Emergency'!E407-'Female Emergency'!E407</f>
        <v>0</v>
      </c>
    </row>
    <row r="408" spans="1:12" x14ac:dyDescent="0.25">
      <c r="A408" s="26">
        <v>7</v>
      </c>
      <c r="B408" s="268"/>
      <c r="C408" s="268"/>
      <c r="D408" s="268"/>
      <c r="E408" s="268"/>
      <c r="F408" s="268"/>
      <c r="G408" s="268"/>
      <c r="H408" s="2"/>
      <c r="I408">
        <f>H408+'Male Emergency'!H408</f>
        <v>0</v>
      </c>
      <c r="K408">
        <f>'Male Emergency'!B408+'Female Emergency'!B408</f>
        <v>0</v>
      </c>
      <c r="L408">
        <f>K408-'Male Emergency'!E408-'Female Emergency'!E408</f>
        <v>0</v>
      </c>
    </row>
    <row r="409" spans="1:12" x14ac:dyDescent="0.25">
      <c r="A409" s="26">
        <v>8</v>
      </c>
      <c r="B409" s="268"/>
      <c r="C409" s="268"/>
      <c r="D409" s="268"/>
      <c r="E409" s="268"/>
      <c r="F409" s="268"/>
      <c r="G409" s="268"/>
      <c r="H409" s="2"/>
      <c r="I409">
        <f>H409+'Male Emergency'!H409</f>
        <v>0</v>
      </c>
      <c r="K409">
        <f>'Male Emergency'!B409+'Female Emergency'!B409</f>
        <v>0</v>
      </c>
      <c r="L409">
        <f>K409-'Male Emergency'!E409-'Female Emergency'!E409</f>
        <v>0</v>
      </c>
    </row>
    <row r="410" spans="1:12" x14ac:dyDescent="0.25">
      <c r="A410" s="26">
        <v>9</v>
      </c>
      <c r="B410" s="268"/>
      <c r="C410" s="268"/>
      <c r="D410" s="268"/>
      <c r="E410" s="268"/>
      <c r="F410" s="268"/>
      <c r="G410" s="268"/>
      <c r="H410" s="2"/>
      <c r="I410">
        <f>H410+'Male Emergency'!H410</f>
        <v>0</v>
      </c>
      <c r="K410">
        <f>'Male Emergency'!B410+'Female Emergency'!B410</f>
        <v>0</v>
      </c>
      <c r="L410">
        <f>K410-'Male Emergency'!E410-'Female Emergency'!E410</f>
        <v>0</v>
      </c>
    </row>
    <row r="411" spans="1:12" x14ac:dyDescent="0.25">
      <c r="A411" s="26">
        <v>10</v>
      </c>
      <c r="B411" s="268"/>
      <c r="C411" s="268"/>
      <c r="D411" s="268"/>
      <c r="E411" s="268"/>
      <c r="F411" s="268"/>
      <c r="G411" s="268"/>
      <c r="H411" s="2"/>
      <c r="I411">
        <f>H411+'Male Emergency'!H411</f>
        <v>0</v>
      </c>
      <c r="K411">
        <f>'Male Emergency'!B411+'Female Emergency'!B411</f>
        <v>0</v>
      </c>
      <c r="L411">
        <f>K411-'Male Emergency'!E411-'Female Emergency'!E411</f>
        <v>0</v>
      </c>
    </row>
    <row r="412" spans="1:12" x14ac:dyDescent="0.25">
      <c r="A412" s="26">
        <v>11</v>
      </c>
      <c r="B412" s="268"/>
      <c r="C412" s="268"/>
      <c r="D412" s="268"/>
      <c r="E412" s="268"/>
      <c r="F412" s="268"/>
      <c r="G412" s="268"/>
      <c r="H412" s="2"/>
      <c r="I412">
        <f>H412+'Male Emergency'!H412</f>
        <v>0</v>
      </c>
      <c r="K412">
        <f>'Male Emergency'!B412+'Female Emergency'!B412</f>
        <v>0</v>
      </c>
      <c r="L412">
        <f>K412-'Male Emergency'!E412-'Female Emergency'!E412</f>
        <v>0</v>
      </c>
    </row>
    <row r="413" spans="1:12" x14ac:dyDescent="0.25">
      <c r="A413" s="26">
        <v>12</v>
      </c>
      <c r="B413" s="268"/>
      <c r="C413" s="268"/>
      <c r="D413" s="268"/>
      <c r="E413" s="268"/>
      <c r="F413" s="268"/>
      <c r="G413" s="268"/>
      <c r="H413" s="2"/>
      <c r="I413">
        <f>H413+'Male Emergency'!H413</f>
        <v>0</v>
      </c>
      <c r="K413">
        <f>'Male Emergency'!B413+'Female Emergency'!B413</f>
        <v>0</v>
      </c>
      <c r="L413">
        <f>K413-'Male Emergency'!E413-'Female Emergency'!E413</f>
        <v>0</v>
      </c>
    </row>
    <row r="414" spans="1:12" x14ac:dyDescent="0.25">
      <c r="A414" s="26">
        <v>13</v>
      </c>
      <c r="B414" s="268"/>
      <c r="C414" s="268"/>
      <c r="D414" s="268"/>
      <c r="E414" s="268"/>
      <c r="F414" s="268"/>
      <c r="G414" s="268"/>
      <c r="H414" s="2"/>
      <c r="I414">
        <f>H414+'Male Emergency'!H414</f>
        <v>0</v>
      </c>
      <c r="K414">
        <f>'Male Emergency'!B414+'Female Emergency'!B414</f>
        <v>0</v>
      </c>
      <c r="L414">
        <f>K414-'Male Emergency'!E414-'Female Emergency'!E414</f>
        <v>0</v>
      </c>
    </row>
    <row r="415" spans="1:12" x14ac:dyDescent="0.25">
      <c r="A415" s="26">
        <v>14</v>
      </c>
      <c r="B415" s="268"/>
      <c r="C415" s="268"/>
      <c r="D415" s="268"/>
      <c r="E415" s="268"/>
      <c r="F415" s="268"/>
      <c r="G415" s="268"/>
      <c r="H415" s="2"/>
      <c r="I415">
        <f>H415+'Male Emergency'!H415</f>
        <v>0</v>
      </c>
      <c r="K415">
        <f>'Male Emergency'!B415+'Female Emergency'!B415</f>
        <v>0</v>
      </c>
      <c r="L415">
        <f>K415-'Male Emergency'!E415-'Female Emergency'!E415</f>
        <v>0</v>
      </c>
    </row>
    <row r="416" spans="1:12" x14ac:dyDescent="0.25">
      <c r="A416" s="26">
        <v>15</v>
      </c>
      <c r="B416" s="268"/>
      <c r="C416" s="268"/>
      <c r="D416" s="268"/>
      <c r="E416" s="268"/>
      <c r="F416" s="268"/>
      <c r="G416" s="268"/>
      <c r="H416" s="2"/>
      <c r="I416">
        <f>H416+'Male Emergency'!H416</f>
        <v>0</v>
      </c>
      <c r="K416">
        <f>'Male Emergency'!B416+'Female Emergency'!B416</f>
        <v>0</v>
      </c>
      <c r="L416">
        <f>K416-'Male Emergency'!E416-'Female Emergency'!E416</f>
        <v>0</v>
      </c>
    </row>
    <row r="417" spans="1:12" x14ac:dyDescent="0.25">
      <c r="A417" s="26">
        <v>16</v>
      </c>
      <c r="B417" s="268"/>
      <c r="C417" s="268"/>
      <c r="D417" s="268"/>
      <c r="E417" s="268"/>
      <c r="F417" s="268"/>
      <c r="G417" s="268"/>
      <c r="H417" s="2"/>
      <c r="I417">
        <f>H417+'Male Emergency'!H417</f>
        <v>0</v>
      </c>
      <c r="K417">
        <f>'Male Emergency'!B417+'Female Emergency'!B417</f>
        <v>0</v>
      </c>
      <c r="L417">
        <f>K417-'Male Emergency'!E417-'Female Emergency'!E417</f>
        <v>0</v>
      </c>
    </row>
    <row r="418" spans="1:12" x14ac:dyDescent="0.25">
      <c r="A418" s="26">
        <v>17</v>
      </c>
      <c r="B418" s="268"/>
      <c r="C418" s="268"/>
      <c r="D418" s="268"/>
      <c r="E418" s="268"/>
      <c r="F418" s="268"/>
      <c r="G418" s="268"/>
      <c r="H418" s="2"/>
      <c r="I418">
        <f>H418+'Male Emergency'!H418</f>
        <v>0</v>
      </c>
      <c r="K418">
        <f>'Male Emergency'!B418+'Female Emergency'!B418</f>
        <v>0</v>
      </c>
      <c r="L418">
        <f>K418-'Male Emergency'!E418-'Female Emergency'!E418</f>
        <v>0</v>
      </c>
    </row>
    <row r="419" spans="1:12" x14ac:dyDescent="0.25">
      <c r="A419" s="26">
        <v>18</v>
      </c>
      <c r="B419" s="268"/>
      <c r="C419" s="268"/>
      <c r="D419" s="268"/>
      <c r="E419" s="268"/>
      <c r="F419" s="268"/>
      <c r="G419" s="268"/>
      <c r="H419" s="2"/>
      <c r="I419">
        <f>H419+'Male Emergency'!H419</f>
        <v>0</v>
      </c>
      <c r="K419">
        <f>'Male Emergency'!B419+'Female Emergency'!B419</f>
        <v>0</v>
      </c>
      <c r="L419">
        <f>K419-'Male Emergency'!E419-'Female Emergency'!E419</f>
        <v>0</v>
      </c>
    </row>
    <row r="420" spans="1:12" x14ac:dyDescent="0.25">
      <c r="A420" s="26">
        <v>19</v>
      </c>
      <c r="B420" s="268"/>
      <c r="C420" s="268"/>
      <c r="D420" s="268"/>
      <c r="E420" s="268"/>
      <c r="F420" s="268"/>
      <c r="G420" s="268"/>
      <c r="H420" s="2"/>
      <c r="I420">
        <f>H420+'Male Emergency'!H420</f>
        <v>0</v>
      </c>
      <c r="K420">
        <f>'Male Emergency'!B420+'Female Emergency'!B420</f>
        <v>0</v>
      </c>
      <c r="L420">
        <f>K420-'Male Emergency'!E420-'Female Emergency'!E420</f>
        <v>0</v>
      </c>
    </row>
    <row r="421" spans="1:12" x14ac:dyDescent="0.25">
      <c r="A421" s="26">
        <v>20</v>
      </c>
      <c r="B421" s="268"/>
      <c r="C421" s="268"/>
      <c r="D421" s="268"/>
      <c r="E421" s="268"/>
      <c r="F421" s="268"/>
      <c r="G421" s="268"/>
      <c r="H421" s="2"/>
      <c r="I421">
        <f>H421+'Male Emergency'!H421</f>
        <v>0</v>
      </c>
      <c r="K421">
        <f>'Male Emergency'!B421+'Female Emergency'!B421</f>
        <v>0</v>
      </c>
      <c r="L421">
        <f>K421-'Male Emergency'!E421-'Female Emergency'!E421</f>
        <v>0</v>
      </c>
    </row>
    <row r="422" spans="1:12" x14ac:dyDescent="0.25">
      <c r="A422" s="26">
        <v>21</v>
      </c>
      <c r="B422" s="268"/>
      <c r="C422" s="268"/>
      <c r="D422" s="268"/>
      <c r="E422" s="268"/>
      <c r="F422" s="268"/>
      <c r="G422" s="268"/>
      <c r="H422" s="2"/>
      <c r="I422">
        <f>H422+'Male Emergency'!H422</f>
        <v>0</v>
      </c>
      <c r="K422">
        <f>'Male Emergency'!B422+'Female Emergency'!B422</f>
        <v>0</v>
      </c>
      <c r="L422">
        <f>K422-'Male Emergency'!E422-'Female Emergency'!E422</f>
        <v>0</v>
      </c>
    </row>
    <row r="423" spans="1:12" x14ac:dyDescent="0.25">
      <c r="A423" s="26">
        <v>22</v>
      </c>
      <c r="B423" s="268"/>
      <c r="C423" s="268"/>
      <c r="D423" s="268"/>
      <c r="E423" s="268"/>
      <c r="F423" s="268"/>
      <c r="G423" s="268"/>
      <c r="H423" s="2"/>
      <c r="I423">
        <f>H423+'Male Emergency'!H423</f>
        <v>0</v>
      </c>
      <c r="K423">
        <f>'Male Emergency'!B423+'Female Emergency'!B423</f>
        <v>0</v>
      </c>
      <c r="L423">
        <f>K423-'Male Emergency'!E423-'Female Emergency'!E423</f>
        <v>0</v>
      </c>
    </row>
    <row r="424" spans="1:12" x14ac:dyDescent="0.25">
      <c r="A424" s="26">
        <v>23</v>
      </c>
      <c r="B424" s="268"/>
      <c r="C424" s="268"/>
      <c r="D424" s="268"/>
      <c r="E424" s="268"/>
      <c r="F424" s="268"/>
      <c r="G424" s="268"/>
      <c r="H424" s="2"/>
      <c r="I424">
        <f>H424+'Male Emergency'!H424</f>
        <v>0</v>
      </c>
      <c r="K424">
        <f>'Male Emergency'!B424+'Female Emergency'!B424</f>
        <v>0</v>
      </c>
      <c r="L424">
        <f>K424-'Male Emergency'!E424-'Female Emergency'!E424</f>
        <v>0</v>
      </c>
    </row>
    <row r="425" spans="1:12" x14ac:dyDescent="0.25">
      <c r="A425" s="26">
        <v>24</v>
      </c>
      <c r="B425" s="268"/>
      <c r="C425" s="268"/>
      <c r="D425" s="268"/>
      <c r="E425" s="268"/>
      <c r="F425" s="268"/>
      <c r="G425" s="268"/>
      <c r="H425" s="2"/>
      <c r="I425">
        <f>H425+'Male Emergency'!H425</f>
        <v>0</v>
      </c>
      <c r="K425">
        <f>'Male Emergency'!B425+'Female Emergency'!B425</f>
        <v>0</v>
      </c>
      <c r="L425">
        <f>K425-'Male Emergency'!E425-'Female Emergency'!E425</f>
        <v>0</v>
      </c>
    </row>
    <row r="426" spans="1:12" x14ac:dyDescent="0.25">
      <c r="A426" s="26">
        <v>25</v>
      </c>
      <c r="B426" s="268"/>
      <c r="C426" s="268"/>
      <c r="D426" s="268"/>
      <c r="E426" s="268"/>
      <c r="F426" s="268"/>
      <c r="G426" s="268"/>
      <c r="H426" s="2"/>
      <c r="I426">
        <f>H426+'Male Emergency'!H426</f>
        <v>0</v>
      </c>
      <c r="K426">
        <f>'Male Emergency'!B426+'Female Emergency'!B426</f>
        <v>0</v>
      </c>
      <c r="L426">
        <f>K426-'Male Emergency'!E426-'Female Emergency'!E426</f>
        <v>0</v>
      </c>
    </row>
    <row r="427" spans="1:12" x14ac:dyDescent="0.25">
      <c r="A427" s="26">
        <v>26</v>
      </c>
      <c r="B427" s="268"/>
      <c r="C427" s="268"/>
      <c r="D427" s="268"/>
      <c r="E427" s="268"/>
      <c r="F427" s="268"/>
      <c r="G427" s="268"/>
      <c r="H427" s="2"/>
      <c r="I427">
        <f>H427+'Male Emergency'!H427</f>
        <v>0</v>
      </c>
      <c r="K427">
        <f>'Male Emergency'!B427+'Female Emergency'!B427</f>
        <v>0</v>
      </c>
      <c r="L427">
        <f>K427-'Male Emergency'!E427-'Female Emergency'!E427</f>
        <v>0</v>
      </c>
    </row>
    <row r="428" spans="1:12" x14ac:dyDescent="0.25">
      <c r="A428" s="26">
        <v>27</v>
      </c>
      <c r="B428" s="268"/>
      <c r="C428" s="268"/>
      <c r="D428" s="268"/>
      <c r="E428" s="268"/>
      <c r="F428" s="268"/>
      <c r="G428" s="268"/>
      <c r="H428" s="2"/>
      <c r="I428">
        <f>H428+'Male Emergency'!H428</f>
        <v>0</v>
      </c>
      <c r="K428">
        <f>'Male Emergency'!B428+'Female Emergency'!B428</f>
        <v>0</v>
      </c>
      <c r="L428">
        <f>K428-'Male Emergency'!E428-'Female Emergency'!E428</f>
        <v>0</v>
      </c>
    </row>
    <row r="429" spans="1:12" x14ac:dyDescent="0.25">
      <c r="A429" s="26">
        <v>28</v>
      </c>
      <c r="B429" s="268"/>
      <c r="C429" s="268"/>
      <c r="D429" s="268"/>
      <c r="E429" s="268"/>
      <c r="F429" s="268"/>
      <c r="G429" s="268"/>
      <c r="H429" s="2"/>
      <c r="I429">
        <f>H429+'Male Emergency'!H429</f>
        <v>0</v>
      </c>
      <c r="K429">
        <f>'Male Emergency'!B429+'Female Emergency'!B429</f>
        <v>0</v>
      </c>
      <c r="L429">
        <f>K429-'Male Emergency'!E429-'Female Emergency'!E429</f>
        <v>0</v>
      </c>
    </row>
    <row r="430" spans="1:12" x14ac:dyDescent="0.25">
      <c r="A430" s="26">
        <v>29</v>
      </c>
      <c r="B430" s="268"/>
      <c r="C430" s="268"/>
      <c r="D430" s="268"/>
      <c r="E430" s="268"/>
      <c r="F430" s="268"/>
      <c r="G430" s="268"/>
      <c r="H430" s="2"/>
      <c r="I430">
        <f>H430+'Male Emergency'!H430</f>
        <v>0</v>
      </c>
      <c r="K430">
        <f>'Male Emergency'!B430+'Female Emergency'!B430</f>
        <v>0</v>
      </c>
      <c r="L430">
        <f>K430-'Male Emergency'!E430-'Female Emergency'!E430</f>
        <v>0</v>
      </c>
    </row>
    <row r="431" spans="1:12" ht="15.75" thickBot="1" x14ac:dyDescent="0.3">
      <c r="A431" s="26">
        <v>30</v>
      </c>
      <c r="B431" s="268"/>
      <c r="C431" s="268"/>
      <c r="D431" s="268"/>
      <c r="E431" s="268"/>
      <c r="F431" s="268"/>
      <c r="G431" s="268"/>
      <c r="H431" s="2"/>
      <c r="I431">
        <f>H431+'Male Emergency'!H431</f>
        <v>0</v>
      </c>
      <c r="K431">
        <f>'Male Emergency'!B431+'Female Emergency'!B431</f>
        <v>0</v>
      </c>
      <c r="L431">
        <f>K431-'Male Emergency'!E431-'Female Emergency'!E431</f>
        <v>0</v>
      </c>
    </row>
    <row r="432" spans="1:12" ht="15.75" thickBot="1" x14ac:dyDescent="0.3">
      <c r="A432" s="60" t="s">
        <v>35</v>
      </c>
      <c r="B432" s="58"/>
      <c r="C432" s="58"/>
      <c r="D432" s="58"/>
      <c r="E432" s="58"/>
      <c r="F432" s="58"/>
      <c r="G432" s="58"/>
      <c r="H432" s="59"/>
      <c r="I432">
        <f>'Male Emergency'!H432</f>
        <v>0</v>
      </c>
      <c r="K432">
        <f>SUM(K402:K431)</f>
        <v>0</v>
      </c>
      <c r="L432">
        <f>SUM(L402:L431)</f>
        <v>0</v>
      </c>
    </row>
    <row r="435" spans="1:9" ht="36" x14ac:dyDescent="0.55000000000000004">
      <c r="A435" s="605" t="s">
        <v>1</v>
      </c>
      <c r="B435" s="605"/>
      <c r="C435" s="605"/>
      <c r="D435" s="605"/>
      <c r="E435" s="605"/>
      <c r="F435" s="605"/>
      <c r="G435" s="605"/>
      <c r="H435" s="605"/>
    </row>
    <row r="436" spans="1:9" ht="27" thickBot="1" x14ac:dyDescent="0.45">
      <c r="A436" s="606" t="s">
        <v>0</v>
      </c>
      <c r="B436" s="606"/>
      <c r="C436" s="606"/>
      <c r="D436" s="606"/>
      <c r="E436" s="606"/>
      <c r="F436" s="606"/>
      <c r="G436" s="606"/>
      <c r="H436" s="606"/>
    </row>
    <row r="437" spans="1:9" ht="15.75" x14ac:dyDescent="0.25">
      <c r="A437" s="39" t="s">
        <v>2</v>
      </c>
      <c r="B437" s="19" t="s">
        <v>3</v>
      </c>
      <c r="C437" s="20"/>
      <c r="D437" s="21" t="s">
        <v>52</v>
      </c>
      <c r="E437" s="607" t="s">
        <v>59</v>
      </c>
      <c r="F437" s="608"/>
      <c r="G437" s="19" t="s">
        <v>16</v>
      </c>
      <c r="H437" s="32" t="s">
        <v>67</v>
      </c>
    </row>
    <row r="438" spans="1:9" ht="15.75" x14ac:dyDescent="0.25">
      <c r="A438" s="609" t="s">
        <v>6</v>
      </c>
      <c r="B438" s="610"/>
      <c r="C438" s="610"/>
      <c r="D438" s="610"/>
      <c r="E438" s="610"/>
      <c r="F438" s="610"/>
      <c r="G438" s="611"/>
      <c r="H438" s="2">
        <f>H431</f>
        <v>0</v>
      </c>
    </row>
    <row r="439" spans="1:9" ht="15.75" x14ac:dyDescent="0.25">
      <c r="A439" s="3" t="s">
        <v>7</v>
      </c>
      <c r="B439" s="1"/>
      <c r="C439" s="1"/>
      <c r="D439" s="1"/>
      <c r="E439" s="1"/>
      <c r="F439" s="1"/>
      <c r="G439" s="1"/>
      <c r="H439" s="2">
        <v>10</v>
      </c>
    </row>
    <row r="440" spans="1:9" ht="51.75" thickBot="1" x14ac:dyDescent="0.3">
      <c r="A440" s="40" t="s">
        <v>8</v>
      </c>
      <c r="B440" s="41" t="s">
        <v>9</v>
      </c>
      <c r="C440" s="41" t="s">
        <v>10</v>
      </c>
      <c r="D440" s="41" t="s">
        <v>11</v>
      </c>
      <c r="E440" s="41" t="s">
        <v>12</v>
      </c>
      <c r="F440" s="41" t="s">
        <v>13</v>
      </c>
      <c r="G440" s="41" t="s">
        <v>14</v>
      </c>
      <c r="H440" s="42" t="s">
        <v>15</v>
      </c>
    </row>
    <row r="441" spans="1:9" x14ac:dyDescent="0.25">
      <c r="A441" s="36">
        <v>1</v>
      </c>
      <c r="B441" s="527"/>
      <c r="C441" s="527"/>
      <c r="D441" s="527"/>
      <c r="E441" s="527"/>
      <c r="F441" s="527"/>
      <c r="G441" s="527"/>
      <c r="H441" s="38">
        <f>H438+B441+F441-(C441+D441+G441)-E441</f>
        <v>0</v>
      </c>
      <c r="I441">
        <f>H441+'Male Emergency'!H441</f>
        <v>0</v>
      </c>
    </row>
    <row r="442" spans="1:9" x14ac:dyDescent="0.25">
      <c r="A442" s="26">
        <v>2</v>
      </c>
      <c r="B442" s="268"/>
      <c r="C442" s="268"/>
      <c r="D442" s="268"/>
      <c r="E442" s="268"/>
      <c r="F442" s="268"/>
      <c r="G442" s="268"/>
      <c r="H442" s="2">
        <f>H441+B442+F442-(C442+D442+G442)-E442</f>
        <v>0</v>
      </c>
      <c r="I442">
        <f>H442+'Male Emergency'!H442</f>
        <v>0</v>
      </c>
    </row>
    <row r="443" spans="1:9" x14ac:dyDescent="0.25">
      <c r="A443" s="26">
        <v>3</v>
      </c>
      <c r="B443" s="268"/>
      <c r="C443" s="268"/>
      <c r="D443" s="268"/>
      <c r="E443" s="268"/>
      <c r="F443" s="268"/>
      <c r="G443" s="268"/>
      <c r="H443" s="2">
        <f>H442+B443+F443-(C443+D443+G443)-E443</f>
        <v>0</v>
      </c>
      <c r="I443">
        <f>H443+'Male Emergency'!H443</f>
        <v>0</v>
      </c>
    </row>
    <row r="444" spans="1:9" x14ac:dyDescent="0.25">
      <c r="A444" s="26">
        <v>4</v>
      </c>
      <c r="B444" s="268"/>
      <c r="C444" s="268"/>
      <c r="D444" s="268"/>
      <c r="E444" s="268"/>
      <c r="F444" s="268"/>
      <c r="G444" s="268"/>
      <c r="H444" s="2">
        <f t="shared" ref="H444:H471" si="20">H443+B444+F444-(C444+D444+G444)-E444</f>
        <v>0</v>
      </c>
      <c r="I444">
        <f>H444+'Male Emergency'!H444</f>
        <v>0</v>
      </c>
    </row>
    <row r="445" spans="1:9" x14ac:dyDescent="0.25">
      <c r="A445" s="26">
        <v>5</v>
      </c>
      <c r="B445" s="268"/>
      <c r="C445" s="268"/>
      <c r="D445" s="268"/>
      <c r="E445" s="268"/>
      <c r="F445" s="268"/>
      <c r="G445" s="268"/>
      <c r="H445" s="2">
        <f t="shared" si="20"/>
        <v>0</v>
      </c>
      <c r="I445">
        <f>H445+'Male Emergency'!H445</f>
        <v>0</v>
      </c>
    </row>
    <row r="446" spans="1:9" x14ac:dyDescent="0.25">
      <c r="A446" s="26">
        <v>6</v>
      </c>
      <c r="B446" s="268"/>
      <c r="C446" s="268"/>
      <c r="D446" s="268"/>
      <c r="E446" s="268"/>
      <c r="F446" s="268"/>
      <c r="G446" s="268"/>
      <c r="H446" s="2">
        <f t="shared" si="20"/>
        <v>0</v>
      </c>
      <c r="I446">
        <f>H446+'Male Emergency'!H446</f>
        <v>0</v>
      </c>
    </row>
    <row r="447" spans="1:9" x14ac:dyDescent="0.25">
      <c r="A447" s="26">
        <v>7</v>
      </c>
      <c r="B447" s="268"/>
      <c r="C447" s="268"/>
      <c r="D447" s="268"/>
      <c r="E447" s="268"/>
      <c r="F447" s="268"/>
      <c r="G447" s="268"/>
      <c r="H447" s="2">
        <f t="shared" si="20"/>
        <v>0</v>
      </c>
      <c r="I447">
        <f>H447+'Male Emergency'!H447</f>
        <v>0</v>
      </c>
    </row>
    <row r="448" spans="1:9" x14ac:dyDescent="0.25">
      <c r="A448" s="26">
        <v>8</v>
      </c>
      <c r="B448" s="268"/>
      <c r="C448" s="268"/>
      <c r="D448" s="268"/>
      <c r="E448" s="268"/>
      <c r="F448" s="268"/>
      <c r="G448" s="268"/>
      <c r="H448" s="2">
        <f t="shared" si="20"/>
        <v>0</v>
      </c>
      <c r="I448">
        <f>H448+'Male Emergency'!H448</f>
        <v>0</v>
      </c>
    </row>
    <row r="449" spans="1:9" x14ac:dyDescent="0.25">
      <c r="A449" s="26">
        <v>9</v>
      </c>
      <c r="B449" s="268"/>
      <c r="C449" s="268"/>
      <c r="D449" s="268"/>
      <c r="E449" s="268"/>
      <c r="F449" s="268"/>
      <c r="G449" s="268"/>
      <c r="H449" s="2">
        <f t="shared" si="20"/>
        <v>0</v>
      </c>
      <c r="I449">
        <f>H449+'Male Emergency'!H449</f>
        <v>0</v>
      </c>
    </row>
    <row r="450" spans="1:9" x14ac:dyDescent="0.25">
      <c r="A450" s="26">
        <v>10</v>
      </c>
      <c r="B450" s="268"/>
      <c r="C450" s="268"/>
      <c r="D450" s="268"/>
      <c r="E450" s="268"/>
      <c r="F450" s="268"/>
      <c r="G450" s="268"/>
      <c r="H450" s="2">
        <f t="shared" si="20"/>
        <v>0</v>
      </c>
      <c r="I450">
        <f>H450+'Male Emergency'!H450</f>
        <v>0</v>
      </c>
    </row>
    <row r="451" spans="1:9" x14ac:dyDescent="0.25">
      <c r="A451" s="26">
        <v>11</v>
      </c>
      <c r="B451" s="268"/>
      <c r="C451" s="268"/>
      <c r="D451" s="268"/>
      <c r="E451" s="268"/>
      <c r="F451" s="268"/>
      <c r="G451" s="268"/>
      <c r="H451" s="2">
        <f t="shared" si="20"/>
        <v>0</v>
      </c>
      <c r="I451">
        <f>H451+'Male Emergency'!H451</f>
        <v>0</v>
      </c>
    </row>
    <row r="452" spans="1:9" x14ac:dyDescent="0.25">
      <c r="A452" s="26">
        <v>12</v>
      </c>
      <c r="B452" s="268"/>
      <c r="C452" s="268"/>
      <c r="D452" s="268"/>
      <c r="E452" s="268"/>
      <c r="F452" s="268"/>
      <c r="G452" s="268"/>
      <c r="H452" s="2">
        <f t="shared" si="20"/>
        <v>0</v>
      </c>
      <c r="I452">
        <f>H452+'Male Emergency'!H452</f>
        <v>0</v>
      </c>
    </row>
    <row r="453" spans="1:9" x14ac:dyDescent="0.25">
      <c r="A453" s="26">
        <v>13</v>
      </c>
      <c r="B453" s="268"/>
      <c r="C453" s="268"/>
      <c r="D453" s="268"/>
      <c r="E453" s="268"/>
      <c r="F453" s="268"/>
      <c r="G453" s="268"/>
      <c r="H453" s="2">
        <f t="shared" si="20"/>
        <v>0</v>
      </c>
      <c r="I453">
        <f>H453+'Male Emergency'!H453</f>
        <v>0</v>
      </c>
    </row>
    <row r="454" spans="1:9" x14ac:dyDescent="0.25">
      <c r="A454" s="26">
        <v>14</v>
      </c>
      <c r="B454" s="268"/>
      <c r="C454" s="268"/>
      <c r="D454" s="268"/>
      <c r="E454" s="268"/>
      <c r="F454" s="268"/>
      <c r="G454" s="268"/>
      <c r="H454" s="2">
        <f t="shared" si="20"/>
        <v>0</v>
      </c>
      <c r="I454">
        <f>H454+'Male Emergency'!H454</f>
        <v>0</v>
      </c>
    </row>
    <row r="455" spans="1:9" x14ac:dyDescent="0.25">
      <c r="A455" s="26">
        <v>15</v>
      </c>
      <c r="B455" s="268"/>
      <c r="C455" s="268"/>
      <c r="D455" s="268"/>
      <c r="E455" s="268"/>
      <c r="F455" s="268"/>
      <c r="G455" s="268"/>
      <c r="H455" s="2">
        <f t="shared" si="20"/>
        <v>0</v>
      </c>
      <c r="I455">
        <f>H455+'Male Emergency'!H455</f>
        <v>0</v>
      </c>
    </row>
    <row r="456" spans="1:9" x14ac:dyDescent="0.25">
      <c r="A456" s="26">
        <v>16</v>
      </c>
      <c r="B456" s="268"/>
      <c r="C456" s="268"/>
      <c r="D456" s="268"/>
      <c r="E456" s="268"/>
      <c r="F456" s="268"/>
      <c r="G456" s="268"/>
      <c r="H456" s="2">
        <f t="shared" si="20"/>
        <v>0</v>
      </c>
      <c r="I456">
        <f>H456+'Male Emergency'!H456</f>
        <v>0</v>
      </c>
    </row>
    <row r="457" spans="1:9" x14ac:dyDescent="0.25">
      <c r="A457" s="26">
        <v>17</v>
      </c>
      <c r="B457" s="268"/>
      <c r="C457" s="268"/>
      <c r="D457" s="268"/>
      <c r="E457" s="268"/>
      <c r="F457" s="268"/>
      <c r="G457" s="268"/>
      <c r="H457" s="2">
        <f t="shared" si="20"/>
        <v>0</v>
      </c>
      <c r="I457">
        <f>H457+'Male Emergency'!H457</f>
        <v>0</v>
      </c>
    </row>
    <row r="458" spans="1:9" x14ac:dyDescent="0.25">
      <c r="A458" s="26">
        <v>18</v>
      </c>
      <c r="B458" s="268"/>
      <c r="C458" s="268"/>
      <c r="D458" s="268"/>
      <c r="E458" s="268"/>
      <c r="F458" s="268"/>
      <c r="G458" s="268"/>
      <c r="H458" s="2">
        <f t="shared" si="20"/>
        <v>0</v>
      </c>
      <c r="I458">
        <f>H458+'Male Emergency'!H458</f>
        <v>0</v>
      </c>
    </row>
    <row r="459" spans="1:9" x14ac:dyDescent="0.25">
      <c r="A459" s="26">
        <v>19</v>
      </c>
      <c r="B459" s="268"/>
      <c r="C459" s="268"/>
      <c r="D459" s="268"/>
      <c r="E459" s="268"/>
      <c r="F459" s="268"/>
      <c r="G459" s="268"/>
      <c r="H459" s="2">
        <f t="shared" si="20"/>
        <v>0</v>
      </c>
      <c r="I459">
        <f>H459+'Male Emergency'!H459</f>
        <v>0</v>
      </c>
    </row>
    <row r="460" spans="1:9" x14ac:dyDescent="0.25">
      <c r="A460" s="26">
        <v>20</v>
      </c>
      <c r="B460" s="268"/>
      <c r="C460" s="268"/>
      <c r="D460" s="268"/>
      <c r="E460" s="268"/>
      <c r="F460" s="268"/>
      <c r="G460" s="268"/>
      <c r="H460" s="2">
        <f t="shared" si="20"/>
        <v>0</v>
      </c>
      <c r="I460">
        <f>H460+'Male Emergency'!H460</f>
        <v>0</v>
      </c>
    </row>
    <row r="461" spans="1:9" x14ac:dyDescent="0.25">
      <c r="A461" s="26">
        <v>21</v>
      </c>
      <c r="B461" s="268"/>
      <c r="C461" s="268"/>
      <c r="D461" s="268"/>
      <c r="E461" s="268"/>
      <c r="F461" s="268"/>
      <c r="G461" s="268"/>
      <c r="H461" s="2">
        <f t="shared" si="20"/>
        <v>0</v>
      </c>
      <c r="I461">
        <f>H461+'Male Emergency'!H461</f>
        <v>0</v>
      </c>
    </row>
    <row r="462" spans="1:9" x14ac:dyDescent="0.25">
      <c r="A462" s="26">
        <v>22</v>
      </c>
      <c r="B462" s="268"/>
      <c r="C462" s="268"/>
      <c r="D462" s="268"/>
      <c r="E462" s="268"/>
      <c r="F462" s="268"/>
      <c r="G462" s="268"/>
      <c r="H462" s="2">
        <f t="shared" si="20"/>
        <v>0</v>
      </c>
      <c r="I462">
        <f>H462+'Male Emergency'!H462</f>
        <v>0</v>
      </c>
    </row>
    <row r="463" spans="1:9" x14ac:dyDescent="0.25">
      <c r="A463" s="26">
        <v>23</v>
      </c>
      <c r="B463" s="268"/>
      <c r="C463" s="268"/>
      <c r="D463" s="268"/>
      <c r="E463" s="268"/>
      <c r="F463" s="268"/>
      <c r="G463" s="268"/>
      <c r="H463" s="2">
        <f t="shared" si="20"/>
        <v>0</v>
      </c>
      <c r="I463">
        <f>H463+'Male Emergency'!H463</f>
        <v>0</v>
      </c>
    </row>
    <row r="464" spans="1:9" x14ac:dyDescent="0.25">
      <c r="A464" s="26">
        <v>24</v>
      </c>
      <c r="B464" s="268"/>
      <c r="C464" s="268"/>
      <c r="D464" s="268"/>
      <c r="E464" s="268"/>
      <c r="F464" s="268"/>
      <c r="G464" s="268"/>
      <c r="H464" s="2">
        <f t="shared" si="20"/>
        <v>0</v>
      </c>
      <c r="I464">
        <f>H464+'Male Emergency'!H464</f>
        <v>0</v>
      </c>
    </row>
    <row r="465" spans="1:9" x14ac:dyDescent="0.25">
      <c r="A465" s="26">
        <v>25</v>
      </c>
      <c r="B465" s="268"/>
      <c r="C465" s="268"/>
      <c r="D465" s="268"/>
      <c r="E465" s="268"/>
      <c r="F465" s="268"/>
      <c r="G465" s="268"/>
      <c r="H465" s="2">
        <f t="shared" si="20"/>
        <v>0</v>
      </c>
      <c r="I465">
        <f>H465+'Male Emergency'!H465</f>
        <v>0</v>
      </c>
    </row>
    <row r="466" spans="1:9" x14ac:dyDescent="0.25">
      <c r="A466" s="26">
        <v>26</v>
      </c>
      <c r="B466" s="268"/>
      <c r="C466" s="268"/>
      <c r="D466" s="268"/>
      <c r="E466" s="268"/>
      <c r="F466" s="268"/>
      <c r="G466" s="268"/>
      <c r="H466" s="2">
        <f t="shared" si="20"/>
        <v>0</v>
      </c>
      <c r="I466">
        <f>H466+'Male Emergency'!H466</f>
        <v>0</v>
      </c>
    </row>
    <row r="467" spans="1:9" x14ac:dyDescent="0.25">
      <c r="A467" s="26">
        <v>27</v>
      </c>
      <c r="B467" s="268"/>
      <c r="C467" s="268"/>
      <c r="D467" s="268"/>
      <c r="E467" s="268"/>
      <c r="F467" s="268"/>
      <c r="G467" s="268"/>
      <c r="H467" s="2">
        <f t="shared" si="20"/>
        <v>0</v>
      </c>
      <c r="I467">
        <f>H467+'Male Emergency'!H467</f>
        <v>0</v>
      </c>
    </row>
    <row r="468" spans="1:9" x14ac:dyDescent="0.25">
      <c r="A468" s="26">
        <v>28</v>
      </c>
      <c r="B468" s="268"/>
      <c r="C468" s="268"/>
      <c r="D468" s="268"/>
      <c r="E468" s="268"/>
      <c r="F468" s="268"/>
      <c r="G468" s="268"/>
      <c r="H468" s="2">
        <f t="shared" si="20"/>
        <v>0</v>
      </c>
      <c r="I468">
        <f>H468+'Male Emergency'!H468</f>
        <v>0</v>
      </c>
    </row>
    <row r="469" spans="1:9" x14ac:dyDescent="0.25">
      <c r="A469" s="26">
        <v>29</v>
      </c>
      <c r="B469" s="268"/>
      <c r="C469" s="268"/>
      <c r="D469" s="268"/>
      <c r="E469" s="268"/>
      <c r="F469" s="268"/>
      <c r="G469" s="268"/>
      <c r="H469" s="2">
        <f t="shared" si="20"/>
        <v>0</v>
      </c>
      <c r="I469">
        <f>H469+'Male Emergency'!H469</f>
        <v>0</v>
      </c>
    </row>
    <row r="470" spans="1:9" x14ac:dyDescent="0.25">
      <c r="A470" s="26">
        <v>30</v>
      </c>
      <c r="B470" s="268"/>
      <c r="C470" s="268"/>
      <c r="D470" s="268"/>
      <c r="E470" s="268"/>
      <c r="F470" s="268"/>
      <c r="G470" s="268"/>
      <c r="H470" s="2">
        <f t="shared" si="20"/>
        <v>0</v>
      </c>
      <c r="I470">
        <f>H470+'Male Emergency'!H470</f>
        <v>0</v>
      </c>
    </row>
    <row r="471" spans="1:9" ht="15.75" thickBot="1" x14ac:dyDescent="0.3">
      <c r="A471" s="64">
        <v>31</v>
      </c>
      <c r="B471" s="528"/>
      <c r="C471" s="528"/>
      <c r="D471" s="528"/>
      <c r="E471" s="528"/>
      <c r="F471" s="528"/>
      <c r="G471" s="528"/>
      <c r="H471" s="2">
        <f t="shared" si="20"/>
        <v>0</v>
      </c>
      <c r="I471">
        <f>H471+'Male Emergency'!H471</f>
        <v>0</v>
      </c>
    </row>
    <row r="472" spans="1:9" ht="15.75" thickBot="1" x14ac:dyDescent="0.3">
      <c r="A472" s="60" t="s">
        <v>35</v>
      </c>
      <c r="B472" s="58">
        <f>SUM(B441:B471)-E472</f>
        <v>0</v>
      </c>
      <c r="C472" s="58">
        <f t="shared" ref="C472:H472" si="21">SUM(C441:C471)</f>
        <v>0</v>
      </c>
      <c r="D472" s="58">
        <f t="shared" si="21"/>
        <v>0</v>
      </c>
      <c r="E472" s="58">
        <f t="shared" si="21"/>
        <v>0</v>
      </c>
      <c r="F472" s="58">
        <f t="shared" si="21"/>
        <v>0</v>
      </c>
      <c r="G472" s="58">
        <f t="shared" si="21"/>
        <v>0</v>
      </c>
      <c r="H472" s="59">
        <f t="shared" si="21"/>
        <v>0</v>
      </c>
    </row>
  </sheetData>
  <mergeCells count="48">
    <mergeCell ref="A436:H436"/>
    <mergeCell ref="E437:F437"/>
    <mergeCell ref="A438:G438"/>
    <mergeCell ref="A396:H396"/>
    <mergeCell ref="A397:H397"/>
    <mergeCell ref="E398:F398"/>
    <mergeCell ref="A399:G399"/>
    <mergeCell ref="A435:H435"/>
    <mergeCell ref="A357:H357"/>
    <mergeCell ref="E358:F358"/>
    <mergeCell ref="A359:G359"/>
    <mergeCell ref="A317:H317"/>
    <mergeCell ref="A318:H318"/>
    <mergeCell ref="E319:F319"/>
    <mergeCell ref="A278:H278"/>
    <mergeCell ref="E279:F279"/>
    <mergeCell ref="A280:G280"/>
    <mergeCell ref="A320:G320"/>
    <mergeCell ref="A356:H356"/>
    <mergeCell ref="A277:H277"/>
    <mergeCell ref="E200:F200"/>
    <mergeCell ref="A158:H158"/>
    <mergeCell ref="A159:H159"/>
    <mergeCell ref="E160:F160"/>
    <mergeCell ref="A79:H79"/>
    <mergeCell ref="A80:H80"/>
    <mergeCell ref="E81:F81"/>
    <mergeCell ref="A82:G82"/>
    <mergeCell ref="A240:G240"/>
    <mergeCell ref="A238:H238"/>
    <mergeCell ref="E239:F239"/>
    <mergeCell ref="A119:H119"/>
    <mergeCell ref="A120:H120"/>
    <mergeCell ref="E121:F121"/>
    <mergeCell ref="A198:H198"/>
    <mergeCell ref="A199:H199"/>
    <mergeCell ref="A237:H237"/>
    <mergeCell ref="A122:G122"/>
    <mergeCell ref="A161:G161"/>
    <mergeCell ref="A201:G201"/>
    <mergeCell ref="A42:H42"/>
    <mergeCell ref="E43:F43"/>
    <mergeCell ref="A44:G44"/>
    <mergeCell ref="A1:H1"/>
    <mergeCell ref="A2:H2"/>
    <mergeCell ref="E3:F3"/>
    <mergeCell ref="A4:F4"/>
    <mergeCell ref="A41:H41"/>
  </mergeCells>
  <pageMargins left="0.7" right="0.7" top="0.75" bottom="0.75" header="0.3" footer="0.3"/>
  <pageSetup paperSize="9" scale="78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6"/>
  <dimension ref="A1:M963"/>
  <sheetViews>
    <sheetView topLeftCell="A4" workbookViewId="0">
      <selection activeCell="K121" sqref="K121"/>
    </sheetView>
  </sheetViews>
  <sheetFormatPr defaultRowHeight="15" x14ac:dyDescent="0.25"/>
  <cols>
    <col min="1" max="1" width="9.140625" style="208"/>
    <col min="2" max="2" width="10.7109375" customWidth="1"/>
    <col min="3" max="3" width="10.85546875" customWidth="1"/>
    <col min="4" max="4" width="11" customWidth="1"/>
    <col min="5" max="5" width="10.7109375" customWidth="1"/>
    <col min="6" max="6" width="9.140625" style="208"/>
  </cols>
  <sheetData>
    <row r="1" spans="1:8" x14ac:dyDescent="0.25">
      <c r="F1" s="634">
        <v>44166</v>
      </c>
      <c r="G1" s="635"/>
      <c r="H1" s="635"/>
    </row>
    <row r="2" spans="1:8" x14ac:dyDescent="0.25">
      <c r="A2" s="208" t="s">
        <v>103</v>
      </c>
      <c r="B2" t="s">
        <v>104</v>
      </c>
      <c r="C2" t="s">
        <v>20</v>
      </c>
      <c r="F2" s="208" t="s">
        <v>103</v>
      </c>
      <c r="G2" t="s">
        <v>104</v>
      </c>
      <c r="H2" t="s">
        <v>20</v>
      </c>
    </row>
    <row r="3" spans="1:8" x14ac:dyDescent="0.25">
      <c r="A3" s="208">
        <v>19</v>
      </c>
      <c r="B3" t="s">
        <v>97</v>
      </c>
      <c r="C3" t="s">
        <v>122</v>
      </c>
      <c r="F3" s="208">
        <v>49</v>
      </c>
      <c r="G3" t="s">
        <v>97</v>
      </c>
      <c r="H3" t="s">
        <v>122</v>
      </c>
    </row>
    <row r="4" spans="1:8" x14ac:dyDescent="0.25">
      <c r="A4" s="208">
        <v>49</v>
      </c>
      <c r="B4" t="s">
        <v>97</v>
      </c>
      <c r="C4" t="s">
        <v>122</v>
      </c>
      <c r="D4" s="207"/>
      <c r="E4" s="207"/>
      <c r="F4" s="211">
        <v>60</v>
      </c>
      <c r="G4" t="s">
        <v>97</v>
      </c>
      <c r="H4" t="s">
        <v>122</v>
      </c>
    </row>
    <row r="5" spans="1:8" x14ac:dyDescent="0.25">
      <c r="A5" s="208">
        <v>52</v>
      </c>
      <c r="B5" t="s">
        <v>97</v>
      </c>
      <c r="C5" t="s">
        <v>122</v>
      </c>
      <c r="F5" s="208">
        <v>67</v>
      </c>
      <c r="G5" t="s">
        <v>97</v>
      </c>
      <c r="H5" t="s">
        <v>122</v>
      </c>
    </row>
    <row r="6" spans="1:8" x14ac:dyDescent="0.25">
      <c r="A6" s="208">
        <v>84</v>
      </c>
      <c r="B6" t="s">
        <v>97</v>
      </c>
      <c r="C6" t="s">
        <v>122</v>
      </c>
      <c r="F6" s="208">
        <v>26</v>
      </c>
      <c r="G6" t="s">
        <v>97</v>
      </c>
      <c r="H6" t="s">
        <v>122</v>
      </c>
    </row>
    <row r="7" spans="1:8" x14ac:dyDescent="0.25">
      <c r="A7" s="208">
        <v>42</v>
      </c>
      <c r="B7" t="s">
        <v>97</v>
      </c>
      <c r="C7" t="s">
        <v>122</v>
      </c>
      <c r="F7" s="208">
        <v>55</v>
      </c>
      <c r="G7" t="s">
        <v>97</v>
      </c>
      <c r="H7" t="s">
        <v>122</v>
      </c>
    </row>
    <row r="8" spans="1:8" x14ac:dyDescent="0.25">
      <c r="A8" s="208">
        <v>66</v>
      </c>
      <c r="B8" t="s">
        <v>97</v>
      </c>
      <c r="C8" t="s">
        <v>122</v>
      </c>
      <c r="F8" s="208">
        <v>38</v>
      </c>
      <c r="G8" t="s">
        <v>97</v>
      </c>
      <c r="H8" t="s">
        <v>122</v>
      </c>
    </row>
    <row r="9" spans="1:8" x14ac:dyDescent="0.25">
      <c r="A9" s="208">
        <v>62</v>
      </c>
      <c r="B9" t="s">
        <v>97</v>
      </c>
      <c r="C9" t="s">
        <v>122</v>
      </c>
      <c r="F9" s="208">
        <v>25</v>
      </c>
      <c r="G9" t="s">
        <v>97</v>
      </c>
      <c r="H9" t="s">
        <v>122</v>
      </c>
    </row>
    <row r="10" spans="1:8" x14ac:dyDescent="0.25">
      <c r="A10" s="208">
        <v>30</v>
      </c>
      <c r="B10" t="s">
        <v>97</v>
      </c>
      <c r="C10" t="s">
        <v>122</v>
      </c>
      <c r="F10" s="208">
        <v>62</v>
      </c>
      <c r="G10" t="s">
        <v>97</v>
      </c>
      <c r="H10" t="s">
        <v>122</v>
      </c>
    </row>
    <row r="11" spans="1:8" x14ac:dyDescent="0.25">
      <c r="A11" s="208">
        <v>37</v>
      </c>
      <c r="B11" t="s">
        <v>97</v>
      </c>
      <c r="C11" t="s">
        <v>122</v>
      </c>
      <c r="F11" s="208">
        <v>64</v>
      </c>
      <c r="G11" t="s">
        <v>97</v>
      </c>
      <c r="H11" t="s">
        <v>122</v>
      </c>
    </row>
    <row r="12" spans="1:8" x14ac:dyDescent="0.25">
      <c r="A12" s="208">
        <v>22</v>
      </c>
      <c r="B12" t="s">
        <v>97</v>
      </c>
      <c r="C12" t="s">
        <v>122</v>
      </c>
      <c r="F12" s="208">
        <v>57</v>
      </c>
      <c r="G12" t="s">
        <v>97</v>
      </c>
      <c r="H12" t="s">
        <v>122</v>
      </c>
    </row>
    <row r="13" spans="1:8" x14ac:dyDescent="0.25">
      <c r="A13" s="208">
        <v>39</v>
      </c>
      <c r="B13" t="s">
        <v>97</v>
      </c>
      <c r="C13" t="s">
        <v>122</v>
      </c>
      <c r="F13" s="208">
        <v>70</v>
      </c>
      <c r="G13" t="s">
        <v>97</v>
      </c>
      <c r="H13" t="s">
        <v>122</v>
      </c>
    </row>
    <row r="14" spans="1:8" x14ac:dyDescent="0.25">
      <c r="A14" s="208">
        <v>17</v>
      </c>
      <c r="B14" t="s">
        <v>97</v>
      </c>
      <c r="C14" t="s">
        <v>122</v>
      </c>
      <c r="F14" s="208">
        <v>24</v>
      </c>
      <c r="G14" t="s">
        <v>97</v>
      </c>
      <c r="H14" t="s">
        <v>122</v>
      </c>
    </row>
    <row r="15" spans="1:8" x14ac:dyDescent="0.25">
      <c r="A15" s="208">
        <v>52</v>
      </c>
      <c r="B15" t="s">
        <v>97</v>
      </c>
      <c r="C15" t="s">
        <v>122</v>
      </c>
      <c r="F15" s="208">
        <v>37</v>
      </c>
      <c r="G15" t="s">
        <v>97</v>
      </c>
      <c r="H15" t="s">
        <v>122</v>
      </c>
    </row>
    <row r="16" spans="1:8" x14ac:dyDescent="0.25">
      <c r="A16" s="208">
        <v>47</v>
      </c>
      <c r="B16" t="s">
        <v>97</v>
      </c>
      <c r="C16" t="s">
        <v>122</v>
      </c>
      <c r="F16" s="208">
        <v>66</v>
      </c>
      <c r="G16" t="s">
        <v>97</v>
      </c>
      <c r="H16" t="s">
        <v>122</v>
      </c>
    </row>
    <row r="17" spans="1:8" x14ac:dyDescent="0.25">
      <c r="A17" s="208">
        <v>18</v>
      </c>
      <c r="B17" t="s">
        <v>97</v>
      </c>
      <c r="C17" t="s">
        <v>122</v>
      </c>
      <c r="F17" s="208">
        <v>28</v>
      </c>
      <c r="G17" t="s">
        <v>97</v>
      </c>
      <c r="H17" t="s">
        <v>122</v>
      </c>
    </row>
    <row r="18" spans="1:8" x14ac:dyDescent="0.25">
      <c r="A18" s="208">
        <v>40</v>
      </c>
      <c r="B18" t="s">
        <v>97</v>
      </c>
      <c r="C18" t="s">
        <v>122</v>
      </c>
      <c r="F18" s="208">
        <v>44</v>
      </c>
      <c r="G18" t="s">
        <v>97</v>
      </c>
      <c r="H18" t="s">
        <v>122</v>
      </c>
    </row>
    <row r="19" spans="1:8" x14ac:dyDescent="0.25">
      <c r="A19" s="208">
        <v>36</v>
      </c>
      <c r="B19" t="s">
        <v>97</v>
      </c>
      <c r="C19" t="s">
        <v>122</v>
      </c>
      <c r="F19" s="208">
        <v>23</v>
      </c>
      <c r="G19" t="s">
        <v>97</v>
      </c>
      <c r="H19" t="s">
        <v>122</v>
      </c>
    </row>
    <row r="20" spans="1:8" x14ac:dyDescent="0.25">
      <c r="A20" s="208">
        <v>27</v>
      </c>
      <c r="B20" t="s">
        <v>97</v>
      </c>
      <c r="C20" t="s">
        <v>122</v>
      </c>
      <c r="F20" s="208">
        <v>24</v>
      </c>
      <c r="G20" t="s">
        <v>97</v>
      </c>
      <c r="H20" t="s">
        <v>122</v>
      </c>
    </row>
    <row r="21" spans="1:8" x14ac:dyDescent="0.25">
      <c r="A21" s="208">
        <v>45</v>
      </c>
      <c r="B21" t="s">
        <v>97</v>
      </c>
      <c r="C21" t="s">
        <v>122</v>
      </c>
      <c r="F21" s="208">
        <v>49</v>
      </c>
      <c r="G21" t="s">
        <v>97</v>
      </c>
      <c r="H21" t="s">
        <v>122</v>
      </c>
    </row>
    <row r="22" spans="1:8" x14ac:dyDescent="0.25">
      <c r="A22" s="208">
        <v>27</v>
      </c>
      <c r="B22" t="s">
        <v>97</v>
      </c>
      <c r="C22" t="s">
        <v>122</v>
      </c>
      <c r="F22" s="208">
        <v>45</v>
      </c>
      <c r="G22" t="s">
        <v>97</v>
      </c>
      <c r="H22" t="s">
        <v>122</v>
      </c>
    </row>
    <row r="23" spans="1:8" x14ac:dyDescent="0.25">
      <c r="A23" s="208">
        <v>19</v>
      </c>
      <c r="B23" t="s">
        <v>97</v>
      </c>
      <c r="C23" t="s">
        <v>122</v>
      </c>
      <c r="F23" s="208">
        <v>19</v>
      </c>
      <c r="G23" t="s">
        <v>97</v>
      </c>
      <c r="H23" t="s">
        <v>122</v>
      </c>
    </row>
    <row r="24" spans="1:8" x14ac:dyDescent="0.25">
      <c r="A24" s="208">
        <v>34</v>
      </c>
      <c r="B24" t="s">
        <v>97</v>
      </c>
      <c r="C24" t="s">
        <v>122</v>
      </c>
      <c r="F24" s="208">
        <v>60</v>
      </c>
      <c r="G24" t="s">
        <v>97</v>
      </c>
      <c r="H24" t="s">
        <v>122</v>
      </c>
    </row>
    <row r="25" spans="1:8" x14ac:dyDescent="0.25">
      <c r="A25" s="208">
        <v>51</v>
      </c>
      <c r="B25" t="s">
        <v>97</v>
      </c>
      <c r="C25" t="s">
        <v>122</v>
      </c>
      <c r="F25" s="208">
        <v>33</v>
      </c>
      <c r="G25" t="s">
        <v>97</v>
      </c>
      <c r="H25" t="s">
        <v>122</v>
      </c>
    </row>
    <row r="26" spans="1:8" x14ac:dyDescent="0.25">
      <c r="A26" s="208">
        <v>47</v>
      </c>
      <c r="B26" t="s">
        <v>97</v>
      </c>
      <c r="C26" t="s">
        <v>122</v>
      </c>
      <c r="F26" s="208">
        <v>20</v>
      </c>
      <c r="G26" t="s">
        <v>97</v>
      </c>
      <c r="H26" t="s">
        <v>122</v>
      </c>
    </row>
    <row r="27" spans="1:8" x14ac:dyDescent="0.25">
      <c r="A27" s="208">
        <v>31</v>
      </c>
      <c r="B27" t="s">
        <v>97</v>
      </c>
      <c r="C27" t="s">
        <v>122</v>
      </c>
      <c r="F27" s="208">
        <v>88</v>
      </c>
      <c r="G27" t="s">
        <v>97</v>
      </c>
      <c r="H27" t="s">
        <v>122</v>
      </c>
    </row>
    <row r="28" spans="1:8" x14ac:dyDescent="0.25">
      <c r="A28" s="208">
        <v>22</v>
      </c>
      <c r="B28" t="s">
        <v>97</v>
      </c>
      <c r="C28" t="s">
        <v>122</v>
      </c>
      <c r="F28" s="208">
        <v>64</v>
      </c>
      <c r="G28" t="s">
        <v>97</v>
      </c>
      <c r="H28" t="s">
        <v>122</v>
      </c>
    </row>
    <row r="29" spans="1:8" x14ac:dyDescent="0.25">
      <c r="A29" s="208">
        <v>24</v>
      </c>
      <c r="B29" t="s">
        <v>97</v>
      </c>
      <c r="C29" t="s">
        <v>122</v>
      </c>
      <c r="F29" s="208">
        <v>37</v>
      </c>
      <c r="G29" t="s">
        <v>97</v>
      </c>
      <c r="H29" t="s">
        <v>122</v>
      </c>
    </row>
    <row r="30" spans="1:8" x14ac:dyDescent="0.25">
      <c r="A30" s="208">
        <v>35</v>
      </c>
      <c r="B30" t="s">
        <v>97</v>
      </c>
      <c r="C30" t="s">
        <v>122</v>
      </c>
      <c r="F30" s="208">
        <v>85</v>
      </c>
      <c r="G30" t="s">
        <v>97</v>
      </c>
      <c r="H30" t="s">
        <v>122</v>
      </c>
    </row>
    <row r="31" spans="1:8" x14ac:dyDescent="0.25">
      <c r="A31" s="208">
        <v>25</v>
      </c>
      <c r="B31" t="s">
        <v>97</v>
      </c>
      <c r="C31" t="s">
        <v>122</v>
      </c>
      <c r="F31" s="208">
        <v>33</v>
      </c>
      <c r="G31" t="s">
        <v>97</v>
      </c>
      <c r="H31" t="s">
        <v>122</v>
      </c>
    </row>
    <row r="32" spans="1:8" x14ac:dyDescent="0.25">
      <c r="A32" s="208">
        <v>17</v>
      </c>
      <c r="B32" t="s">
        <v>97</v>
      </c>
      <c r="C32" t="s">
        <v>122</v>
      </c>
      <c r="F32" s="208">
        <v>58</v>
      </c>
      <c r="G32" t="s">
        <v>97</v>
      </c>
      <c r="H32" t="s">
        <v>122</v>
      </c>
    </row>
    <row r="33" spans="1:8" x14ac:dyDescent="0.25">
      <c r="A33" s="208">
        <v>47</v>
      </c>
      <c r="B33" t="s">
        <v>97</v>
      </c>
      <c r="C33" t="s">
        <v>122</v>
      </c>
      <c r="F33" s="208">
        <v>31</v>
      </c>
      <c r="G33" t="s">
        <v>97</v>
      </c>
      <c r="H33" t="s">
        <v>122</v>
      </c>
    </row>
    <row r="34" spans="1:8" x14ac:dyDescent="0.25">
      <c r="A34" s="208">
        <v>40</v>
      </c>
      <c r="B34" t="s">
        <v>97</v>
      </c>
      <c r="C34" t="s">
        <v>122</v>
      </c>
      <c r="F34" s="208">
        <v>43</v>
      </c>
      <c r="G34" t="s">
        <v>97</v>
      </c>
      <c r="H34" t="s">
        <v>122</v>
      </c>
    </row>
    <row r="35" spans="1:8" x14ac:dyDescent="0.25">
      <c r="A35" s="208">
        <v>67</v>
      </c>
      <c r="B35" t="s">
        <v>97</v>
      </c>
      <c r="C35" t="s">
        <v>122</v>
      </c>
      <c r="F35" s="208">
        <v>63</v>
      </c>
      <c r="G35" t="s">
        <v>97</v>
      </c>
      <c r="H35" t="s">
        <v>122</v>
      </c>
    </row>
    <row r="36" spans="1:8" x14ac:dyDescent="0.25">
      <c r="A36" s="208">
        <v>21</v>
      </c>
      <c r="B36" t="s">
        <v>97</v>
      </c>
      <c r="C36" t="s">
        <v>122</v>
      </c>
      <c r="F36" s="208">
        <v>29</v>
      </c>
      <c r="G36" t="s">
        <v>97</v>
      </c>
      <c r="H36" t="s">
        <v>122</v>
      </c>
    </row>
    <row r="37" spans="1:8" x14ac:dyDescent="0.25">
      <c r="A37" s="208">
        <v>76</v>
      </c>
      <c r="B37" t="s">
        <v>97</v>
      </c>
      <c r="C37" t="s">
        <v>122</v>
      </c>
      <c r="F37" s="208">
        <v>41</v>
      </c>
      <c r="G37" t="s">
        <v>97</v>
      </c>
      <c r="H37" t="s">
        <v>122</v>
      </c>
    </row>
    <row r="38" spans="1:8" x14ac:dyDescent="0.25">
      <c r="A38" s="208">
        <v>15</v>
      </c>
      <c r="B38" t="s">
        <v>97</v>
      </c>
      <c r="C38" t="s">
        <v>122</v>
      </c>
      <c r="F38" s="208">
        <v>76</v>
      </c>
      <c r="G38" t="s">
        <v>97</v>
      </c>
      <c r="H38" t="s">
        <v>122</v>
      </c>
    </row>
    <row r="39" spans="1:8" x14ac:dyDescent="0.25">
      <c r="A39" s="208">
        <v>28</v>
      </c>
      <c r="B39" t="s">
        <v>97</v>
      </c>
      <c r="C39" t="s">
        <v>122</v>
      </c>
      <c r="F39" s="208">
        <v>19</v>
      </c>
      <c r="G39" t="s">
        <v>97</v>
      </c>
      <c r="H39" t="s">
        <v>122</v>
      </c>
    </row>
    <row r="40" spans="1:8" x14ac:dyDescent="0.25">
      <c r="A40" s="208">
        <v>64</v>
      </c>
      <c r="B40" t="s">
        <v>97</v>
      </c>
      <c r="C40" t="s">
        <v>122</v>
      </c>
      <c r="F40" s="208">
        <v>18</v>
      </c>
      <c r="G40" t="s">
        <v>97</v>
      </c>
      <c r="H40" t="s">
        <v>122</v>
      </c>
    </row>
    <row r="41" spans="1:8" x14ac:dyDescent="0.25">
      <c r="A41" s="208">
        <v>50</v>
      </c>
      <c r="B41" t="s">
        <v>97</v>
      </c>
      <c r="C41" t="s">
        <v>122</v>
      </c>
      <c r="F41" s="208">
        <v>46</v>
      </c>
      <c r="G41" t="s">
        <v>97</v>
      </c>
      <c r="H41" t="s">
        <v>122</v>
      </c>
    </row>
    <row r="42" spans="1:8" x14ac:dyDescent="0.25">
      <c r="A42" s="208">
        <v>21</v>
      </c>
      <c r="B42" t="s">
        <v>97</v>
      </c>
      <c r="C42" t="s">
        <v>122</v>
      </c>
      <c r="F42" s="208">
        <v>13</v>
      </c>
      <c r="G42" t="s">
        <v>97</v>
      </c>
      <c r="H42" t="s">
        <v>122</v>
      </c>
    </row>
    <row r="43" spans="1:8" x14ac:dyDescent="0.25">
      <c r="A43" s="208">
        <v>15</v>
      </c>
      <c r="B43" t="s">
        <v>97</v>
      </c>
      <c r="C43" t="s">
        <v>122</v>
      </c>
      <c r="F43" s="208">
        <v>19</v>
      </c>
      <c r="G43" t="s">
        <v>97</v>
      </c>
      <c r="H43" t="s">
        <v>122</v>
      </c>
    </row>
    <row r="44" spans="1:8" x14ac:dyDescent="0.25">
      <c r="A44" s="208">
        <v>43</v>
      </c>
      <c r="B44" t="s">
        <v>97</v>
      </c>
      <c r="C44" t="s">
        <v>122</v>
      </c>
      <c r="F44" s="208">
        <v>73</v>
      </c>
      <c r="G44" t="s">
        <v>97</v>
      </c>
      <c r="H44" t="s">
        <v>122</v>
      </c>
    </row>
    <row r="45" spans="1:8" x14ac:dyDescent="0.25">
      <c r="A45" s="208">
        <v>64</v>
      </c>
      <c r="B45" t="s">
        <v>97</v>
      </c>
      <c r="C45" t="s">
        <v>122</v>
      </c>
      <c r="F45" s="208">
        <v>14</v>
      </c>
      <c r="G45" t="s">
        <v>97</v>
      </c>
      <c r="H45" t="s">
        <v>122</v>
      </c>
    </row>
    <row r="46" spans="1:8" x14ac:dyDescent="0.25">
      <c r="A46" s="208">
        <v>47</v>
      </c>
      <c r="B46" t="s">
        <v>97</v>
      </c>
      <c r="C46" t="s">
        <v>122</v>
      </c>
      <c r="F46" s="208">
        <v>66</v>
      </c>
      <c r="G46" t="s">
        <v>97</v>
      </c>
      <c r="H46" t="s">
        <v>122</v>
      </c>
    </row>
    <row r="47" spans="1:8" x14ac:dyDescent="0.25">
      <c r="A47" s="208">
        <v>24</v>
      </c>
      <c r="B47" t="s">
        <v>97</v>
      </c>
      <c r="C47" t="s">
        <v>122</v>
      </c>
      <c r="F47" s="208">
        <v>69</v>
      </c>
      <c r="G47" t="s">
        <v>97</v>
      </c>
      <c r="H47" t="s">
        <v>122</v>
      </c>
    </row>
    <row r="48" spans="1:8" x14ac:dyDescent="0.25">
      <c r="A48" s="208">
        <v>22</v>
      </c>
      <c r="B48" t="s">
        <v>97</v>
      </c>
      <c r="C48" t="s">
        <v>122</v>
      </c>
      <c r="F48" s="208">
        <v>30</v>
      </c>
      <c r="G48" t="s">
        <v>97</v>
      </c>
      <c r="H48" t="s">
        <v>122</v>
      </c>
    </row>
    <row r="49" spans="1:8" x14ac:dyDescent="0.25">
      <c r="A49" s="208">
        <v>24</v>
      </c>
      <c r="B49" t="s">
        <v>97</v>
      </c>
      <c r="C49" t="s">
        <v>122</v>
      </c>
      <c r="F49" s="208">
        <v>25</v>
      </c>
      <c r="G49" t="s">
        <v>97</v>
      </c>
      <c r="H49" t="s">
        <v>122</v>
      </c>
    </row>
    <row r="50" spans="1:8" x14ac:dyDescent="0.25">
      <c r="A50" s="208">
        <v>31</v>
      </c>
      <c r="B50" t="s">
        <v>97</v>
      </c>
      <c r="C50" t="s">
        <v>122</v>
      </c>
      <c r="F50" s="208">
        <v>14</v>
      </c>
      <c r="G50" t="s">
        <v>97</v>
      </c>
      <c r="H50" t="s">
        <v>122</v>
      </c>
    </row>
    <row r="51" spans="1:8" x14ac:dyDescent="0.25">
      <c r="A51" s="208">
        <v>50</v>
      </c>
      <c r="B51" t="s">
        <v>97</v>
      </c>
      <c r="C51" t="s">
        <v>122</v>
      </c>
      <c r="F51" s="208">
        <v>67</v>
      </c>
      <c r="G51" t="s">
        <v>97</v>
      </c>
      <c r="H51" t="s">
        <v>122</v>
      </c>
    </row>
    <row r="52" spans="1:8" x14ac:dyDescent="0.25">
      <c r="A52" s="208">
        <v>47</v>
      </c>
      <c r="B52" t="s">
        <v>97</v>
      </c>
      <c r="C52" t="s">
        <v>122</v>
      </c>
      <c r="F52" s="208">
        <v>74</v>
      </c>
      <c r="G52" t="s">
        <v>97</v>
      </c>
      <c r="H52" t="s">
        <v>122</v>
      </c>
    </row>
    <row r="53" spans="1:8" x14ac:dyDescent="0.25">
      <c r="A53" s="208">
        <v>67</v>
      </c>
      <c r="B53" t="s">
        <v>97</v>
      </c>
      <c r="C53" t="s">
        <v>122</v>
      </c>
      <c r="F53" s="208">
        <v>20</v>
      </c>
      <c r="G53" t="s">
        <v>97</v>
      </c>
      <c r="H53" t="s">
        <v>122</v>
      </c>
    </row>
    <row r="54" spans="1:8" x14ac:dyDescent="0.25">
      <c r="A54" s="208">
        <v>44</v>
      </c>
      <c r="B54" t="s">
        <v>97</v>
      </c>
      <c r="C54" t="s">
        <v>122</v>
      </c>
      <c r="F54" s="208">
        <v>44</v>
      </c>
      <c r="G54" t="s">
        <v>97</v>
      </c>
      <c r="H54" t="s">
        <v>122</v>
      </c>
    </row>
    <row r="55" spans="1:8" x14ac:dyDescent="0.25">
      <c r="A55" s="208">
        <v>15</v>
      </c>
      <c r="B55" t="s">
        <v>97</v>
      </c>
      <c r="C55" t="s">
        <v>122</v>
      </c>
      <c r="F55" s="208">
        <v>57</v>
      </c>
      <c r="G55" t="s">
        <v>97</v>
      </c>
      <c r="H55" t="s">
        <v>122</v>
      </c>
    </row>
    <row r="56" spans="1:8" x14ac:dyDescent="0.25">
      <c r="A56" s="208">
        <v>55</v>
      </c>
      <c r="B56" t="s">
        <v>97</v>
      </c>
      <c r="C56" t="s">
        <v>122</v>
      </c>
      <c r="F56" s="208">
        <v>16</v>
      </c>
      <c r="G56" t="s">
        <v>97</v>
      </c>
      <c r="H56" t="s">
        <v>122</v>
      </c>
    </row>
    <row r="57" spans="1:8" x14ac:dyDescent="0.25">
      <c r="A57" s="208">
        <v>47</v>
      </c>
      <c r="B57" t="s">
        <v>97</v>
      </c>
      <c r="C57" t="s">
        <v>122</v>
      </c>
      <c r="F57" s="208">
        <v>64</v>
      </c>
      <c r="G57" t="s">
        <v>97</v>
      </c>
      <c r="H57" t="s">
        <v>122</v>
      </c>
    </row>
    <row r="58" spans="1:8" x14ac:dyDescent="0.25">
      <c r="A58" s="208">
        <v>18</v>
      </c>
      <c r="B58" t="s">
        <v>97</v>
      </c>
      <c r="C58" t="s">
        <v>122</v>
      </c>
      <c r="F58" s="208">
        <v>47</v>
      </c>
      <c r="G58" t="s">
        <v>97</v>
      </c>
      <c r="H58" t="s">
        <v>122</v>
      </c>
    </row>
    <row r="59" spans="1:8" x14ac:dyDescent="0.25">
      <c r="A59" s="208">
        <v>15</v>
      </c>
      <c r="B59" t="s">
        <v>97</v>
      </c>
      <c r="C59" t="s">
        <v>122</v>
      </c>
      <c r="F59" s="208">
        <v>36</v>
      </c>
      <c r="G59" t="s">
        <v>97</v>
      </c>
      <c r="H59" t="s">
        <v>122</v>
      </c>
    </row>
    <row r="60" spans="1:8" x14ac:dyDescent="0.25">
      <c r="A60" s="208">
        <v>28</v>
      </c>
      <c r="B60" t="s">
        <v>97</v>
      </c>
      <c r="C60" t="s">
        <v>122</v>
      </c>
      <c r="F60" s="208">
        <v>54</v>
      </c>
      <c r="G60" t="s">
        <v>97</v>
      </c>
      <c r="H60" t="s">
        <v>122</v>
      </c>
    </row>
    <row r="61" spans="1:8" x14ac:dyDescent="0.25">
      <c r="A61" s="208">
        <v>28</v>
      </c>
      <c r="B61" t="s">
        <v>97</v>
      </c>
      <c r="C61" t="s">
        <v>122</v>
      </c>
      <c r="F61" s="208">
        <v>21</v>
      </c>
      <c r="G61" t="s">
        <v>97</v>
      </c>
      <c r="H61" t="s">
        <v>122</v>
      </c>
    </row>
    <row r="62" spans="1:8" x14ac:dyDescent="0.25">
      <c r="A62" s="208">
        <v>42</v>
      </c>
      <c r="B62" t="s">
        <v>97</v>
      </c>
      <c r="C62" t="s">
        <v>122</v>
      </c>
      <c r="F62" s="208">
        <v>41</v>
      </c>
      <c r="G62" t="s">
        <v>97</v>
      </c>
      <c r="H62" t="s">
        <v>122</v>
      </c>
    </row>
    <row r="63" spans="1:8" x14ac:dyDescent="0.25">
      <c r="A63" s="208">
        <v>15</v>
      </c>
      <c r="B63" t="s">
        <v>97</v>
      </c>
      <c r="C63" t="s">
        <v>122</v>
      </c>
      <c r="F63" s="208">
        <v>62</v>
      </c>
      <c r="G63" t="s">
        <v>97</v>
      </c>
      <c r="H63" t="s">
        <v>122</v>
      </c>
    </row>
    <row r="64" spans="1:8" x14ac:dyDescent="0.25">
      <c r="A64" s="208">
        <v>79</v>
      </c>
      <c r="B64" t="s">
        <v>97</v>
      </c>
      <c r="C64" t="s">
        <v>122</v>
      </c>
      <c r="F64" s="208">
        <v>89</v>
      </c>
      <c r="G64" t="s">
        <v>97</v>
      </c>
      <c r="H64" t="s">
        <v>122</v>
      </c>
    </row>
    <row r="65" spans="1:8" x14ac:dyDescent="0.25">
      <c r="A65" s="208">
        <v>18</v>
      </c>
      <c r="B65" t="s">
        <v>97</v>
      </c>
      <c r="C65" t="s">
        <v>122</v>
      </c>
      <c r="F65" s="208">
        <v>41</v>
      </c>
      <c r="G65" t="s">
        <v>97</v>
      </c>
      <c r="H65" t="s">
        <v>122</v>
      </c>
    </row>
    <row r="66" spans="1:8" x14ac:dyDescent="0.25">
      <c r="A66" s="208">
        <v>49</v>
      </c>
      <c r="B66" t="s">
        <v>97</v>
      </c>
      <c r="C66" t="s">
        <v>122</v>
      </c>
      <c r="F66" s="208">
        <v>33</v>
      </c>
      <c r="G66" t="s">
        <v>97</v>
      </c>
      <c r="H66" t="s">
        <v>122</v>
      </c>
    </row>
    <row r="67" spans="1:8" x14ac:dyDescent="0.25">
      <c r="A67" s="208">
        <v>69</v>
      </c>
      <c r="B67" t="s">
        <v>97</v>
      </c>
      <c r="C67" t="s">
        <v>122</v>
      </c>
      <c r="F67" s="208">
        <v>14</v>
      </c>
      <c r="G67" t="s">
        <v>97</v>
      </c>
      <c r="H67" t="s">
        <v>122</v>
      </c>
    </row>
    <row r="68" spans="1:8" x14ac:dyDescent="0.25">
      <c r="A68" s="208">
        <v>27</v>
      </c>
      <c r="B68" t="s">
        <v>97</v>
      </c>
      <c r="C68" t="s">
        <v>122</v>
      </c>
      <c r="F68" s="208">
        <v>67</v>
      </c>
      <c r="G68" t="s">
        <v>97</v>
      </c>
      <c r="H68" t="s">
        <v>122</v>
      </c>
    </row>
    <row r="69" spans="1:8" x14ac:dyDescent="0.25">
      <c r="A69" s="208">
        <v>43</v>
      </c>
      <c r="B69" t="s">
        <v>97</v>
      </c>
      <c r="C69" t="s">
        <v>122</v>
      </c>
      <c r="F69" s="208">
        <v>30</v>
      </c>
      <c r="G69" t="s">
        <v>97</v>
      </c>
      <c r="H69" t="s">
        <v>122</v>
      </c>
    </row>
    <row r="70" spans="1:8" x14ac:dyDescent="0.25">
      <c r="A70" s="208">
        <v>40</v>
      </c>
      <c r="B70" t="s">
        <v>97</v>
      </c>
      <c r="C70" t="s">
        <v>122</v>
      </c>
      <c r="F70" s="208">
        <v>26</v>
      </c>
      <c r="G70" t="s">
        <v>97</v>
      </c>
      <c r="H70" t="s">
        <v>122</v>
      </c>
    </row>
    <row r="71" spans="1:8" x14ac:dyDescent="0.25">
      <c r="A71" s="208">
        <v>71</v>
      </c>
      <c r="B71" t="s">
        <v>97</v>
      </c>
      <c r="C71" t="s">
        <v>122</v>
      </c>
      <c r="F71" s="208">
        <v>83</v>
      </c>
      <c r="G71" t="s">
        <v>97</v>
      </c>
      <c r="H71" t="s">
        <v>122</v>
      </c>
    </row>
    <row r="72" spans="1:8" x14ac:dyDescent="0.25">
      <c r="A72" s="208">
        <v>13</v>
      </c>
      <c r="B72" t="s">
        <v>97</v>
      </c>
      <c r="C72" t="s">
        <v>122</v>
      </c>
      <c r="F72" s="208">
        <v>21</v>
      </c>
      <c r="G72" t="s">
        <v>97</v>
      </c>
      <c r="H72" t="s">
        <v>122</v>
      </c>
    </row>
    <row r="73" spans="1:8" x14ac:dyDescent="0.25">
      <c r="A73" s="208">
        <v>65</v>
      </c>
      <c r="B73" t="s">
        <v>97</v>
      </c>
      <c r="C73" t="s">
        <v>122</v>
      </c>
      <c r="F73" s="208">
        <v>43</v>
      </c>
      <c r="G73" t="s">
        <v>97</v>
      </c>
      <c r="H73" t="s">
        <v>122</v>
      </c>
    </row>
    <row r="74" spans="1:8" x14ac:dyDescent="0.25">
      <c r="A74" s="208">
        <v>17</v>
      </c>
      <c r="B74" t="s">
        <v>97</v>
      </c>
      <c r="C74" t="s">
        <v>122</v>
      </c>
      <c r="F74" s="208">
        <v>78</v>
      </c>
      <c r="G74" t="s">
        <v>97</v>
      </c>
      <c r="H74" t="s">
        <v>122</v>
      </c>
    </row>
    <row r="75" spans="1:8" x14ac:dyDescent="0.25">
      <c r="A75" s="208">
        <v>14</v>
      </c>
      <c r="B75" t="s">
        <v>97</v>
      </c>
      <c r="C75" t="s">
        <v>122</v>
      </c>
      <c r="F75" s="208">
        <v>52</v>
      </c>
      <c r="G75" t="s">
        <v>97</v>
      </c>
      <c r="H75" t="s">
        <v>122</v>
      </c>
    </row>
    <row r="76" spans="1:8" x14ac:dyDescent="0.25">
      <c r="A76" s="208">
        <v>53</v>
      </c>
      <c r="B76" t="s">
        <v>97</v>
      </c>
      <c r="C76" t="s">
        <v>122</v>
      </c>
      <c r="F76" s="208">
        <v>61</v>
      </c>
      <c r="G76" t="s">
        <v>97</v>
      </c>
      <c r="H76" t="s">
        <v>122</v>
      </c>
    </row>
    <row r="77" spans="1:8" x14ac:dyDescent="0.25">
      <c r="A77" s="208">
        <v>44</v>
      </c>
      <c r="B77" t="s">
        <v>97</v>
      </c>
      <c r="C77" t="s">
        <v>122</v>
      </c>
      <c r="F77" s="208">
        <v>14</v>
      </c>
      <c r="G77" t="s">
        <v>97</v>
      </c>
      <c r="H77" t="s">
        <v>122</v>
      </c>
    </row>
    <row r="78" spans="1:8" x14ac:dyDescent="0.25">
      <c r="A78" s="208">
        <v>54</v>
      </c>
      <c r="B78" t="s">
        <v>97</v>
      </c>
      <c r="C78" t="s">
        <v>122</v>
      </c>
      <c r="F78" s="208">
        <v>37</v>
      </c>
      <c r="G78" t="s">
        <v>97</v>
      </c>
      <c r="H78" t="s">
        <v>122</v>
      </c>
    </row>
    <row r="79" spans="1:8" x14ac:dyDescent="0.25">
      <c r="A79" s="208">
        <v>54</v>
      </c>
      <c r="B79" t="s">
        <v>97</v>
      </c>
      <c r="C79" t="s">
        <v>122</v>
      </c>
      <c r="F79" s="208">
        <v>23</v>
      </c>
      <c r="G79" t="s">
        <v>97</v>
      </c>
      <c r="H79" t="s">
        <v>122</v>
      </c>
    </row>
    <row r="80" spans="1:8" x14ac:dyDescent="0.25">
      <c r="A80" s="208">
        <v>27</v>
      </c>
      <c r="B80" t="s">
        <v>97</v>
      </c>
      <c r="C80" t="s">
        <v>122</v>
      </c>
      <c r="F80" s="208">
        <v>40</v>
      </c>
      <c r="G80" t="s">
        <v>97</v>
      </c>
      <c r="H80" t="s">
        <v>122</v>
      </c>
    </row>
    <row r="81" spans="1:13" x14ac:dyDescent="0.25">
      <c r="A81" s="208">
        <v>13</v>
      </c>
      <c r="B81" t="s">
        <v>97</v>
      </c>
      <c r="C81" t="s">
        <v>122</v>
      </c>
      <c r="F81" s="208">
        <v>63</v>
      </c>
      <c r="G81" t="s">
        <v>97</v>
      </c>
      <c r="H81" t="s">
        <v>122</v>
      </c>
    </row>
    <row r="82" spans="1:13" x14ac:dyDescent="0.25">
      <c r="A82" s="208">
        <v>71</v>
      </c>
      <c r="B82" t="s">
        <v>97</v>
      </c>
      <c r="C82" t="s">
        <v>122</v>
      </c>
      <c r="F82" s="208">
        <v>13</v>
      </c>
      <c r="G82" t="s">
        <v>97</v>
      </c>
      <c r="H82" t="s">
        <v>122</v>
      </c>
    </row>
    <row r="83" spans="1:13" x14ac:dyDescent="0.25">
      <c r="A83" s="208">
        <v>23</v>
      </c>
      <c r="B83" t="s">
        <v>97</v>
      </c>
      <c r="C83" t="s">
        <v>122</v>
      </c>
      <c r="F83" s="208">
        <v>53</v>
      </c>
      <c r="G83" t="s">
        <v>97</v>
      </c>
      <c r="H83" t="s">
        <v>122</v>
      </c>
    </row>
    <row r="84" spans="1:13" x14ac:dyDescent="0.25">
      <c r="A84" s="208">
        <v>30</v>
      </c>
      <c r="B84" t="s">
        <v>97</v>
      </c>
      <c r="C84" t="s">
        <v>122</v>
      </c>
      <c r="F84" s="208">
        <v>66</v>
      </c>
      <c r="G84" t="s">
        <v>97</v>
      </c>
      <c r="H84" t="s">
        <v>122</v>
      </c>
    </row>
    <row r="85" spans="1:13" x14ac:dyDescent="0.25">
      <c r="A85" s="208">
        <v>70</v>
      </c>
      <c r="B85" t="s">
        <v>97</v>
      </c>
      <c r="C85" t="s">
        <v>122</v>
      </c>
      <c r="F85" s="208">
        <v>81</v>
      </c>
      <c r="G85" t="s">
        <v>97</v>
      </c>
      <c r="H85" t="s">
        <v>122</v>
      </c>
    </row>
    <row r="86" spans="1:13" x14ac:dyDescent="0.25">
      <c r="A86" s="208">
        <v>14</v>
      </c>
      <c r="B86" t="s">
        <v>97</v>
      </c>
      <c r="C86" t="s">
        <v>122</v>
      </c>
      <c r="F86" s="208">
        <v>30</v>
      </c>
      <c r="G86" t="s">
        <v>97</v>
      </c>
      <c r="H86" t="s">
        <v>122</v>
      </c>
    </row>
    <row r="87" spans="1:13" x14ac:dyDescent="0.25">
      <c r="A87" s="208">
        <v>48</v>
      </c>
      <c r="B87" t="s">
        <v>97</v>
      </c>
      <c r="C87" t="s">
        <v>122</v>
      </c>
      <c r="F87" s="208">
        <v>37</v>
      </c>
      <c r="G87" t="s">
        <v>97</v>
      </c>
      <c r="H87" t="s">
        <v>122</v>
      </c>
    </row>
    <row r="88" spans="1:13" x14ac:dyDescent="0.25">
      <c r="A88" s="208">
        <v>46</v>
      </c>
      <c r="B88" t="s">
        <v>97</v>
      </c>
      <c r="C88" t="s">
        <v>122</v>
      </c>
      <c r="F88" s="208">
        <v>19</v>
      </c>
      <c r="G88" t="s">
        <v>97</v>
      </c>
      <c r="H88" t="s">
        <v>122</v>
      </c>
    </row>
    <row r="89" spans="1:13" x14ac:dyDescent="0.25">
      <c r="A89" s="208">
        <v>49</v>
      </c>
      <c r="B89" t="s">
        <v>98</v>
      </c>
      <c r="C89" t="s">
        <v>123</v>
      </c>
      <c r="F89" s="208">
        <v>52</v>
      </c>
      <c r="G89" t="s">
        <v>97</v>
      </c>
      <c r="H89" t="s">
        <v>122</v>
      </c>
    </row>
    <row r="90" spans="1:13" x14ac:dyDescent="0.25">
      <c r="A90" s="208">
        <v>22</v>
      </c>
      <c r="B90" t="s">
        <v>98</v>
      </c>
      <c r="C90" t="s">
        <v>123</v>
      </c>
      <c r="F90" s="208">
        <v>65</v>
      </c>
      <c r="G90" t="s">
        <v>97</v>
      </c>
      <c r="H90" t="s">
        <v>122</v>
      </c>
    </row>
    <row r="91" spans="1:13" x14ac:dyDescent="0.25">
      <c r="A91" s="208">
        <v>56</v>
      </c>
      <c r="B91" t="s">
        <v>98</v>
      </c>
      <c r="C91" t="s">
        <v>123</v>
      </c>
      <c r="F91" s="208">
        <v>23</v>
      </c>
      <c r="G91" t="s">
        <v>98</v>
      </c>
      <c r="H91" t="s">
        <v>123</v>
      </c>
      <c r="L91">
        <v>31</v>
      </c>
      <c r="M91">
        <v>30</v>
      </c>
    </row>
    <row r="92" spans="1:13" x14ac:dyDescent="0.25">
      <c r="A92" s="208">
        <v>30</v>
      </c>
      <c r="B92" t="s">
        <v>98</v>
      </c>
      <c r="C92" t="s">
        <v>123</v>
      </c>
      <c r="F92" s="208">
        <v>62</v>
      </c>
      <c r="G92" t="s">
        <v>98</v>
      </c>
      <c r="H92" t="s">
        <v>123</v>
      </c>
      <c r="L92">
        <v>8</v>
      </c>
      <c r="M92">
        <v>4</v>
      </c>
    </row>
    <row r="93" spans="1:13" x14ac:dyDescent="0.25">
      <c r="A93" s="208">
        <v>20</v>
      </c>
      <c r="B93" t="s">
        <v>98</v>
      </c>
      <c r="C93" t="s">
        <v>123</v>
      </c>
      <c r="F93" s="208">
        <v>67</v>
      </c>
      <c r="G93" t="s">
        <v>98</v>
      </c>
      <c r="H93" t="s">
        <v>123</v>
      </c>
      <c r="L93">
        <v>31</v>
      </c>
      <c r="M93">
        <v>28</v>
      </c>
    </row>
    <row r="94" spans="1:13" x14ac:dyDescent="0.25">
      <c r="A94" s="208">
        <v>42</v>
      </c>
      <c r="B94" t="s">
        <v>98</v>
      </c>
      <c r="C94" t="s">
        <v>123</v>
      </c>
      <c r="F94" s="208">
        <v>24</v>
      </c>
      <c r="G94" t="s">
        <v>98</v>
      </c>
      <c r="H94" t="s">
        <v>123</v>
      </c>
      <c r="L94">
        <v>17</v>
      </c>
      <c r="M94">
        <v>15</v>
      </c>
    </row>
    <row r="95" spans="1:13" x14ac:dyDescent="0.25">
      <c r="A95" s="208">
        <v>55</v>
      </c>
      <c r="B95" t="s">
        <v>98</v>
      </c>
      <c r="C95" t="s">
        <v>123</v>
      </c>
      <c r="F95" s="208">
        <v>56</v>
      </c>
      <c r="G95" t="s">
        <v>98</v>
      </c>
      <c r="H95" t="s">
        <v>123</v>
      </c>
      <c r="L95">
        <v>14</v>
      </c>
      <c r="M95">
        <v>19</v>
      </c>
    </row>
    <row r="96" spans="1:13" x14ac:dyDescent="0.25">
      <c r="A96" s="208">
        <v>46</v>
      </c>
      <c r="B96" t="s">
        <v>98</v>
      </c>
      <c r="C96" t="s">
        <v>123</v>
      </c>
      <c r="F96" s="208">
        <v>79</v>
      </c>
      <c r="G96" t="s">
        <v>98</v>
      </c>
      <c r="H96" t="s">
        <v>123</v>
      </c>
      <c r="L96">
        <v>17</v>
      </c>
      <c r="M96">
        <v>7</v>
      </c>
    </row>
    <row r="97" spans="1:13" x14ac:dyDescent="0.25">
      <c r="A97" s="208">
        <v>20</v>
      </c>
      <c r="B97" t="s">
        <v>98</v>
      </c>
      <c r="C97" t="s">
        <v>123</v>
      </c>
      <c r="F97" s="208">
        <v>84</v>
      </c>
      <c r="G97" t="s">
        <v>98</v>
      </c>
      <c r="H97" t="s">
        <v>123</v>
      </c>
      <c r="L97">
        <v>35</v>
      </c>
      <c r="M97">
        <v>8</v>
      </c>
    </row>
    <row r="98" spans="1:13" x14ac:dyDescent="0.25">
      <c r="A98" s="208">
        <v>80</v>
      </c>
      <c r="B98" t="s">
        <v>98</v>
      </c>
      <c r="C98" t="s">
        <v>123</v>
      </c>
      <c r="F98" s="208">
        <v>67</v>
      </c>
      <c r="G98" t="s">
        <v>98</v>
      </c>
      <c r="H98" t="s">
        <v>123</v>
      </c>
      <c r="L98">
        <v>233</v>
      </c>
      <c r="M98">
        <v>56</v>
      </c>
    </row>
    <row r="99" spans="1:13" x14ac:dyDescent="0.25">
      <c r="A99" s="208">
        <v>74</v>
      </c>
      <c r="B99" t="s">
        <v>98</v>
      </c>
      <c r="C99" t="s">
        <v>123</v>
      </c>
      <c r="F99" s="208">
        <v>68</v>
      </c>
      <c r="G99" t="s">
        <v>98</v>
      </c>
      <c r="H99" t="s">
        <v>123</v>
      </c>
      <c r="L99">
        <v>76</v>
      </c>
      <c r="M99">
        <v>46</v>
      </c>
    </row>
    <row r="100" spans="1:13" x14ac:dyDescent="0.25">
      <c r="A100" s="208">
        <v>24</v>
      </c>
      <c r="B100" t="s">
        <v>98</v>
      </c>
      <c r="C100" t="s">
        <v>123</v>
      </c>
      <c r="F100" s="208">
        <v>18</v>
      </c>
      <c r="G100" t="s">
        <v>98</v>
      </c>
      <c r="H100" t="s">
        <v>123</v>
      </c>
      <c r="L100">
        <v>23</v>
      </c>
      <c r="M100">
        <v>25</v>
      </c>
    </row>
    <row r="101" spans="1:13" x14ac:dyDescent="0.25">
      <c r="A101" s="208">
        <v>56</v>
      </c>
      <c r="B101" t="s">
        <v>98</v>
      </c>
      <c r="C101" t="s">
        <v>123</v>
      </c>
      <c r="F101" s="208">
        <v>77</v>
      </c>
      <c r="G101" t="s">
        <v>98</v>
      </c>
      <c r="H101" t="s">
        <v>123</v>
      </c>
      <c r="L101">
        <v>26</v>
      </c>
      <c r="M101">
        <v>31</v>
      </c>
    </row>
    <row r="102" spans="1:13" x14ac:dyDescent="0.25">
      <c r="A102" s="208">
        <v>25</v>
      </c>
      <c r="B102" t="s">
        <v>98</v>
      </c>
      <c r="C102" t="s">
        <v>123</v>
      </c>
      <c r="F102" s="208">
        <v>84</v>
      </c>
      <c r="G102" t="s">
        <v>98</v>
      </c>
      <c r="H102" t="s">
        <v>123</v>
      </c>
      <c r="L102">
        <v>27</v>
      </c>
      <c r="M102">
        <v>22</v>
      </c>
    </row>
    <row r="103" spans="1:13" x14ac:dyDescent="0.25">
      <c r="A103" s="208">
        <v>17</v>
      </c>
      <c r="B103" t="s">
        <v>98</v>
      </c>
      <c r="C103" t="s">
        <v>123</v>
      </c>
      <c r="F103" s="208">
        <v>47</v>
      </c>
      <c r="G103" t="s">
        <v>98</v>
      </c>
      <c r="H103" t="s">
        <v>123</v>
      </c>
      <c r="L103" s="166">
        <f>SUBTOTAL(9,L91:L102)</f>
        <v>538</v>
      </c>
      <c r="M103" s="166">
        <f>SUBTOTAL(9,M91:M102)</f>
        <v>291</v>
      </c>
    </row>
    <row r="104" spans="1:13" x14ac:dyDescent="0.25">
      <c r="A104" s="208">
        <v>48</v>
      </c>
      <c r="B104" t="s">
        <v>98</v>
      </c>
      <c r="C104" t="s">
        <v>123</v>
      </c>
      <c r="F104" s="208">
        <v>53</v>
      </c>
      <c r="G104" t="s">
        <v>98</v>
      </c>
      <c r="H104" t="s">
        <v>123</v>
      </c>
    </row>
    <row r="105" spans="1:13" x14ac:dyDescent="0.25">
      <c r="A105" s="208">
        <v>16</v>
      </c>
      <c r="B105" t="s">
        <v>98</v>
      </c>
      <c r="C105" t="s">
        <v>123</v>
      </c>
      <c r="F105" s="208">
        <v>34</v>
      </c>
      <c r="G105" t="s">
        <v>98</v>
      </c>
      <c r="H105" t="s">
        <v>123</v>
      </c>
    </row>
    <row r="106" spans="1:13" x14ac:dyDescent="0.25">
      <c r="A106" s="208">
        <v>84</v>
      </c>
      <c r="B106" t="s">
        <v>98</v>
      </c>
      <c r="C106" t="s">
        <v>123</v>
      </c>
      <c r="F106" s="208">
        <v>68</v>
      </c>
      <c r="G106" t="s">
        <v>98</v>
      </c>
      <c r="H106" t="s">
        <v>123</v>
      </c>
    </row>
    <row r="107" spans="1:13" x14ac:dyDescent="0.25">
      <c r="A107" s="208">
        <v>92</v>
      </c>
      <c r="B107" t="s">
        <v>98</v>
      </c>
      <c r="C107" t="s">
        <v>123</v>
      </c>
      <c r="F107" s="208">
        <v>18</v>
      </c>
      <c r="G107" t="s">
        <v>98</v>
      </c>
      <c r="H107" t="s">
        <v>123</v>
      </c>
    </row>
    <row r="108" spans="1:13" x14ac:dyDescent="0.25">
      <c r="A108" s="208">
        <v>62</v>
      </c>
      <c r="B108" t="s">
        <v>98</v>
      </c>
      <c r="C108" t="s">
        <v>123</v>
      </c>
      <c r="F108" s="208">
        <v>88</v>
      </c>
      <c r="G108" t="s">
        <v>98</v>
      </c>
      <c r="H108" t="s">
        <v>123</v>
      </c>
    </row>
    <row r="109" spans="1:13" x14ac:dyDescent="0.25">
      <c r="A109" s="208">
        <v>23</v>
      </c>
      <c r="B109" t="s">
        <v>98</v>
      </c>
      <c r="C109" t="s">
        <v>123</v>
      </c>
      <c r="F109" s="208">
        <v>53</v>
      </c>
      <c r="G109" t="s">
        <v>98</v>
      </c>
      <c r="H109" t="s">
        <v>123</v>
      </c>
    </row>
    <row r="110" spans="1:13" x14ac:dyDescent="0.25">
      <c r="A110" s="208">
        <v>41</v>
      </c>
      <c r="B110" t="s">
        <v>98</v>
      </c>
      <c r="C110" t="s">
        <v>123</v>
      </c>
      <c r="F110" s="208">
        <v>18</v>
      </c>
      <c r="G110" t="s">
        <v>98</v>
      </c>
      <c r="H110" t="s">
        <v>123</v>
      </c>
    </row>
    <row r="111" spans="1:13" x14ac:dyDescent="0.25">
      <c r="A111" s="208">
        <v>22</v>
      </c>
      <c r="B111" t="s">
        <v>98</v>
      </c>
      <c r="C111" t="s">
        <v>123</v>
      </c>
      <c r="F111" s="208">
        <v>47</v>
      </c>
      <c r="G111" t="s">
        <v>98</v>
      </c>
      <c r="H111" t="s">
        <v>123</v>
      </c>
    </row>
    <row r="112" spans="1:13" x14ac:dyDescent="0.25">
      <c r="A112" s="208">
        <v>70</v>
      </c>
      <c r="B112" t="s">
        <v>98</v>
      </c>
      <c r="C112" t="s">
        <v>123</v>
      </c>
      <c r="F112" s="208">
        <v>22</v>
      </c>
      <c r="G112" t="s">
        <v>98</v>
      </c>
      <c r="H112" t="s">
        <v>123</v>
      </c>
    </row>
    <row r="113" spans="1:8" x14ac:dyDescent="0.25">
      <c r="A113" s="208">
        <v>56</v>
      </c>
      <c r="B113" t="s">
        <v>98</v>
      </c>
      <c r="C113" t="s">
        <v>123</v>
      </c>
      <c r="F113" s="208">
        <v>38</v>
      </c>
      <c r="G113" t="s">
        <v>98</v>
      </c>
      <c r="H113" t="s">
        <v>123</v>
      </c>
    </row>
    <row r="114" spans="1:8" x14ac:dyDescent="0.25">
      <c r="A114" s="208">
        <v>49</v>
      </c>
      <c r="B114" t="s">
        <v>98</v>
      </c>
      <c r="C114" t="s">
        <v>123</v>
      </c>
      <c r="F114" s="208">
        <v>47</v>
      </c>
      <c r="G114" t="s">
        <v>98</v>
      </c>
      <c r="H114" t="s">
        <v>123</v>
      </c>
    </row>
    <row r="115" spans="1:8" x14ac:dyDescent="0.25">
      <c r="A115" s="208">
        <v>79</v>
      </c>
      <c r="B115" t="s">
        <v>98</v>
      </c>
      <c r="C115" t="s">
        <v>123</v>
      </c>
      <c r="F115" s="208">
        <v>17</v>
      </c>
      <c r="G115" t="s">
        <v>98</v>
      </c>
      <c r="H115" t="s">
        <v>123</v>
      </c>
    </row>
    <row r="116" spans="1:8" x14ac:dyDescent="0.25">
      <c r="A116" s="208">
        <v>44</v>
      </c>
      <c r="B116" t="s">
        <v>98</v>
      </c>
      <c r="C116" t="s">
        <v>123</v>
      </c>
      <c r="F116" s="208">
        <v>26</v>
      </c>
      <c r="G116" t="s">
        <v>98</v>
      </c>
      <c r="H116" t="s">
        <v>123</v>
      </c>
    </row>
    <row r="117" spans="1:8" x14ac:dyDescent="0.25">
      <c r="A117" s="208">
        <v>31</v>
      </c>
      <c r="B117" t="s">
        <v>98</v>
      </c>
      <c r="C117" t="s">
        <v>123</v>
      </c>
      <c r="F117" s="208">
        <v>57</v>
      </c>
      <c r="G117" t="s">
        <v>98</v>
      </c>
      <c r="H117" t="s">
        <v>123</v>
      </c>
    </row>
    <row r="118" spans="1:8" x14ac:dyDescent="0.25">
      <c r="A118" s="208">
        <v>24</v>
      </c>
      <c r="B118" t="s">
        <v>98</v>
      </c>
      <c r="C118" t="s">
        <v>123</v>
      </c>
      <c r="F118" s="208">
        <v>47</v>
      </c>
      <c r="G118" t="s">
        <v>98</v>
      </c>
      <c r="H118" t="s">
        <v>123</v>
      </c>
    </row>
    <row r="119" spans="1:8" x14ac:dyDescent="0.25">
      <c r="A119" s="208">
        <v>18</v>
      </c>
      <c r="B119" t="s">
        <v>98</v>
      </c>
      <c r="C119" t="s">
        <v>123</v>
      </c>
      <c r="F119" s="208">
        <v>13</v>
      </c>
      <c r="G119" t="s">
        <v>98</v>
      </c>
      <c r="H119" t="s">
        <v>123</v>
      </c>
    </row>
    <row r="120" spans="1:8" x14ac:dyDescent="0.25">
      <c r="A120" s="208">
        <v>41</v>
      </c>
      <c r="B120" t="s">
        <v>98</v>
      </c>
      <c r="C120" t="s">
        <v>123</v>
      </c>
      <c r="F120" s="208">
        <v>70</v>
      </c>
      <c r="G120" t="s">
        <v>98</v>
      </c>
      <c r="H120" t="s">
        <v>123</v>
      </c>
    </row>
    <row r="121" spans="1:8" x14ac:dyDescent="0.25">
      <c r="A121" s="208">
        <v>37</v>
      </c>
      <c r="B121" t="s">
        <v>98</v>
      </c>
      <c r="C121" t="s">
        <v>123</v>
      </c>
      <c r="F121" s="208">
        <v>49</v>
      </c>
      <c r="G121" t="s">
        <v>98</v>
      </c>
      <c r="H121" t="s">
        <v>123</v>
      </c>
    </row>
    <row r="122" spans="1:8" x14ac:dyDescent="0.25">
      <c r="A122" s="208">
        <v>18</v>
      </c>
      <c r="B122" t="s">
        <v>98</v>
      </c>
      <c r="C122" t="s">
        <v>123</v>
      </c>
      <c r="F122" s="208">
        <v>43</v>
      </c>
      <c r="G122" t="s">
        <v>98</v>
      </c>
      <c r="H122" t="s">
        <v>123</v>
      </c>
    </row>
    <row r="123" spans="1:8" x14ac:dyDescent="0.25">
      <c r="A123" s="208">
        <v>26</v>
      </c>
      <c r="B123" t="s">
        <v>98</v>
      </c>
      <c r="C123" t="s">
        <v>123</v>
      </c>
      <c r="F123" s="208">
        <v>63</v>
      </c>
      <c r="G123" t="s">
        <v>98</v>
      </c>
      <c r="H123" t="s">
        <v>123</v>
      </c>
    </row>
    <row r="124" spans="1:8" x14ac:dyDescent="0.25">
      <c r="A124" s="208">
        <v>18</v>
      </c>
      <c r="B124" t="s">
        <v>98</v>
      </c>
      <c r="C124" t="s">
        <v>123</v>
      </c>
      <c r="F124" s="208">
        <v>13</v>
      </c>
      <c r="G124" t="s">
        <v>98</v>
      </c>
      <c r="H124" t="s">
        <v>123</v>
      </c>
    </row>
    <row r="125" spans="1:8" x14ac:dyDescent="0.25">
      <c r="A125" s="208">
        <v>87</v>
      </c>
      <c r="B125" t="s">
        <v>98</v>
      </c>
      <c r="C125" t="s">
        <v>123</v>
      </c>
      <c r="F125" s="208">
        <v>32</v>
      </c>
      <c r="G125" t="s">
        <v>98</v>
      </c>
      <c r="H125" t="s">
        <v>123</v>
      </c>
    </row>
    <row r="126" spans="1:8" x14ac:dyDescent="0.25">
      <c r="A126" s="208">
        <v>67</v>
      </c>
      <c r="B126" t="s">
        <v>98</v>
      </c>
      <c r="C126" t="s">
        <v>123</v>
      </c>
      <c r="F126" s="208">
        <v>28</v>
      </c>
      <c r="G126" t="s">
        <v>98</v>
      </c>
      <c r="H126" t="s">
        <v>123</v>
      </c>
    </row>
    <row r="127" spans="1:8" x14ac:dyDescent="0.25">
      <c r="A127" s="208">
        <v>19</v>
      </c>
      <c r="B127" t="s">
        <v>98</v>
      </c>
      <c r="C127" t="s">
        <v>123</v>
      </c>
      <c r="F127" s="208">
        <v>53</v>
      </c>
      <c r="G127" t="s">
        <v>98</v>
      </c>
      <c r="H127" t="s">
        <v>123</v>
      </c>
    </row>
    <row r="128" spans="1:8" x14ac:dyDescent="0.25">
      <c r="A128" s="208">
        <v>27</v>
      </c>
      <c r="B128" t="s">
        <v>98</v>
      </c>
      <c r="C128" t="s">
        <v>123</v>
      </c>
      <c r="F128" s="208">
        <v>53</v>
      </c>
      <c r="G128" t="s">
        <v>98</v>
      </c>
      <c r="H128" t="s">
        <v>123</v>
      </c>
    </row>
    <row r="129" spans="1:8" x14ac:dyDescent="0.25">
      <c r="A129" s="208">
        <v>56</v>
      </c>
      <c r="B129" t="s">
        <v>98</v>
      </c>
      <c r="C129" t="s">
        <v>123</v>
      </c>
      <c r="F129" s="208">
        <v>83</v>
      </c>
      <c r="G129" t="s">
        <v>98</v>
      </c>
      <c r="H129" t="s">
        <v>123</v>
      </c>
    </row>
    <row r="130" spans="1:8" x14ac:dyDescent="0.25">
      <c r="A130" s="208">
        <v>58</v>
      </c>
      <c r="B130" t="s">
        <v>98</v>
      </c>
      <c r="C130" t="s">
        <v>123</v>
      </c>
      <c r="F130" s="208">
        <v>30</v>
      </c>
      <c r="G130" t="s">
        <v>98</v>
      </c>
      <c r="H130" t="s">
        <v>123</v>
      </c>
    </row>
    <row r="131" spans="1:8" x14ac:dyDescent="0.25">
      <c r="A131" s="208">
        <v>86</v>
      </c>
      <c r="B131" t="s">
        <v>98</v>
      </c>
      <c r="C131" t="s">
        <v>123</v>
      </c>
      <c r="F131" s="208">
        <v>42</v>
      </c>
      <c r="G131" t="s">
        <v>98</v>
      </c>
      <c r="H131" t="s">
        <v>123</v>
      </c>
    </row>
    <row r="132" spans="1:8" x14ac:dyDescent="0.25">
      <c r="A132" s="208">
        <v>81</v>
      </c>
      <c r="B132" t="s">
        <v>98</v>
      </c>
      <c r="C132" t="s">
        <v>123</v>
      </c>
      <c r="F132" s="208">
        <v>71</v>
      </c>
      <c r="G132" t="s">
        <v>98</v>
      </c>
      <c r="H132" t="s">
        <v>123</v>
      </c>
    </row>
    <row r="133" spans="1:8" x14ac:dyDescent="0.25">
      <c r="A133" s="208">
        <v>38</v>
      </c>
      <c r="B133" t="s">
        <v>98</v>
      </c>
      <c r="C133" t="s">
        <v>123</v>
      </c>
      <c r="F133" s="208">
        <v>18</v>
      </c>
      <c r="G133" t="s">
        <v>98</v>
      </c>
      <c r="H133" t="s">
        <v>123</v>
      </c>
    </row>
    <row r="134" spans="1:8" x14ac:dyDescent="0.25">
      <c r="A134" s="208">
        <v>64</v>
      </c>
      <c r="B134" t="s">
        <v>98</v>
      </c>
      <c r="C134" t="s">
        <v>123</v>
      </c>
      <c r="F134" s="208">
        <v>22</v>
      </c>
      <c r="G134" t="s">
        <v>98</v>
      </c>
      <c r="H134" t="s">
        <v>123</v>
      </c>
    </row>
    <row r="135" spans="1:8" x14ac:dyDescent="0.25">
      <c r="A135" s="208">
        <v>45</v>
      </c>
      <c r="B135" t="s">
        <v>98</v>
      </c>
      <c r="C135" t="s">
        <v>123</v>
      </c>
      <c r="F135" s="208">
        <v>48</v>
      </c>
      <c r="G135" t="s">
        <v>98</v>
      </c>
      <c r="H135" t="s">
        <v>123</v>
      </c>
    </row>
    <row r="136" spans="1:8" x14ac:dyDescent="0.25">
      <c r="A136" s="208">
        <v>63</v>
      </c>
      <c r="B136" t="s">
        <v>98</v>
      </c>
      <c r="C136" t="s">
        <v>123</v>
      </c>
      <c r="F136" s="208">
        <v>30</v>
      </c>
      <c r="G136" t="s">
        <v>98</v>
      </c>
      <c r="H136" t="s">
        <v>123</v>
      </c>
    </row>
    <row r="137" spans="1:8" x14ac:dyDescent="0.25">
      <c r="A137" s="208">
        <v>43</v>
      </c>
      <c r="B137" t="s">
        <v>98</v>
      </c>
      <c r="C137" t="s">
        <v>123</v>
      </c>
      <c r="F137" s="208">
        <v>23</v>
      </c>
      <c r="G137" t="s">
        <v>98</v>
      </c>
      <c r="H137" t="s">
        <v>123</v>
      </c>
    </row>
    <row r="138" spans="1:8" x14ac:dyDescent="0.25">
      <c r="A138" s="208">
        <v>42</v>
      </c>
      <c r="B138" t="s">
        <v>98</v>
      </c>
      <c r="C138" t="s">
        <v>123</v>
      </c>
      <c r="F138" s="208">
        <v>14</v>
      </c>
      <c r="G138" t="s">
        <v>98</v>
      </c>
      <c r="H138" t="s">
        <v>123</v>
      </c>
    </row>
    <row r="139" spans="1:8" x14ac:dyDescent="0.25">
      <c r="A139" s="208">
        <v>71</v>
      </c>
      <c r="B139" t="s">
        <v>98</v>
      </c>
      <c r="C139" t="s">
        <v>123</v>
      </c>
      <c r="F139" s="208">
        <v>86</v>
      </c>
      <c r="G139" t="s">
        <v>98</v>
      </c>
      <c r="H139" t="s">
        <v>123</v>
      </c>
    </row>
    <row r="140" spans="1:8" x14ac:dyDescent="0.25">
      <c r="A140" s="208">
        <v>70</v>
      </c>
      <c r="B140" t="s">
        <v>98</v>
      </c>
      <c r="C140" t="s">
        <v>123</v>
      </c>
      <c r="F140" s="208">
        <v>32</v>
      </c>
      <c r="G140" t="s">
        <v>98</v>
      </c>
      <c r="H140" t="s">
        <v>123</v>
      </c>
    </row>
    <row r="141" spans="1:8" x14ac:dyDescent="0.25">
      <c r="A141" s="208">
        <v>44</v>
      </c>
      <c r="B141" t="s">
        <v>98</v>
      </c>
      <c r="C141" t="s">
        <v>123</v>
      </c>
      <c r="F141" s="208">
        <v>35</v>
      </c>
      <c r="G141" t="s">
        <v>98</v>
      </c>
      <c r="H141" t="s">
        <v>123</v>
      </c>
    </row>
    <row r="142" spans="1:8" x14ac:dyDescent="0.25">
      <c r="A142" s="208">
        <v>37</v>
      </c>
      <c r="B142" t="s">
        <v>98</v>
      </c>
      <c r="C142" t="s">
        <v>123</v>
      </c>
      <c r="F142" s="208">
        <v>55</v>
      </c>
      <c r="G142" t="s">
        <v>98</v>
      </c>
      <c r="H142" t="s">
        <v>123</v>
      </c>
    </row>
    <row r="143" spans="1:8" x14ac:dyDescent="0.25">
      <c r="A143" s="208">
        <v>48</v>
      </c>
      <c r="B143" t="s">
        <v>98</v>
      </c>
      <c r="C143" t="s">
        <v>123</v>
      </c>
      <c r="F143" s="208">
        <v>75</v>
      </c>
      <c r="G143" t="s">
        <v>98</v>
      </c>
      <c r="H143" t="s">
        <v>123</v>
      </c>
    </row>
    <row r="144" spans="1:8" x14ac:dyDescent="0.25">
      <c r="A144" s="208">
        <v>66</v>
      </c>
      <c r="B144" t="s">
        <v>98</v>
      </c>
      <c r="C144" t="s">
        <v>123</v>
      </c>
      <c r="F144" s="208">
        <v>72</v>
      </c>
      <c r="G144" t="s">
        <v>98</v>
      </c>
      <c r="H144" t="s">
        <v>123</v>
      </c>
    </row>
    <row r="145" spans="1:8" x14ac:dyDescent="0.25">
      <c r="A145" s="208">
        <v>16</v>
      </c>
      <c r="B145" t="s">
        <v>98</v>
      </c>
      <c r="C145" t="s">
        <v>123</v>
      </c>
      <c r="F145" s="208">
        <v>70</v>
      </c>
      <c r="G145" t="s">
        <v>98</v>
      </c>
      <c r="H145" t="s">
        <v>123</v>
      </c>
    </row>
    <row r="146" spans="1:8" x14ac:dyDescent="0.25">
      <c r="A146" s="208">
        <v>83</v>
      </c>
      <c r="B146" t="s">
        <v>98</v>
      </c>
      <c r="C146" t="s">
        <v>123</v>
      </c>
      <c r="F146" s="208">
        <v>64</v>
      </c>
      <c r="G146" t="s">
        <v>98</v>
      </c>
      <c r="H146" t="s">
        <v>123</v>
      </c>
    </row>
    <row r="147" spans="1:8" x14ac:dyDescent="0.25">
      <c r="A147" s="208">
        <v>14</v>
      </c>
      <c r="B147" t="s">
        <v>98</v>
      </c>
      <c r="C147" t="s">
        <v>123</v>
      </c>
      <c r="F147" s="208">
        <v>20</v>
      </c>
      <c r="G147" t="s">
        <v>98</v>
      </c>
      <c r="H147" t="s">
        <v>123</v>
      </c>
    </row>
    <row r="148" spans="1:8" x14ac:dyDescent="0.25">
      <c r="A148" s="208">
        <v>63</v>
      </c>
      <c r="B148" t="s">
        <v>98</v>
      </c>
      <c r="C148" t="s">
        <v>123</v>
      </c>
      <c r="F148" s="208">
        <v>14</v>
      </c>
      <c r="G148" t="s">
        <v>98</v>
      </c>
      <c r="H148" t="s">
        <v>123</v>
      </c>
    </row>
    <row r="149" spans="1:8" x14ac:dyDescent="0.25">
      <c r="A149" s="208">
        <v>62</v>
      </c>
      <c r="B149" t="s">
        <v>98</v>
      </c>
      <c r="C149" t="s">
        <v>123</v>
      </c>
      <c r="F149" s="208">
        <v>84</v>
      </c>
      <c r="G149" t="s">
        <v>98</v>
      </c>
      <c r="H149" t="s">
        <v>123</v>
      </c>
    </row>
    <row r="150" spans="1:8" x14ac:dyDescent="0.25">
      <c r="A150" s="208">
        <v>23</v>
      </c>
      <c r="B150" t="s">
        <v>98</v>
      </c>
      <c r="C150" t="s">
        <v>123</v>
      </c>
      <c r="F150" s="208">
        <v>15</v>
      </c>
      <c r="G150" t="s">
        <v>98</v>
      </c>
      <c r="H150" t="s">
        <v>123</v>
      </c>
    </row>
    <row r="151" spans="1:8" x14ac:dyDescent="0.25">
      <c r="A151" s="208">
        <v>48</v>
      </c>
      <c r="B151" t="s">
        <v>98</v>
      </c>
      <c r="C151" t="s">
        <v>123</v>
      </c>
      <c r="F151" s="208">
        <v>66</v>
      </c>
      <c r="G151" t="s">
        <v>98</v>
      </c>
      <c r="H151" t="s">
        <v>123</v>
      </c>
    </row>
    <row r="152" spans="1:8" x14ac:dyDescent="0.25">
      <c r="A152" s="208">
        <v>76</v>
      </c>
      <c r="B152" t="s">
        <v>98</v>
      </c>
      <c r="C152" t="s">
        <v>123</v>
      </c>
      <c r="F152" s="208">
        <v>37</v>
      </c>
      <c r="G152" t="s">
        <v>98</v>
      </c>
      <c r="H152" t="s">
        <v>123</v>
      </c>
    </row>
    <row r="153" spans="1:8" x14ac:dyDescent="0.25">
      <c r="A153" s="208">
        <v>56</v>
      </c>
      <c r="B153" t="s">
        <v>98</v>
      </c>
      <c r="C153" t="s">
        <v>123</v>
      </c>
      <c r="F153" s="208">
        <v>53</v>
      </c>
      <c r="G153" t="s">
        <v>98</v>
      </c>
      <c r="H153" t="s">
        <v>123</v>
      </c>
    </row>
    <row r="154" spans="1:8" x14ac:dyDescent="0.25">
      <c r="A154" s="208">
        <v>13</v>
      </c>
      <c r="B154" t="s">
        <v>98</v>
      </c>
      <c r="C154" t="s">
        <v>123</v>
      </c>
      <c r="F154" s="208">
        <v>35</v>
      </c>
      <c r="G154" t="s">
        <v>98</v>
      </c>
      <c r="H154" t="s">
        <v>123</v>
      </c>
    </row>
    <row r="155" spans="1:8" x14ac:dyDescent="0.25">
      <c r="A155" s="208">
        <v>13</v>
      </c>
      <c r="B155" t="s">
        <v>98</v>
      </c>
      <c r="C155" t="s">
        <v>123</v>
      </c>
      <c r="F155" s="208">
        <v>80</v>
      </c>
      <c r="G155" t="s">
        <v>98</v>
      </c>
      <c r="H155" t="s">
        <v>123</v>
      </c>
    </row>
    <row r="156" spans="1:8" x14ac:dyDescent="0.25">
      <c r="A156" s="208">
        <v>37</v>
      </c>
      <c r="B156" t="s">
        <v>98</v>
      </c>
      <c r="C156" t="s">
        <v>123</v>
      </c>
      <c r="F156" s="208">
        <v>32</v>
      </c>
      <c r="G156" t="s">
        <v>98</v>
      </c>
      <c r="H156" t="s">
        <v>123</v>
      </c>
    </row>
    <row r="157" spans="1:8" x14ac:dyDescent="0.25">
      <c r="A157" s="208">
        <v>39</v>
      </c>
      <c r="B157" t="s">
        <v>98</v>
      </c>
      <c r="C157" t="s">
        <v>123</v>
      </c>
      <c r="F157" s="208">
        <v>28</v>
      </c>
      <c r="G157" t="s">
        <v>98</v>
      </c>
      <c r="H157" t="s">
        <v>123</v>
      </c>
    </row>
    <row r="158" spans="1:8" x14ac:dyDescent="0.25">
      <c r="A158" s="208">
        <v>88</v>
      </c>
      <c r="B158" t="s">
        <v>98</v>
      </c>
      <c r="C158" t="s">
        <v>123</v>
      </c>
      <c r="F158" s="208">
        <v>13</v>
      </c>
      <c r="G158" t="s">
        <v>98</v>
      </c>
      <c r="H158" t="s">
        <v>123</v>
      </c>
    </row>
    <row r="159" spans="1:8" x14ac:dyDescent="0.25">
      <c r="A159" s="208">
        <v>14</v>
      </c>
      <c r="B159" t="s">
        <v>98</v>
      </c>
      <c r="C159" t="s">
        <v>123</v>
      </c>
      <c r="F159" s="208">
        <v>21</v>
      </c>
      <c r="G159" t="s">
        <v>98</v>
      </c>
      <c r="H159" t="s">
        <v>123</v>
      </c>
    </row>
    <row r="160" spans="1:8" x14ac:dyDescent="0.25">
      <c r="A160" s="208">
        <v>31</v>
      </c>
      <c r="B160" t="s">
        <v>98</v>
      </c>
      <c r="C160" t="s">
        <v>123</v>
      </c>
      <c r="F160" s="208">
        <v>76</v>
      </c>
      <c r="G160" t="s">
        <v>98</v>
      </c>
      <c r="H160" t="s">
        <v>123</v>
      </c>
    </row>
    <row r="161" spans="1:8" x14ac:dyDescent="0.25">
      <c r="A161" s="208">
        <v>15</v>
      </c>
      <c r="B161" t="s">
        <v>98</v>
      </c>
      <c r="C161" t="s">
        <v>123</v>
      </c>
      <c r="F161" s="208">
        <v>58</v>
      </c>
      <c r="G161" t="s">
        <v>98</v>
      </c>
      <c r="H161" t="s">
        <v>123</v>
      </c>
    </row>
    <row r="162" spans="1:8" x14ac:dyDescent="0.25">
      <c r="A162" s="208">
        <v>70</v>
      </c>
      <c r="B162" t="s">
        <v>98</v>
      </c>
      <c r="C162" t="s">
        <v>123</v>
      </c>
      <c r="F162" s="208">
        <v>18</v>
      </c>
      <c r="G162" t="s">
        <v>98</v>
      </c>
      <c r="H162" t="s">
        <v>123</v>
      </c>
    </row>
    <row r="163" spans="1:8" x14ac:dyDescent="0.25">
      <c r="A163" s="208">
        <v>48</v>
      </c>
      <c r="B163" t="s">
        <v>98</v>
      </c>
      <c r="C163" t="s">
        <v>123</v>
      </c>
      <c r="F163" s="208">
        <v>83</v>
      </c>
      <c r="G163" t="s">
        <v>98</v>
      </c>
      <c r="H163" t="s">
        <v>123</v>
      </c>
    </row>
    <row r="164" spans="1:8" x14ac:dyDescent="0.25">
      <c r="A164" s="208">
        <v>14</v>
      </c>
      <c r="B164" t="s">
        <v>98</v>
      </c>
      <c r="C164" t="s">
        <v>123</v>
      </c>
      <c r="F164" s="208">
        <v>20</v>
      </c>
      <c r="G164" t="s">
        <v>98</v>
      </c>
      <c r="H164" t="s">
        <v>123</v>
      </c>
    </row>
    <row r="165" spans="1:8" x14ac:dyDescent="0.25">
      <c r="A165" s="208">
        <v>50</v>
      </c>
      <c r="B165" t="s">
        <v>98</v>
      </c>
      <c r="C165" t="s">
        <v>123</v>
      </c>
      <c r="F165" s="208">
        <v>72</v>
      </c>
      <c r="G165" t="s">
        <v>98</v>
      </c>
      <c r="H165" t="s">
        <v>123</v>
      </c>
    </row>
    <row r="166" spans="1:8" x14ac:dyDescent="0.25">
      <c r="A166" s="208">
        <v>21</v>
      </c>
      <c r="B166" t="s">
        <v>98</v>
      </c>
      <c r="C166" t="s">
        <v>123</v>
      </c>
      <c r="F166" s="208">
        <v>83</v>
      </c>
      <c r="G166" t="s">
        <v>98</v>
      </c>
      <c r="H166" t="s">
        <v>123</v>
      </c>
    </row>
    <row r="167" spans="1:8" x14ac:dyDescent="0.25">
      <c r="A167" s="208">
        <v>71</v>
      </c>
      <c r="B167" t="s">
        <v>98</v>
      </c>
      <c r="C167" t="s">
        <v>123</v>
      </c>
      <c r="F167" s="208">
        <v>26</v>
      </c>
      <c r="G167" t="s">
        <v>98</v>
      </c>
      <c r="H167" t="s">
        <v>123</v>
      </c>
    </row>
    <row r="168" spans="1:8" x14ac:dyDescent="0.25">
      <c r="A168" s="208">
        <v>68</v>
      </c>
      <c r="B168" t="s">
        <v>98</v>
      </c>
      <c r="C168" t="s">
        <v>123</v>
      </c>
      <c r="F168" s="208">
        <v>21</v>
      </c>
      <c r="G168" t="s">
        <v>98</v>
      </c>
      <c r="H168" t="s">
        <v>123</v>
      </c>
    </row>
    <row r="169" spans="1:8" x14ac:dyDescent="0.25">
      <c r="A169" s="208">
        <v>85</v>
      </c>
      <c r="B169" t="s">
        <v>98</v>
      </c>
      <c r="C169" t="s">
        <v>123</v>
      </c>
      <c r="F169" s="208">
        <v>19</v>
      </c>
      <c r="G169" t="s">
        <v>98</v>
      </c>
      <c r="H169" t="s">
        <v>123</v>
      </c>
    </row>
    <row r="170" spans="1:8" x14ac:dyDescent="0.25">
      <c r="A170" s="208">
        <v>23</v>
      </c>
      <c r="B170" t="s">
        <v>98</v>
      </c>
      <c r="C170" t="s">
        <v>123</v>
      </c>
      <c r="F170" s="208">
        <v>32</v>
      </c>
      <c r="G170" t="s">
        <v>98</v>
      </c>
      <c r="H170" t="s">
        <v>123</v>
      </c>
    </row>
    <row r="171" spans="1:8" x14ac:dyDescent="0.25">
      <c r="A171" s="208">
        <v>36</v>
      </c>
      <c r="B171" t="s">
        <v>98</v>
      </c>
      <c r="C171" t="s">
        <v>123</v>
      </c>
      <c r="F171" s="208">
        <v>58</v>
      </c>
      <c r="G171" t="s">
        <v>98</v>
      </c>
      <c r="H171" t="s">
        <v>123</v>
      </c>
    </row>
    <row r="172" spans="1:8" x14ac:dyDescent="0.25">
      <c r="A172" s="208">
        <v>45</v>
      </c>
      <c r="B172" t="s">
        <v>98</v>
      </c>
      <c r="C172" t="s">
        <v>123</v>
      </c>
      <c r="F172" s="208">
        <v>25</v>
      </c>
      <c r="G172" t="s">
        <v>98</v>
      </c>
      <c r="H172" t="s">
        <v>123</v>
      </c>
    </row>
    <row r="173" spans="1:8" x14ac:dyDescent="0.25">
      <c r="A173" s="208">
        <v>62</v>
      </c>
      <c r="B173" t="s">
        <v>98</v>
      </c>
      <c r="C173" t="s">
        <v>123</v>
      </c>
      <c r="F173" s="208">
        <v>58</v>
      </c>
      <c r="G173" t="s">
        <v>98</v>
      </c>
      <c r="H173" t="s">
        <v>123</v>
      </c>
    </row>
    <row r="174" spans="1:8" x14ac:dyDescent="0.25">
      <c r="A174" s="208">
        <v>18</v>
      </c>
      <c r="B174" t="s">
        <v>98</v>
      </c>
      <c r="C174" t="s">
        <v>123</v>
      </c>
      <c r="F174" s="208">
        <v>33</v>
      </c>
      <c r="G174" t="s">
        <v>98</v>
      </c>
      <c r="H174" t="s">
        <v>123</v>
      </c>
    </row>
    <row r="175" spans="1:8" x14ac:dyDescent="0.25">
      <c r="A175" s="208">
        <v>63</v>
      </c>
      <c r="B175" t="s">
        <v>98</v>
      </c>
      <c r="C175" t="s">
        <v>123</v>
      </c>
      <c r="F175" s="208">
        <v>86</v>
      </c>
      <c r="G175" t="s">
        <v>98</v>
      </c>
      <c r="H175" t="s">
        <v>123</v>
      </c>
    </row>
    <row r="176" spans="1:8" x14ac:dyDescent="0.25">
      <c r="A176" s="208">
        <v>13</v>
      </c>
      <c r="B176" t="s">
        <v>98</v>
      </c>
      <c r="C176" t="s">
        <v>123</v>
      </c>
      <c r="F176" s="208">
        <v>77</v>
      </c>
      <c r="G176" t="s">
        <v>98</v>
      </c>
      <c r="H176" t="s">
        <v>123</v>
      </c>
    </row>
    <row r="177" spans="1:8" x14ac:dyDescent="0.25">
      <c r="A177" s="208">
        <v>50</v>
      </c>
      <c r="B177" t="s">
        <v>98</v>
      </c>
      <c r="C177" t="s">
        <v>123</v>
      </c>
      <c r="F177" s="208">
        <v>63</v>
      </c>
      <c r="G177" t="s">
        <v>98</v>
      </c>
      <c r="H177" t="s">
        <v>123</v>
      </c>
    </row>
    <row r="178" spans="1:8" x14ac:dyDescent="0.25">
      <c r="A178" s="208">
        <v>28</v>
      </c>
      <c r="B178" t="s">
        <v>98</v>
      </c>
      <c r="C178" t="s">
        <v>123</v>
      </c>
      <c r="F178" s="208">
        <v>60</v>
      </c>
      <c r="G178" t="s">
        <v>98</v>
      </c>
      <c r="H178" t="s">
        <v>123</v>
      </c>
    </row>
    <row r="179" spans="1:8" x14ac:dyDescent="0.25">
      <c r="A179" s="208">
        <v>64</v>
      </c>
      <c r="B179" t="s">
        <v>98</v>
      </c>
      <c r="C179" t="s">
        <v>123</v>
      </c>
      <c r="F179" s="208">
        <v>40</v>
      </c>
      <c r="G179" t="s">
        <v>98</v>
      </c>
      <c r="H179" t="s">
        <v>123</v>
      </c>
    </row>
    <row r="180" spans="1:8" x14ac:dyDescent="0.25">
      <c r="A180" s="208">
        <v>46</v>
      </c>
      <c r="B180" t="s">
        <v>98</v>
      </c>
      <c r="C180" t="s">
        <v>123</v>
      </c>
      <c r="F180" s="208">
        <v>60</v>
      </c>
      <c r="G180" t="s">
        <v>98</v>
      </c>
      <c r="H180" t="s">
        <v>123</v>
      </c>
    </row>
    <row r="181" spans="1:8" x14ac:dyDescent="0.25">
      <c r="A181" s="208">
        <v>17</v>
      </c>
      <c r="B181" t="s">
        <v>98</v>
      </c>
      <c r="C181" t="s">
        <v>123</v>
      </c>
      <c r="F181" s="208">
        <v>24</v>
      </c>
      <c r="G181" t="s">
        <v>98</v>
      </c>
      <c r="H181" t="s">
        <v>123</v>
      </c>
    </row>
    <row r="182" spans="1:8" x14ac:dyDescent="0.25">
      <c r="A182" s="208">
        <v>45</v>
      </c>
      <c r="B182" t="s">
        <v>98</v>
      </c>
      <c r="C182" t="s">
        <v>123</v>
      </c>
      <c r="F182" s="208">
        <v>86</v>
      </c>
      <c r="G182" t="s">
        <v>98</v>
      </c>
      <c r="H182" t="s">
        <v>123</v>
      </c>
    </row>
    <row r="183" spans="1:8" x14ac:dyDescent="0.25">
      <c r="A183" s="208">
        <v>48</v>
      </c>
      <c r="B183" t="s">
        <v>98</v>
      </c>
      <c r="C183" t="s">
        <v>123</v>
      </c>
      <c r="F183" s="208">
        <v>28</v>
      </c>
      <c r="G183" t="s">
        <v>98</v>
      </c>
      <c r="H183" t="s">
        <v>123</v>
      </c>
    </row>
    <row r="184" spans="1:8" x14ac:dyDescent="0.25">
      <c r="A184" s="208">
        <v>58</v>
      </c>
      <c r="B184" t="s">
        <v>98</v>
      </c>
      <c r="C184" t="s">
        <v>123</v>
      </c>
      <c r="F184" s="208">
        <v>82</v>
      </c>
      <c r="G184" t="s">
        <v>98</v>
      </c>
      <c r="H184" t="s">
        <v>123</v>
      </c>
    </row>
    <row r="185" spans="1:8" x14ac:dyDescent="0.25">
      <c r="A185" s="208">
        <v>30</v>
      </c>
      <c r="B185" t="s">
        <v>98</v>
      </c>
      <c r="C185" t="s">
        <v>123</v>
      </c>
      <c r="F185" s="208">
        <v>21</v>
      </c>
      <c r="G185" t="s">
        <v>98</v>
      </c>
      <c r="H185" t="s">
        <v>123</v>
      </c>
    </row>
    <row r="186" spans="1:8" x14ac:dyDescent="0.25">
      <c r="A186" s="208">
        <v>84</v>
      </c>
      <c r="B186" t="s">
        <v>98</v>
      </c>
      <c r="C186" t="s">
        <v>123</v>
      </c>
      <c r="F186" s="208">
        <v>60</v>
      </c>
      <c r="G186" t="s">
        <v>98</v>
      </c>
      <c r="H186" t="s">
        <v>123</v>
      </c>
    </row>
    <row r="187" spans="1:8" x14ac:dyDescent="0.25">
      <c r="A187" s="208">
        <v>35</v>
      </c>
      <c r="B187" t="s">
        <v>98</v>
      </c>
      <c r="C187" t="s">
        <v>123</v>
      </c>
      <c r="F187" s="208">
        <v>64</v>
      </c>
      <c r="G187" t="s">
        <v>98</v>
      </c>
      <c r="H187" t="s">
        <v>123</v>
      </c>
    </row>
    <row r="188" spans="1:8" x14ac:dyDescent="0.25">
      <c r="A188" s="208">
        <v>44</v>
      </c>
      <c r="B188" t="s">
        <v>98</v>
      </c>
      <c r="C188" t="s">
        <v>123</v>
      </c>
      <c r="F188" s="208">
        <v>51</v>
      </c>
      <c r="G188" t="s">
        <v>98</v>
      </c>
      <c r="H188" t="s">
        <v>123</v>
      </c>
    </row>
    <row r="189" spans="1:8" x14ac:dyDescent="0.25">
      <c r="A189" s="208">
        <v>32</v>
      </c>
      <c r="B189" t="s">
        <v>98</v>
      </c>
      <c r="C189" t="s">
        <v>123</v>
      </c>
      <c r="F189" s="208">
        <v>41</v>
      </c>
      <c r="G189" t="s">
        <v>98</v>
      </c>
      <c r="H189" t="s">
        <v>123</v>
      </c>
    </row>
    <row r="190" spans="1:8" x14ac:dyDescent="0.25">
      <c r="A190" s="208">
        <v>60</v>
      </c>
      <c r="B190" t="s">
        <v>98</v>
      </c>
      <c r="C190" t="s">
        <v>123</v>
      </c>
      <c r="F190" s="208">
        <v>30</v>
      </c>
      <c r="G190" t="s">
        <v>98</v>
      </c>
      <c r="H190" t="s">
        <v>123</v>
      </c>
    </row>
    <row r="191" spans="1:8" x14ac:dyDescent="0.25">
      <c r="A191" s="208">
        <v>80</v>
      </c>
      <c r="B191" t="s">
        <v>98</v>
      </c>
      <c r="C191" t="s">
        <v>123</v>
      </c>
      <c r="F191" s="208">
        <v>51</v>
      </c>
      <c r="G191" t="s">
        <v>98</v>
      </c>
      <c r="H191" t="s">
        <v>123</v>
      </c>
    </row>
    <row r="192" spans="1:8" x14ac:dyDescent="0.25">
      <c r="A192" s="208">
        <v>50</v>
      </c>
      <c r="B192" t="s">
        <v>98</v>
      </c>
      <c r="C192" t="s">
        <v>123</v>
      </c>
      <c r="F192" s="208">
        <v>20</v>
      </c>
      <c r="G192" t="s">
        <v>98</v>
      </c>
      <c r="H192" t="s">
        <v>123</v>
      </c>
    </row>
    <row r="193" spans="1:8" x14ac:dyDescent="0.25">
      <c r="A193" s="208">
        <v>47</v>
      </c>
      <c r="B193" t="s">
        <v>98</v>
      </c>
      <c r="C193" t="s">
        <v>123</v>
      </c>
      <c r="F193" s="208">
        <v>27</v>
      </c>
      <c r="G193" t="s">
        <v>98</v>
      </c>
      <c r="H193" t="s">
        <v>123</v>
      </c>
    </row>
    <row r="194" spans="1:8" x14ac:dyDescent="0.25">
      <c r="A194" s="208">
        <v>35</v>
      </c>
      <c r="B194" t="s">
        <v>98</v>
      </c>
      <c r="C194" t="s">
        <v>123</v>
      </c>
      <c r="F194" s="208">
        <v>4</v>
      </c>
      <c r="G194" t="s">
        <v>98</v>
      </c>
      <c r="H194" t="s">
        <v>134</v>
      </c>
    </row>
    <row r="195" spans="1:8" x14ac:dyDescent="0.25">
      <c r="A195" s="208">
        <v>31</v>
      </c>
      <c r="B195" t="s">
        <v>98</v>
      </c>
      <c r="C195" t="s">
        <v>123</v>
      </c>
      <c r="F195" s="208">
        <v>3</v>
      </c>
      <c r="G195" t="s">
        <v>97</v>
      </c>
      <c r="H195" t="s">
        <v>134</v>
      </c>
    </row>
    <row r="196" spans="1:8" x14ac:dyDescent="0.25">
      <c r="A196" s="208">
        <v>38</v>
      </c>
      <c r="B196" t="s">
        <v>98</v>
      </c>
      <c r="C196" t="s">
        <v>123</v>
      </c>
      <c r="F196" s="208" t="s">
        <v>162</v>
      </c>
      <c r="G196" t="s">
        <v>97</v>
      </c>
      <c r="H196" t="s">
        <v>134</v>
      </c>
    </row>
    <row r="197" spans="1:8" x14ac:dyDescent="0.25">
      <c r="A197" s="208">
        <v>35</v>
      </c>
      <c r="B197" t="s">
        <v>98</v>
      </c>
      <c r="C197" t="s">
        <v>123</v>
      </c>
      <c r="F197" s="208">
        <v>4</v>
      </c>
      <c r="G197" t="s">
        <v>97</v>
      </c>
      <c r="H197" t="s">
        <v>134</v>
      </c>
    </row>
    <row r="198" spans="1:8" x14ac:dyDescent="0.25">
      <c r="A198" s="208">
        <v>20</v>
      </c>
      <c r="B198" t="s">
        <v>98</v>
      </c>
      <c r="C198" t="s">
        <v>123</v>
      </c>
      <c r="F198" s="208">
        <v>3</v>
      </c>
      <c r="G198" t="s">
        <v>98</v>
      </c>
      <c r="H198" t="s">
        <v>134</v>
      </c>
    </row>
    <row r="199" spans="1:8" x14ac:dyDescent="0.25">
      <c r="A199" s="208">
        <v>30</v>
      </c>
      <c r="B199" t="s">
        <v>98</v>
      </c>
      <c r="C199" t="s">
        <v>123</v>
      </c>
      <c r="F199" s="208">
        <v>10</v>
      </c>
      <c r="G199" t="s">
        <v>97</v>
      </c>
      <c r="H199" t="s">
        <v>134</v>
      </c>
    </row>
    <row r="200" spans="1:8" x14ac:dyDescent="0.25">
      <c r="A200" s="208">
        <v>48</v>
      </c>
      <c r="B200" t="s">
        <v>98</v>
      </c>
      <c r="C200" t="s">
        <v>123</v>
      </c>
      <c r="F200" s="208">
        <v>2</v>
      </c>
      <c r="G200" t="s">
        <v>98</v>
      </c>
      <c r="H200" t="s">
        <v>134</v>
      </c>
    </row>
    <row r="201" spans="1:8" x14ac:dyDescent="0.25">
      <c r="A201" s="208">
        <v>6</v>
      </c>
      <c r="B201" t="s">
        <v>98</v>
      </c>
      <c r="C201" t="s">
        <v>134</v>
      </c>
      <c r="F201" s="208">
        <v>1</v>
      </c>
      <c r="G201" t="s">
        <v>97</v>
      </c>
      <c r="H201" t="s">
        <v>134</v>
      </c>
    </row>
    <row r="202" spans="1:8" x14ac:dyDescent="0.25">
      <c r="A202" s="208">
        <v>3</v>
      </c>
      <c r="B202" t="s">
        <v>98</v>
      </c>
      <c r="C202" t="s">
        <v>134</v>
      </c>
      <c r="F202" s="208">
        <v>5</v>
      </c>
      <c r="G202" t="s">
        <v>98</v>
      </c>
      <c r="H202" t="s">
        <v>134</v>
      </c>
    </row>
    <row r="203" spans="1:8" x14ac:dyDescent="0.25">
      <c r="A203" s="208">
        <v>9</v>
      </c>
      <c r="B203" t="s">
        <v>98</v>
      </c>
      <c r="C203" t="s">
        <v>134</v>
      </c>
      <c r="F203" s="208">
        <v>9</v>
      </c>
      <c r="G203" t="s">
        <v>97</v>
      </c>
      <c r="H203" t="s">
        <v>134</v>
      </c>
    </row>
    <row r="204" spans="1:8" x14ac:dyDescent="0.25">
      <c r="A204" s="208">
        <v>2</v>
      </c>
      <c r="B204" t="s">
        <v>97</v>
      </c>
      <c r="C204" t="s">
        <v>134</v>
      </c>
      <c r="F204" s="208">
        <v>6</v>
      </c>
      <c r="G204" t="s">
        <v>97</v>
      </c>
      <c r="H204" t="s">
        <v>134</v>
      </c>
    </row>
    <row r="205" spans="1:8" x14ac:dyDescent="0.25">
      <c r="A205" s="208">
        <v>6</v>
      </c>
      <c r="B205" t="s">
        <v>98</v>
      </c>
      <c r="C205" t="s">
        <v>134</v>
      </c>
      <c r="F205" s="208">
        <v>10</v>
      </c>
      <c r="G205" t="s">
        <v>97</v>
      </c>
      <c r="H205" t="s">
        <v>134</v>
      </c>
    </row>
    <row r="206" spans="1:8" x14ac:dyDescent="0.25">
      <c r="A206" s="208">
        <v>12</v>
      </c>
      <c r="B206" t="s">
        <v>97</v>
      </c>
      <c r="C206" t="s">
        <v>134</v>
      </c>
      <c r="F206" s="208">
        <v>5</v>
      </c>
      <c r="G206" t="s">
        <v>97</v>
      </c>
      <c r="H206" t="s">
        <v>134</v>
      </c>
    </row>
    <row r="207" spans="1:8" x14ac:dyDescent="0.25">
      <c r="A207" s="208">
        <v>6</v>
      </c>
      <c r="B207" t="s">
        <v>98</v>
      </c>
      <c r="C207" t="s">
        <v>134</v>
      </c>
      <c r="F207" s="208">
        <v>10</v>
      </c>
      <c r="G207" t="s">
        <v>97</v>
      </c>
      <c r="H207" t="s">
        <v>134</v>
      </c>
    </row>
    <row r="208" spans="1:8" x14ac:dyDescent="0.25">
      <c r="A208" s="208">
        <v>3</v>
      </c>
      <c r="B208" t="s">
        <v>98</v>
      </c>
      <c r="C208" t="s">
        <v>134</v>
      </c>
      <c r="F208" s="208">
        <v>5</v>
      </c>
      <c r="G208" t="s">
        <v>98</v>
      </c>
      <c r="H208" t="s">
        <v>134</v>
      </c>
    </row>
    <row r="209" spans="1:8" x14ac:dyDescent="0.25">
      <c r="A209" s="209" t="s">
        <v>140</v>
      </c>
      <c r="B209" t="s">
        <v>97</v>
      </c>
      <c r="C209" t="s">
        <v>134</v>
      </c>
      <c r="F209" s="208">
        <v>2</v>
      </c>
      <c r="G209" t="s">
        <v>97</v>
      </c>
      <c r="H209" t="s">
        <v>134</v>
      </c>
    </row>
    <row r="210" spans="1:8" x14ac:dyDescent="0.25">
      <c r="A210" s="208">
        <v>5</v>
      </c>
      <c r="B210" t="s">
        <v>97</v>
      </c>
      <c r="C210" t="s">
        <v>134</v>
      </c>
      <c r="F210" s="208">
        <v>1</v>
      </c>
      <c r="G210" t="s">
        <v>97</v>
      </c>
      <c r="H210" t="s">
        <v>134</v>
      </c>
    </row>
    <row r="211" spans="1:8" x14ac:dyDescent="0.25">
      <c r="A211" s="208">
        <v>2</v>
      </c>
      <c r="B211" t="s">
        <v>97</v>
      </c>
      <c r="C211" t="s">
        <v>134</v>
      </c>
      <c r="F211" s="208">
        <v>5</v>
      </c>
      <c r="G211" t="s">
        <v>98</v>
      </c>
      <c r="H211" t="s">
        <v>134</v>
      </c>
    </row>
    <row r="212" spans="1:8" x14ac:dyDescent="0.25">
      <c r="A212" s="208">
        <v>5</v>
      </c>
      <c r="B212" t="s">
        <v>97</v>
      </c>
      <c r="C212" t="s">
        <v>134</v>
      </c>
      <c r="F212" s="208">
        <v>2</v>
      </c>
      <c r="G212" t="s">
        <v>98</v>
      </c>
      <c r="H212" t="s">
        <v>134</v>
      </c>
    </row>
    <row r="213" spans="1:8" x14ac:dyDescent="0.25">
      <c r="A213" s="208">
        <v>2</v>
      </c>
      <c r="B213" t="s">
        <v>97</v>
      </c>
      <c r="C213" t="s">
        <v>134</v>
      </c>
      <c r="F213" s="208" t="s">
        <v>163</v>
      </c>
      <c r="G213" t="s">
        <v>98</v>
      </c>
      <c r="H213" t="s">
        <v>134</v>
      </c>
    </row>
    <row r="214" spans="1:8" x14ac:dyDescent="0.25">
      <c r="A214" s="208">
        <v>9</v>
      </c>
      <c r="B214" t="s">
        <v>97</v>
      </c>
      <c r="C214" t="s">
        <v>134</v>
      </c>
      <c r="F214" s="208">
        <v>6</v>
      </c>
      <c r="G214" t="s">
        <v>98</v>
      </c>
      <c r="H214" t="s">
        <v>134</v>
      </c>
    </row>
    <row r="215" spans="1:8" x14ac:dyDescent="0.25">
      <c r="A215" s="208">
        <v>11</v>
      </c>
      <c r="B215" t="s">
        <v>97</v>
      </c>
      <c r="C215" t="s">
        <v>134</v>
      </c>
      <c r="F215" s="208">
        <v>7</v>
      </c>
      <c r="G215" t="s">
        <v>98</v>
      </c>
      <c r="H215" t="s">
        <v>134</v>
      </c>
    </row>
    <row r="216" spans="1:8" x14ac:dyDescent="0.25">
      <c r="A216" s="208">
        <v>4</v>
      </c>
      <c r="B216" t="s">
        <v>97</v>
      </c>
      <c r="C216" t="s">
        <v>134</v>
      </c>
      <c r="F216" s="208">
        <v>10</v>
      </c>
      <c r="G216" t="s">
        <v>98</v>
      </c>
      <c r="H216" t="s">
        <v>134</v>
      </c>
    </row>
    <row r="217" spans="1:8" x14ac:dyDescent="0.25">
      <c r="A217" s="208">
        <v>1</v>
      </c>
      <c r="B217" t="s">
        <v>97</v>
      </c>
      <c r="C217" t="s">
        <v>134</v>
      </c>
      <c r="F217" s="208">
        <v>2</v>
      </c>
      <c r="G217" t="s">
        <v>98</v>
      </c>
      <c r="H217" t="s">
        <v>134</v>
      </c>
    </row>
    <row r="218" spans="1:8" x14ac:dyDescent="0.25">
      <c r="A218" s="208">
        <v>1</v>
      </c>
      <c r="B218" t="s">
        <v>97</v>
      </c>
      <c r="C218" t="s">
        <v>134</v>
      </c>
      <c r="F218" s="208">
        <v>1</v>
      </c>
      <c r="G218" t="s">
        <v>98</v>
      </c>
      <c r="H218" t="s">
        <v>134</v>
      </c>
    </row>
    <row r="219" spans="1:8" x14ac:dyDescent="0.25">
      <c r="A219" s="208">
        <v>1</v>
      </c>
      <c r="B219" t="s">
        <v>97</v>
      </c>
      <c r="C219" t="s">
        <v>134</v>
      </c>
      <c r="F219" s="208">
        <v>10</v>
      </c>
      <c r="G219" t="s">
        <v>97</v>
      </c>
      <c r="H219" t="s">
        <v>134</v>
      </c>
    </row>
    <row r="220" spans="1:8" x14ac:dyDescent="0.25">
      <c r="A220" s="208">
        <v>9</v>
      </c>
      <c r="B220" t="s">
        <v>97</v>
      </c>
      <c r="C220" t="s">
        <v>134</v>
      </c>
      <c r="F220" s="208">
        <v>3</v>
      </c>
      <c r="G220" t="s">
        <v>98</v>
      </c>
      <c r="H220" t="s">
        <v>134</v>
      </c>
    </row>
    <row r="221" spans="1:8" x14ac:dyDescent="0.25">
      <c r="A221" s="208">
        <v>13</v>
      </c>
      <c r="B221" t="s">
        <v>97</v>
      </c>
      <c r="C221" t="s">
        <v>134</v>
      </c>
      <c r="F221" s="208">
        <v>3</v>
      </c>
      <c r="G221" t="s">
        <v>97</v>
      </c>
      <c r="H221" t="s">
        <v>134</v>
      </c>
    </row>
    <row r="222" spans="1:8" x14ac:dyDescent="0.25">
      <c r="A222" s="208">
        <v>6</v>
      </c>
      <c r="B222" t="s">
        <v>98</v>
      </c>
      <c r="C222" t="s">
        <v>134</v>
      </c>
      <c r="F222" s="208">
        <v>10</v>
      </c>
      <c r="G222" t="s">
        <v>97</v>
      </c>
      <c r="H222" t="s">
        <v>134</v>
      </c>
    </row>
    <row r="223" spans="1:8" x14ac:dyDescent="0.25">
      <c r="A223" s="208" t="s">
        <v>141</v>
      </c>
      <c r="B223" t="s">
        <v>97</v>
      </c>
      <c r="C223" t="s">
        <v>134</v>
      </c>
      <c r="F223" s="208">
        <v>5</v>
      </c>
      <c r="G223" t="s">
        <v>97</v>
      </c>
      <c r="H223" t="s">
        <v>134</v>
      </c>
    </row>
    <row r="224" spans="1:8" x14ac:dyDescent="0.25">
      <c r="A224" s="208">
        <v>3</v>
      </c>
      <c r="B224" t="s">
        <v>98</v>
      </c>
      <c r="C224" t="s">
        <v>134</v>
      </c>
      <c r="F224" s="208">
        <v>3</v>
      </c>
      <c r="G224" t="s">
        <v>97</v>
      </c>
      <c r="H224" t="s">
        <v>134</v>
      </c>
    </row>
    <row r="225" spans="1:8" x14ac:dyDescent="0.25">
      <c r="A225" s="208">
        <v>10</v>
      </c>
      <c r="B225" t="s">
        <v>98</v>
      </c>
      <c r="C225" t="s">
        <v>134</v>
      </c>
      <c r="F225" s="208">
        <v>5</v>
      </c>
      <c r="G225" t="s">
        <v>98</v>
      </c>
      <c r="H225" t="s">
        <v>134</v>
      </c>
    </row>
    <row r="226" spans="1:8" x14ac:dyDescent="0.25">
      <c r="A226" s="208">
        <v>1</v>
      </c>
      <c r="B226" t="s">
        <v>97</v>
      </c>
      <c r="C226" t="s">
        <v>134</v>
      </c>
      <c r="F226" s="208">
        <v>3</v>
      </c>
      <c r="G226" t="s">
        <v>98</v>
      </c>
      <c r="H226" t="s">
        <v>134</v>
      </c>
    </row>
    <row r="227" spans="1:8" x14ac:dyDescent="0.25">
      <c r="A227" s="208">
        <v>4</v>
      </c>
      <c r="B227" t="s">
        <v>97</v>
      </c>
      <c r="C227" t="s">
        <v>134</v>
      </c>
      <c r="F227" s="208">
        <v>5</v>
      </c>
      <c r="G227" t="s">
        <v>97</v>
      </c>
      <c r="H227" t="s">
        <v>134</v>
      </c>
    </row>
    <row r="228" spans="1:8" x14ac:dyDescent="0.25">
      <c r="A228" s="208">
        <v>5</v>
      </c>
      <c r="B228" t="s">
        <v>97</v>
      </c>
      <c r="C228" t="s">
        <v>134</v>
      </c>
      <c r="F228" s="208">
        <v>2</v>
      </c>
      <c r="G228" t="s">
        <v>97</v>
      </c>
      <c r="H228" t="s">
        <v>134</v>
      </c>
    </row>
    <row r="229" spans="1:8" x14ac:dyDescent="0.25">
      <c r="A229" s="208">
        <v>4</v>
      </c>
      <c r="B229" t="s">
        <v>97</v>
      </c>
      <c r="C229" t="s">
        <v>134</v>
      </c>
      <c r="F229" s="208">
        <v>12</v>
      </c>
      <c r="G229" t="s">
        <v>98</v>
      </c>
      <c r="H229" t="s">
        <v>134</v>
      </c>
    </row>
    <row r="230" spans="1:8" x14ac:dyDescent="0.25">
      <c r="A230" s="208">
        <v>4</v>
      </c>
      <c r="B230" t="s">
        <v>98</v>
      </c>
      <c r="C230" t="s">
        <v>134</v>
      </c>
      <c r="F230" s="208">
        <v>7</v>
      </c>
      <c r="G230" t="s">
        <v>97</v>
      </c>
      <c r="H230" t="s">
        <v>134</v>
      </c>
    </row>
    <row r="231" spans="1:8" x14ac:dyDescent="0.25">
      <c r="A231" s="208">
        <v>1</v>
      </c>
      <c r="B231" t="s">
        <v>97</v>
      </c>
      <c r="C231" t="s">
        <v>134</v>
      </c>
      <c r="F231" s="208">
        <v>11</v>
      </c>
      <c r="G231" t="s">
        <v>98</v>
      </c>
      <c r="H231" t="s">
        <v>134</v>
      </c>
    </row>
    <row r="232" spans="1:8" x14ac:dyDescent="0.25">
      <c r="A232" s="208">
        <v>5</v>
      </c>
      <c r="B232" t="s">
        <v>98</v>
      </c>
      <c r="C232" t="s">
        <v>134</v>
      </c>
      <c r="F232" s="208">
        <v>9</v>
      </c>
      <c r="G232" t="s">
        <v>97</v>
      </c>
      <c r="H232" t="s">
        <v>134</v>
      </c>
    </row>
    <row r="233" spans="1:8" x14ac:dyDescent="0.25">
      <c r="A233" s="208">
        <v>1</v>
      </c>
      <c r="B233" t="s">
        <v>98</v>
      </c>
      <c r="C233" t="s">
        <v>134</v>
      </c>
      <c r="F233" s="208" t="s">
        <v>164</v>
      </c>
      <c r="G233" t="s">
        <v>98</v>
      </c>
      <c r="H233" t="s">
        <v>134</v>
      </c>
    </row>
    <row r="234" spans="1:8" x14ac:dyDescent="0.25">
      <c r="A234" s="208">
        <v>6</v>
      </c>
      <c r="B234" t="s">
        <v>98</v>
      </c>
      <c r="C234" t="s">
        <v>134</v>
      </c>
      <c r="F234" s="208" t="s">
        <v>159</v>
      </c>
      <c r="G234" t="s">
        <v>97</v>
      </c>
      <c r="H234" t="s">
        <v>134</v>
      </c>
    </row>
    <row r="235" spans="1:8" x14ac:dyDescent="0.25">
      <c r="A235" s="208" t="s">
        <v>142</v>
      </c>
      <c r="B235" t="s">
        <v>97</v>
      </c>
      <c r="C235" t="s">
        <v>134</v>
      </c>
      <c r="F235" s="208">
        <v>1</v>
      </c>
      <c r="G235" t="s">
        <v>98</v>
      </c>
      <c r="H235" t="s">
        <v>134</v>
      </c>
    </row>
    <row r="236" spans="1:8" x14ac:dyDescent="0.25">
      <c r="A236" s="208">
        <v>1</v>
      </c>
      <c r="B236" t="s">
        <v>98</v>
      </c>
      <c r="C236" t="s">
        <v>134</v>
      </c>
      <c r="F236" s="208">
        <v>5</v>
      </c>
      <c r="G236" t="s">
        <v>97</v>
      </c>
      <c r="H236" t="s">
        <v>134</v>
      </c>
    </row>
    <row r="237" spans="1:8" x14ac:dyDescent="0.25">
      <c r="A237" s="208">
        <v>10</v>
      </c>
      <c r="B237" t="s">
        <v>97</v>
      </c>
      <c r="C237" t="s">
        <v>134</v>
      </c>
      <c r="F237" s="208">
        <v>6</v>
      </c>
      <c r="G237" t="s">
        <v>98</v>
      </c>
      <c r="H237" t="s">
        <v>134</v>
      </c>
    </row>
    <row r="238" spans="1:8" x14ac:dyDescent="0.25">
      <c r="A238" s="208">
        <v>3</v>
      </c>
      <c r="B238" t="s">
        <v>97</v>
      </c>
      <c r="C238" t="s">
        <v>134</v>
      </c>
      <c r="F238" s="208">
        <v>2</v>
      </c>
      <c r="G238" t="s">
        <v>97</v>
      </c>
      <c r="H238" t="s">
        <v>134</v>
      </c>
    </row>
    <row r="239" spans="1:8" x14ac:dyDescent="0.25">
      <c r="A239" s="208">
        <v>9</v>
      </c>
      <c r="B239" t="s">
        <v>97</v>
      </c>
      <c r="C239" t="s">
        <v>134</v>
      </c>
      <c r="F239" s="208">
        <v>1</v>
      </c>
      <c r="G239" t="s">
        <v>97</v>
      </c>
      <c r="H239" t="s">
        <v>134</v>
      </c>
    </row>
    <row r="240" spans="1:8" x14ac:dyDescent="0.25">
      <c r="A240" s="208">
        <v>11</v>
      </c>
      <c r="B240" t="s">
        <v>98</v>
      </c>
      <c r="C240" t="s">
        <v>134</v>
      </c>
      <c r="F240" s="208">
        <v>9</v>
      </c>
      <c r="G240" t="s">
        <v>98</v>
      </c>
      <c r="H240" t="s">
        <v>134</v>
      </c>
    </row>
    <row r="241" spans="1:8" x14ac:dyDescent="0.25">
      <c r="A241" s="208">
        <v>2</v>
      </c>
      <c r="B241" t="s">
        <v>98</v>
      </c>
      <c r="C241" t="s">
        <v>134</v>
      </c>
      <c r="F241" s="208">
        <v>3</v>
      </c>
      <c r="G241" t="s">
        <v>97</v>
      </c>
      <c r="H241" t="s">
        <v>134</v>
      </c>
    </row>
    <row r="242" spans="1:8" x14ac:dyDescent="0.25">
      <c r="A242" s="208">
        <v>9</v>
      </c>
      <c r="B242" t="s">
        <v>97</v>
      </c>
      <c r="C242" t="s">
        <v>134</v>
      </c>
      <c r="F242" s="208">
        <v>1</v>
      </c>
      <c r="G242" t="s">
        <v>98</v>
      </c>
      <c r="H242" t="s">
        <v>134</v>
      </c>
    </row>
    <row r="243" spans="1:8" x14ac:dyDescent="0.25">
      <c r="A243" s="208">
        <v>2</v>
      </c>
      <c r="B243" t="s">
        <v>97</v>
      </c>
      <c r="C243" t="s">
        <v>134</v>
      </c>
      <c r="F243" s="208">
        <v>10</v>
      </c>
      <c r="G243" t="s">
        <v>97</v>
      </c>
      <c r="H243" t="s">
        <v>134</v>
      </c>
    </row>
    <row r="244" spans="1:8" x14ac:dyDescent="0.25">
      <c r="A244" s="208">
        <v>2</v>
      </c>
      <c r="B244" t="s">
        <v>98</v>
      </c>
      <c r="C244" t="s">
        <v>134</v>
      </c>
      <c r="F244" s="208">
        <v>5</v>
      </c>
      <c r="G244" t="s">
        <v>98</v>
      </c>
      <c r="H244" t="s">
        <v>134</v>
      </c>
    </row>
    <row r="245" spans="1:8" x14ac:dyDescent="0.25">
      <c r="A245" s="208">
        <v>1</v>
      </c>
      <c r="B245" t="s">
        <v>98</v>
      </c>
      <c r="C245" t="s">
        <v>134</v>
      </c>
      <c r="F245" s="208">
        <v>10</v>
      </c>
      <c r="G245" t="s">
        <v>97</v>
      </c>
      <c r="H245" t="s">
        <v>134</v>
      </c>
    </row>
    <row r="246" spans="1:8" x14ac:dyDescent="0.25">
      <c r="A246" s="208">
        <v>7</v>
      </c>
      <c r="B246" t="s">
        <v>97</v>
      </c>
      <c r="C246" t="s">
        <v>134</v>
      </c>
      <c r="F246" s="208">
        <v>2</v>
      </c>
      <c r="G246" t="s">
        <v>98</v>
      </c>
      <c r="H246" t="s">
        <v>134</v>
      </c>
    </row>
    <row r="247" spans="1:8" x14ac:dyDescent="0.25">
      <c r="A247" s="208">
        <v>11</v>
      </c>
      <c r="B247" t="s">
        <v>98</v>
      </c>
      <c r="C247" t="s">
        <v>134</v>
      </c>
      <c r="F247" s="208">
        <v>2</v>
      </c>
      <c r="G247" t="s">
        <v>98</v>
      </c>
      <c r="H247" t="s">
        <v>134</v>
      </c>
    </row>
    <row r="248" spans="1:8" x14ac:dyDescent="0.25">
      <c r="A248" s="208">
        <v>12</v>
      </c>
      <c r="B248" t="s">
        <v>97</v>
      </c>
      <c r="C248" t="s">
        <v>134</v>
      </c>
      <c r="F248" s="208" t="s">
        <v>165</v>
      </c>
      <c r="G248" t="s">
        <v>97</v>
      </c>
      <c r="H248" t="s">
        <v>134</v>
      </c>
    </row>
    <row r="249" spans="1:8" x14ac:dyDescent="0.25">
      <c r="A249" s="208">
        <v>7</v>
      </c>
      <c r="B249" t="s">
        <v>98</v>
      </c>
      <c r="C249" t="s">
        <v>134</v>
      </c>
      <c r="F249" s="208">
        <v>6</v>
      </c>
      <c r="G249" t="s">
        <v>97</v>
      </c>
      <c r="H249" t="s">
        <v>134</v>
      </c>
    </row>
    <row r="250" spans="1:8" x14ac:dyDescent="0.25">
      <c r="A250" s="208">
        <v>10</v>
      </c>
      <c r="B250" t="s">
        <v>97</v>
      </c>
      <c r="C250" t="s">
        <v>134</v>
      </c>
      <c r="F250" s="208">
        <v>2</v>
      </c>
      <c r="G250" t="s">
        <v>98</v>
      </c>
      <c r="H250" t="s">
        <v>134</v>
      </c>
    </row>
    <row r="251" spans="1:8" x14ac:dyDescent="0.25">
      <c r="A251" s="208">
        <v>4</v>
      </c>
      <c r="B251" t="s">
        <v>97</v>
      </c>
      <c r="C251" t="s">
        <v>134</v>
      </c>
      <c r="F251" s="208">
        <v>3</v>
      </c>
      <c r="G251" t="s">
        <v>97</v>
      </c>
      <c r="H251" t="s">
        <v>134</v>
      </c>
    </row>
    <row r="252" spans="1:8" x14ac:dyDescent="0.25">
      <c r="A252" s="208">
        <v>7</v>
      </c>
      <c r="B252" t="s">
        <v>97</v>
      </c>
      <c r="C252" t="s">
        <v>134</v>
      </c>
      <c r="F252" s="208">
        <v>10</v>
      </c>
      <c r="G252" t="s">
        <v>98</v>
      </c>
      <c r="H252" t="s">
        <v>134</v>
      </c>
    </row>
    <row r="253" spans="1:8" x14ac:dyDescent="0.25">
      <c r="A253" s="208">
        <v>5</v>
      </c>
      <c r="B253" t="s">
        <v>98</v>
      </c>
      <c r="C253" t="s">
        <v>134</v>
      </c>
      <c r="F253" s="208">
        <v>2</v>
      </c>
      <c r="G253" t="s">
        <v>98</v>
      </c>
      <c r="H253" t="s">
        <v>134</v>
      </c>
    </row>
    <row r="254" spans="1:8" x14ac:dyDescent="0.25">
      <c r="A254" s="208">
        <v>9</v>
      </c>
      <c r="B254" t="s">
        <v>97</v>
      </c>
      <c r="C254" t="s">
        <v>134</v>
      </c>
      <c r="F254" s="208">
        <v>2</v>
      </c>
      <c r="G254" t="s">
        <v>97</v>
      </c>
      <c r="H254" t="s">
        <v>134</v>
      </c>
    </row>
    <row r="255" spans="1:8" x14ac:dyDescent="0.25">
      <c r="A255" s="208">
        <v>7</v>
      </c>
      <c r="B255" t="s">
        <v>98</v>
      </c>
      <c r="C255" t="s">
        <v>134</v>
      </c>
      <c r="F255" s="208">
        <v>2</v>
      </c>
      <c r="G255" t="s">
        <v>97</v>
      </c>
      <c r="H255" t="s">
        <v>134</v>
      </c>
    </row>
    <row r="256" spans="1:8" x14ac:dyDescent="0.25">
      <c r="A256" s="208">
        <v>12</v>
      </c>
      <c r="B256" t="s">
        <v>98</v>
      </c>
      <c r="C256" t="s">
        <v>134</v>
      </c>
      <c r="F256" s="208">
        <v>10</v>
      </c>
      <c r="G256" t="s">
        <v>98</v>
      </c>
      <c r="H256" t="s">
        <v>134</v>
      </c>
    </row>
    <row r="257" spans="1:8" x14ac:dyDescent="0.25">
      <c r="A257" s="208">
        <v>7</v>
      </c>
      <c r="B257" t="s">
        <v>97</v>
      </c>
      <c r="C257" t="s">
        <v>134</v>
      </c>
      <c r="F257" s="208">
        <v>7</v>
      </c>
      <c r="G257" t="s">
        <v>97</v>
      </c>
      <c r="H257" t="s">
        <v>134</v>
      </c>
    </row>
    <row r="258" spans="1:8" x14ac:dyDescent="0.25">
      <c r="A258" s="208">
        <v>4</v>
      </c>
      <c r="B258" t="s">
        <v>97</v>
      </c>
      <c r="C258" t="s">
        <v>134</v>
      </c>
      <c r="F258" s="208">
        <v>1</v>
      </c>
      <c r="G258" t="s">
        <v>98</v>
      </c>
      <c r="H258" t="s">
        <v>134</v>
      </c>
    </row>
    <row r="259" spans="1:8" x14ac:dyDescent="0.25">
      <c r="A259" s="208">
        <v>6</v>
      </c>
      <c r="B259" t="s">
        <v>97</v>
      </c>
      <c r="C259" t="s">
        <v>134</v>
      </c>
      <c r="F259" s="208">
        <v>1</v>
      </c>
      <c r="G259" t="s">
        <v>97</v>
      </c>
      <c r="H259" t="s">
        <v>134</v>
      </c>
    </row>
    <row r="260" spans="1:8" x14ac:dyDescent="0.25">
      <c r="A260" s="208">
        <v>8</v>
      </c>
      <c r="B260" t="s">
        <v>98</v>
      </c>
      <c r="C260" t="s">
        <v>134</v>
      </c>
      <c r="F260" s="208">
        <v>1</v>
      </c>
      <c r="G260" t="s">
        <v>97</v>
      </c>
      <c r="H260" t="s">
        <v>134</v>
      </c>
    </row>
    <row r="261" spans="1:8" x14ac:dyDescent="0.25">
      <c r="A261" s="208">
        <v>3</v>
      </c>
      <c r="B261" t="s">
        <v>98</v>
      </c>
      <c r="C261" t="s">
        <v>134</v>
      </c>
      <c r="F261" s="208" t="s">
        <v>166</v>
      </c>
      <c r="G261" t="s">
        <v>98</v>
      </c>
      <c r="H261" t="s">
        <v>134</v>
      </c>
    </row>
    <row r="262" spans="1:8" x14ac:dyDescent="0.25">
      <c r="A262" s="208">
        <v>2</v>
      </c>
      <c r="B262" t="s">
        <v>98</v>
      </c>
      <c r="C262" t="s">
        <v>134</v>
      </c>
      <c r="F262" s="208" t="s">
        <v>167</v>
      </c>
      <c r="G262" t="s">
        <v>98</v>
      </c>
      <c r="H262" t="s">
        <v>134</v>
      </c>
    </row>
    <row r="263" spans="1:8" x14ac:dyDescent="0.25">
      <c r="A263" s="208">
        <v>6</v>
      </c>
      <c r="B263" t="s">
        <v>98</v>
      </c>
      <c r="C263" t="s">
        <v>134</v>
      </c>
      <c r="F263" s="208">
        <v>11</v>
      </c>
      <c r="G263" t="s">
        <v>98</v>
      </c>
      <c r="H263" t="s">
        <v>134</v>
      </c>
    </row>
    <row r="264" spans="1:8" x14ac:dyDescent="0.25">
      <c r="A264" s="208">
        <v>7</v>
      </c>
      <c r="B264" t="s">
        <v>98</v>
      </c>
      <c r="C264" t="s">
        <v>134</v>
      </c>
      <c r="F264" s="208">
        <v>6</v>
      </c>
      <c r="G264" t="s">
        <v>98</v>
      </c>
      <c r="H264" t="s">
        <v>134</v>
      </c>
    </row>
    <row r="265" spans="1:8" x14ac:dyDescent="0.25">
      <c r="A265" s="208">
        <v>2</v>
      </c>
      <c r="B265" t="s">
        <v>98</v>
      </c>
      <c r="C265" t="s">
        <v>134</v>
      </c>
      <c r="F265" s="208">
        <v>2</v>
      </c>
      <c r="G265" t="s">
        <v>98</v>
      </c>
      <c r="H265" t="s">
        <v>134</v>
      </c>
    </row>
    <row r="266" spans="1:8" x14ac:dyDescent="0.25">
      <c r="A266" s="208">
        <v>9</v>
      </c>
      <c r="B266" t="s">
        <v>97</v>
      </c>
      <c r="C266" t="s">
        <v>134</v>
      </c>
      <c r="F266" s="208">
        <v>1</v>
      </c>
      <c r="G266" t="s">
        <v>97</v>
      </c>
      <c r="H266" t="s">
        <v>134</v>
      </c>
    </row>
    <row r="267" spans="1:8" x14ac:dyDescent="0.25">
      <c r="A267" s="208">
        <v>4</v>
      </c>
      <c r="B267" t="s">
        <v>97</v>
      </c>
      <c r="C267" t="s">
        <v>134</v>
      </c>
      <c r="F267" s="208">
        <v>6</v>
      </c>
      <c r="G267" t="s">
        <v>97</v>
      </c>
      <c r="H267" t="s">
        <v>134</v>
      </c>
    </row>
    <row r="268" spans="1:8" x14ac:dyDescent="0.25">
      <c r="A268" s="208">
        <v>9</v>
      </c>
      <c r="B268" t="s">
        <v>98</v>
      </c>
      <c r="C268" t="s">
        <v>134</v>
      </c>
      <c r="F268" s="208">
        <v>3</v>
      </c>
      <c r="G268" t="s">
        <v>98</v>
      </c>
      <c r="H268" t="s">
        <v>134</v>
      </c>
    </row>
    <row r="269" spans="1:8" x14ac:dyDescent="0.25">
      <c r="A269" s="208">
        <v>12</v>
      </c>
      <c r="B269" t="s">
        <v>97</v>
      </c>
      <c r="C269" t="s">
        <v>134</v>
      </c>
      <c r="F269" s="208" t="s">
        <v>163</v>
      </c>
      <c r="G269" t="s">
        <v>98</v>
      </c>
      <c r="H269" t="s">
        <v>134</v>
      </c>
    </row>
    <row r="270" spans="1:8" x14ac:dyDescent="0.25">
      <c r="A270" s="208">
        <v>8</v>
      </c>
      <c r="B270" t="s">
        <v>97</v>
      </c>
      <c r="C270" t="s">
        <v>134</v>
      </c>
      <c r="F270" s="208">
        <v>1</v>
      </c>
      <c r="G270" t="s">
        <v>97</v>
      </c>
      <c r="H270" t="s">
        <v>134</v>
      </c>
    </row>
    <row r="271" spans="1:8" x14ac:dyDescent="0.25">
      <c r="A271" s="208">
        <v>2</v>
      </c>
      <c r="B271" t="s">
        <v>97</v>
      </c>
      <c r="C271" t="s">
        <v>134</v>
      </c>
      <c r="F271" s="208">
        <v>11</v>
      </c>
      <c r="G271" t="s">
        <v>97</v>
      </c>
      <c r="H271" t="s">
        <v>134</v>
      </c>
    </row>
    <row r="272" spans="1:8" x14ac:dyDescent="0.25">
      <c r="A272" s="208">
        <v>4</v>
      </c>
      <c r="B272" t="s">
        <v>97</v>
      </c>
      <c r="C272" t="s">
        <v>134</v>
      </c>
      <c r="F272" s="208" t="s">
        <v>168</v>
      </c>
      <c r="G272" t="s">
        <v>98</v>
      </c>
      <c r="H272" t="s">
        <v>134</v>
      </c>
    </row>
    <row r="273" spans="1:8" x14ac:dyDescent="0.25">
      <c r="A273" s="208">
        <v>6</v>
      </c>
      <c r="B273" t="s">
        <v>97</v>
      </c>
      <c r="C273" t="s">
        <v>134</v>
      </c>
      <c r="F273" s="208">
        <v>4</v>
      </c>
      <c r="G273" t="s">
        <v>98</v>
      </c>
      <c r="H273" t="s">
        <v>134</v>
      </c>
    </row>
    <row r="274" spans="1:8" x14ac:dyDescent="0.25">
      <c r="A274" s="208">
        <v>10</v>
      </c>
      <c r="B274" t="s">
        <v>97</v>
      </c>
      <c r="C274" t="s">
        <v>134</v>
      </c>
      <c r="F274" s="208">
        <v>2</v>
      </c>
      <c r="G274" t="s">
        <v>98</v>
      </c>
      <c r="H274" t="s">
        <v>134</v>
      </c>
    </row>
    <row r="275" spans="1:8" x14ac:dyDescent="0.25">
      <c r="A275" s="208">
        <v>6</v>
      </c>
      <c r="B275" t="s">
        <v>98</v>
      </c>
      <c r="C275" t="s">
        <v>134</v>
      </c>
      <c r="F275" s="208">
        <v>7</v>
      </c>
      <c r="G275" t="s">
        <v>97</v>
      </c>
      <c r="H275" t="s">
        <v>134</v>
      </c>
    </row>
    <row r="276" spans="1:8" x14ac:dyDescent="0.25">
      <c r="A276" s="208">
        <v>2</v>
      </c>
      <c r="B276" t="s">
        <v>97</v>
      </c>
      <c r="C276" t="s">
        <v>134</v>
      </c>
      <c r="F276" s="208">
        <v>4</v>
      </c>
      <c r="G276" t="s">
        <v>98</v>
      </c>
      <c r="H276" t="s">
        <v>134</v>
      </c>
    </row>
    <row r="277" spans="1:8" x14ac:dyDescent="0.25">
      <c r="A277" s="208">
        <v>1</v>
      </c>
      <c r="B277" t="s">
        <v>97</v>
      </c>
      <c r="C277" t="s">
        <v>134</v>
      </c>
      <c r="F277" s="208">
        <v>4</v>
      </c>
      <c r="G277" t="s">
        <v>97</v>
      </c>
      <c r="H277" t="s">
        <v>134</v>
      </c>
    </row>
    <row r="278" spans="1:8" x14ac:dyDescent="0.25">
      <c r="A278" s="208">
        <v>9</v>
      </c>
      <c r="B278" t="s">
        <v>98</v>
      </c>
      <c r="C278" t="s">
        <v>134</v>
      </c>
      <c r="F278" s="208">
        <v>1</v>
      </c>
      <c r="G278" t="s">
        <v>97</v>
      </c>
      <c r="H278" t="s">
        <v>134</v>
      </c>
    </row>
    <row r="279" spans="1:8" x14ac:dyDescent="0.25">
      <c r="A279" s="208">
        <v>2</v>
      </c>
      <c r="B279" t="s">
        <v>97</v>
      </c>
      <c r="C279" t="s">
        <v>134</v>
      </c>
      <c r="F279" s="208">
        <v>2</v>
      </c>
      <c r="G279" t="s">
        <v>98</v>
      </c>
      <c r="H279" t="s">
        <v>134</v>
      </c>
    </row>
    <row r="280" spans="1:8" x14ac:dyDescent="0.25">
      <c r="A280" s="208">
        <v>5</v>
      </c>
      <c r="B280" t="s">
        <v>97</v>
      </c>
      <c r="C280" t="s">
        <v>134</v>
      </c>
      <c r="F280" s="208">
        <v>11</v>
      </c>
      <c r="G280" t="s">
        <v>97</v>
      </c>
      <c r="H280" t="s">
        <v>134</v>
      </c>
    </row>
    <row r="281" spans="1:8" x14ac:dyDescent="0.25">
      <c r="A281" s="208">
        <v>8</v>
      </c>
      <c r="B281" t="s">
        <v>98</v>
      </c>
      <c r="C281" t="s">
        <v>134</v>
      </c>
      <c r="F281" s="208">
        <v>1</v>
      </c>
      <c r="G281" t="s">
        <v>98</v>
      </c>
      <c r="H281" t="s">
        <v>134</v>
      </c>
    </row>
    <row r="282" spans="1:8" x14ac:dyDescent="0.25">
      <c r="A282" s="208">
        <v>10</v>
      </c>
      <c r="B282" t="s">
        <v>98</v>
      </c>
      <c r="C282" t="s">
        <v>134</v>
      </c>
      <c r="F282" s="208" t="s">
        <v>162</v>
      </c>
      <c r="G282" t="s">
        <v>97</v>
      </c>
      <c r="H282" t="s">
        <v>134</v>
      </c>
    </row>
    <row r="283" spans="1:8" x14ac:dyDescent="0.25">
      <c r="A283" s="208">
        <v>1</v>
      </c>
      <c r="B283" t="s">
        <v>97</v>
      </c>
      <c r="C283" t="s">
        <v>134</v>
      </c>
      <c r="F283" s="208">
        <v>6</v>
      </c>
      <c r="G283" t="s">
        <v>97</v>
      </c>
      <c r="H283" t="s">
        <v>134</v>
      </c>
    </row>
    <row r="284" spans="1:8" x14ac:dyDescent="0.25">
      <c r="A284" s="208" t="s">
        <v>143</v>
      </c>
      <c r="B284" t="s">
        <v>98</v>
      </c>
      <c r="C284" t="s">
        <v>134</v>
      </c>
      <c r="F284" s="208">
        <v>3</v>
      </c>
      <c r="G284" t="s">
        <v>98</v>
      </c>
      <c r="H284" t="s">
        <v>134</v>
      </c>
    </row>
    <row r="285" spans="1:8" x14ac:dyDescent="0.25">
      <c r="A285" s="208">
        <v>3</v>
      </c>
      <c r="B285" t="s">
        <v>97</v>
      </c>
      <c r="C285" t="s">
        <v>134</v>
      </c>
      <c r="F285" s="208">
        <v>9</v>
      </c>
      <c r="G285" t="s">
        <v>98</v>
      </c>
      <c r="H285" t="s">
        <v>134</v>
      </c>
    </row>
    <row r="286" spans="1:8" x14ac:dyDescent="0.25">
      <c r="A286" s="208">
        <v>1</v>
      </c>
      <c r="B286" t="s">
        <v>97</v>
      </c>
      <c r="C286" t="s">
        <v>134</v>
      </c>
      <c r="F286" s="208">
        <v>2</v>
      </c>
      <c r="G286" t="s">
        <v>97</v>
      </c>
      <c r="H286" t="s">
        <v>134</v>
      </c>
    </row>
    <row r="287" spans="1:8" x14ac:dyDescent="0.25">
      <c r="A287" s="208">
        <v>1</v>
      </c>
      <c r="B287" t="s">
        <v>97</v>
      </c>
      <c r="C287" t="s">
        <v>134</v>
      </c>
      <c r="F287" s="208">
        <v>20</v>
      </c>
      <c r="G287" t="s">
        <v>98</v>
      </c>
      <c r="H287" t="s">
        <v>38</v>
      </c>
    </row>
    <row r="288" spans="1:8" x14ac:dyDescent="0.25">
      <c r="A288" s="208">
        <v>1</v>
      </c>
      <c r="B288" t="s">
        <v>97</v>
      </c>
      <c r="C288" t="s">
        <v>134</v>
      </c>
      <c r="F288" s="208">
        <v>29</v>
      </c>
      <c r="G288" t="s">
        <v>98</v>
      </c>
      <c r="H288" t="s">
        <v>38</v>
      </c>
    </row>
    <row r="289" spans="1:8" x14ac:dyDescent="0.25">
      <c r="A289" s="208">
        <v>3</v>
      </c>
      <c r="B289" t="s">
        <v>97</v>
      </c>
      <c r="C289" t="s">
        <v>134</v>
      </c>
      <c r="F289" s="208">
        <v>33</v>
      </c>
      <c r="G289" t="s">
        <v>98</v>
      </c>
      <c r="H289" t="s">
        <v>38</v>
      </c>
    </row>
    <row r="290" spans="1:8" x14ac:dyDescent="0.25">
      <c r="A290" s="208">
        <v>2</v>
      </c>
      <c r="B290" t="s">
        <v>97</v>
      </c>
      <c r="C290" t="s">
        <v>134</v>
      </c>
      <c r="F290" s="208">
        <v>25</v>
      </c>
      <c r="G290" t="s">
        <v>98</v>
      </c>
      <c r="H290" t="s">
        <v>38</v>
      </c>
    </row>
    <row r="291" spans="1:8" x14ac:dyDescent="0.25">
      <c r="A291" s="208">
        <v>5</v>
      </c>
      <c r="B291" t="s">
        <v>98</v>
      </c>
      <c r="C291" t="s">
        <v>134</v>
      </c>
      <c r="F291" s="208">
        <v>23</v>
      </c>
      <c r="G291" t="s">
        <v>98</v>
      </c>
      <c r="H291" t="s">
        <v>38</v>
      </c>
    </row>
    <row r="292" spans="1:8" x14ac:dyDescent="0.25">
      <c r="A292" s="208">
        <v>1</v>
      </c>
      <c r="B292" t="s">
        <v>97</v>
      </c>
      <c r="C292" t="s">
        <v>134</v>
      </c>
      <c r="F292" s="208">
        <v>25</v>
      </c>
      <c r="G292" t="s">
        <v>98</v>
      </c>
      <c r="H292" t="s">
        <v>38</v>
      </c>
    </row>
    <row r="293" spans="1:8" x14ac:dyDescent="0.25">
      <c r="A293" s="208">
        <v>9</v>
      </c>
      <c r="B293" t="s">
        <v>97</v>
      </c>
      <c r="C293" t="s">
        <v>134</v>
      </c>
      <c r="F293" s="208">
        <v>34</v>
      </c>
      <c r="G293" t="s">
        <v>98</v>
      </c>
      <c r="H293" t="s">
        <v>38</v>
      </c>
    </row>
    <row r="294" spans="1:8" x14ac:dyDescent="0.25">
      <c r="A294" s="208">
        <v>1</v>
      </c>
      <c r="B294" t="s">
        <v>97</v>
      </c>
      <c r="C294" t="s">
        <v>134</v>
      </c>
      <c r="F294" s="208">
        <v>21</v>
      </c>
      <c r="G294" t="s">
        <v>98</v>
      </c>
      <c r="H294" t="s">
        <v>38</v>
      </c>
    </row>
    <row r="295" spans="1:8" x14ac:dyDescent="0.25">
      <c r="A295" s="208">
        <v>2</v>
      </c>
      <c r="B295" t="s">
        <v>97</v>
      </c>
      <c r="C295" t="s">
        <v>134</v>
      </c>
      <c r="F295" s="208">
        <v>22</v>
      </c>
      <c r="G295" t="s">
        <v>98</v>
      </c>
      <c r="H295" t="s">
        <v>38</v>
      </c>
    </row>
    <row r="296" spans="1:8" x14ac:dyDescent="0.25">
      <c r="A296" s="208">
        <v>1</v>
      </c>
      <c r="B296" t="s">
        <v>97</v>
      </c>
      <c r="C296" t="s">
        <v>134</v>
      </c>
      <c r="F296" s="208">
        <v>37</v>
      </c>
      <c r="G296" t="s">
        <v>98</v>
      </c>
      <c r="H296" t="s">
        <v>38</v>
      </c>
    </row>
    <row r="297" spans="1:8" x14ac:dyDescent="0.25">
      <c r="A297" s="208">
        <v>4</v>
      </c>
      <c r="B297" t="s">
        <v>98</v>
      </c>
      <c r="C297" t="s">
        <v>134</v>
      </c>
      <c r="F297" s="208">
        <v>32</v>
      </c>
      <c r="G297" t="s">
        <v>98</v>
      </c>
      <c r="H297" t="s">
        <v>38</v>
      </c>
    </row>
    <row r="298" spans="1:8" x14ac:dyDescent="0.25">
      <c r="A298" s="208">
        <v>2</v>
      </c>
      <c r="B298" t="s">
        <v>97</v>
      </c>
      <c r="C298" t="s">
        <v>134</v>
      </c>
      <c r="F298" s="208">
        <v>28</v>
      </c>
      <c r="G298" t="s">
        <v>98</v>
      </c>
      <c r="H298" t="s">
        <v>38</v>
      </c>
    </row>
    <row r="299" spans="1:8" x14ac:dyDescent="0.25">
      <c r="A299" s="208">
        <v>11</v>
      </c>
      <c r="B299" t="s">
        <v>97</v>
      </c>
      <c r="C299" t="s">
        <v>134</v>
      </c>
      <c r="F299" s="208">
        <v>20</v>
      </c>
      <c r="G299" t="s">
        <v>98</v>
      </c>
      <c r="H299" t="s">
        <v>38</v>
      </c>
    </row>
    <row r="300" spans="1:8" x14ac:dyDescent="0.25">
      <c r="A300" s="208">
        <v>2</v>
      </c>
      <c r="B300" t="s">
        <v>98</v>
      </c>
      <c r="C300" t="s">
        <v>134</v>
      </c>
      <c r="F300" s="208">
        <v>23</v>
      </c>
      <c r="G300" t="s">
        <v>98</v>
      </c>
      <c r="H300" t="s">
        <v>38</v>
      </c>
    </row>
    <row r="301" spans="1:8" x14ac:dyDescent="0.25">
      <c r="A301" s="208">
        <v>11</v>
      </c>
      <c r="B301" t="s">
        <v>98</v>
      </c>
      <c r="C301" t="s">
        <v>134</v>
      </c>
      <c r="F301" s="208">
        <v>17</v>
      </c>
      <c r="G301" t="s">
        <v>98</v>
      </c>
      <c r="H301" t="s">
        <v>38</v>
      </c>
    </row>
    <row r="302" spans="1:8" x14ac:dyDescent="0.25">
      <c r="A302" s="208">
        <v>3</v>
      </c>
      <c r="B302" t="s">
        <v>98</v>
      </c>
      <c r="C302" t="s">
        <v>134</v>
      </c>
      <c r="F302" s="208">
        <v>36</v>
      </c>
      <c r="G302" t="s">
        <v>98</v>
      </c>
      <c r="H302" t="s">
        <v>38</v>
      </c>
    </row>
    <row r="303" spans="1:8" x14ac:dyDescent="0.25">
      <c r="A303" s="208">
        <v>2</v>
      </c>
      <c r="B303" t="s">
        <v>97</v>
      </c>
      <c r="C303" t="s">
        <v>134</v>
      </c>
      <c r="F303" s="208">
        <v>35</v>
      </c>
      <c r="G303" t="s">
        <v>98</v>
      </c>
      <c r="H303" t="s">
        <v>38</v>
      </c>
    </row>
    <row r="304" spans="1:8" x14ac:dyDescent="0.25">
      <c r="A304" s="208" t="s">
        <v>144</v>
      </c>
      <c r="B304" t="s">
        <v>98</v>
      </c>
      <c r="C304" t="s">
        <v>134</v>
      </c>
      <c r="F304" s="208">
        <v>20</v>
      </c>
      <c r="G304" t="s">
        <v>98</v>
      </c>
      <c r="H304" t="s">
        <v>38</v>
      </c>
    </row>
    <row r="305" spans="1:8" x14ac:dyDescent="0.25">
      <c r="A305" s="208" t="s">
        <v>145</v>
      </c>
      <c r="B305" t="s">
        <v>98</v>
      </c>
      <c r="C305" t="s">
        <v>134</v>
      </c>
      <c r="F305" s="208">
        <v>43</v>
      </c>
      <c r="G305" t="s">
        <v>98</v>
      </c>
      <c r="H305" t="s">
        <v>38</v>
      </c>
    </row>
    <row r="306" spans="1:8" x14ac:dyDescent="0.25">
      <c r="A306" s="208">
        <v>2</v>
      </c>
      <c r="B306" t="s">
        <v>98</v>
      </c>
      <c r="C306" t="s">
        <v>134</v>
      </c>
      <c r="F306" s="208">
        <v>17</v>
      </c>
      <c r="G306" t="s">
        <v>98</v>
      </c>
      <c r="H306" t="s">
        <v>38</v>
      </c>
    </row>
    <row r="307" spans="1:8" x14ac:dyDescent="0.25">
      <c r="A307" s="208" t="s">
        <v>146</v>
      </c>
      <c r="B307" t="s">
        <v>97</v>
      </c>
      <c r="C307" t="s">
        <v>134</v>
      </c>
      <c r="F307" s="208">
        <v>18</v>
      </c>
      <c r="G307" t="s">
        <v>98</v>
      </c>
      <c r="H307" t="s">
        <v>38</v>
      </c>
    </row>
    <row r="308" spans="1:8" x14ac:dyDescent="0.25">
      <c r="A308" s="208">
        <v>6</v>
      </c>
      <c r="B308" t="s">
        <v>97</v>
      </c>
      <c r="C308" t="s">
        <v>134</v>
      </c>
      <c r="F308" s="208">
        <v>35</v>
      </c>
      <c r="G308" t="s">
        <v>98</v>
      </c>
      <c r="H308" t="s">
        <v>38</v>
      </c>
    </row>
    <row r="309" spans="1:8" x14ac:dyDescent="0.25">
      <c r="A309" s="208">
        <v>1</v>
      </c>
      <c r="B309" t="s">
        <v>98</v>
      </c>
      <c r="C309" t="s">
        <v>134</v>
      </c>
      <c r="F309" s="208">
        <v>28</v>
      </c>
      <c r="G309" t="s">
        <v>98</v>
      </c>
      <c r="H309" t="s">
        <v>38</v>
      </c>
    </row>
    <row r="310" spans="1:8" x14ac:dyDescent="0.25">
      <c r="A310" s="208">
        <v>5</v>
      </c>
      <c r="B310" t="s">
        <v>97</v>
      </c>
      <c r="C310" t="s">
        <v>134</v>
      </c>
      <c r="F310" s="208">
        <v>32</v>
      </c>
      <c r="G310" t="s">
        <v>98</v>
      </c>
      <c r="H310" t="s">
        <v>38</v>
      </c>
    </row>
    <row r="311" spans="1:8" x14ac:dyDescent="0.25">
      <c r="A311" s="208">
        <v>7</v>
      </c>
      <c r="B311" t="s">
        <v>98</v>
      </c>
      <c r="C311" t="s">
        <v>134</v>
      </c>
      <c r="F311" s="208">
        <v>21</v>
      </c>
      <c r="G311" t="s">
        <v>98</v>
      </c>
      <c r="H311" t="s">
        <v>38</v>
      </c>
    </row>
    <row r="312" spans="1:8" x14ac:dyDescent="0.25">
      <c r="A312" s="208">
        <v>11</v>
      </c>
      <c r="B312" t="s">
        <v>98</v>
      </c>
      <c r="C312" t="s">
        <v>134</v>
      </c>
      <c r="F312" s="208">
        <v>42</v>
      </c>
      <c r="G312" t="s">
        <v>98</v>
      </c>
      <c r="H312" t="s">
        <v>38</v>
      </c>
    </row>
    <row r="313" spans="1:8" x14ac:dyDescent="0.25">
      <c r="A313" s="208">
        <v>7</v>
      </c>
      <c r="B313" t="s">
        <v>97</v>
      </c>
      <c r="C313" t="s">
        <v>134</v>
      </c>
      <c r="F313" s="208">
        <v>33</v>
      </c>
      <c r="G313" t="s">
        <v>98</v>
      </c>
      <c r="H313" t="s">
        <v>38</v>
      </c>
    </row>
    <row r="314" spans="1:8" x14ac:dyDescent="0.25">
      <c r="A314" s="208">
        <v>1</v>
      </c>
      <c r="B314" t="s">
        <v>98</v>
      </c>
      <c r="C314" t="s">
        <v>134</v>
      </c>
      <c r="F314" s="208">
        <v>22</v>
      </c>
      <c r="G314" t="s">
        <v>98</v>
      </c>
      <c r="H314" t="s">
        <v>38</v>
      </c>
    </row>
    <row r="315" spans="1:8" x14ac:dyDescent="0.25">
      <c r="A315" s="208">
        <v>2</v>
      </c>
      <c r="B315" t="s">
        <v>97</v>
      </c>
      <c r="C315" t="s">
        <v>134</v>
      </c>
      <c r="F315" s="208">
        <v>20</v>
      </c>
      <c r="G315" t="s">
        <v>98</v>
      </c>
      <c r="H315" t="s">
        <v>38</v>
      </c>
    </row>
    <row r="316" spans="1:8" x14ac:dyDescent="0.25">
      <c r="A316" s="208">
        <v>1</v>
      </c>
      <c r="B316" t="s">
        <v>97</v>
      </c>
      <c r="C316" t="s">
        <v>134</v>
      </c>
      <c r="F316" s="208">
        <v>21</v>
      </c>
      <c r="G316" t="s">
        <v>98</v>
      </c>
      <c r="H316" t="s">
        <v>38</v>
      </c>
    </row>
    <row r="317" spans="1:8" x14ac:dyDescent="0.25">
      <c r="A317" s="208">
        <v>11</v>
      </c>
      <c r="B317" t="s">
        <v>98</v>
      </c>
      <c r="C317" t="s">
        <v>134</v>
      </c>
      <c r="F317" s="208">
        <v>31</v>
      </c>
      <c r="G317" t="s">
        <v>98</v>
      </c>
      <c r="H317" t="s">
        <v>38</v>
      </c>
    </row>
    <row r="318" spans="1:8" x14ac:dyDescent="0.25">
      <c r="A318" s="208">
        <v>3</v>
      </c>
      <c r="B318" t="s">
        <v>98</v>
      </c>
      <c r="C318" t="s">
        <v>134</v>
      </c>
      <c r="F318" s="208">
        <v>40</v>
      </c>
      <c r="G318" t="s">
        <v>98</v>
      </c>
      <c r="H318" t="s">
        <v>38</v>
      </c>
    </row>
    <row r="319" spans="1:8" x14ac:dyDescent="0.25">
      <c r="A319" s="208">
        <v>3</v>
      </c>
      <c r="B319" t="s">
        <v>97</v>
      </c>
      <c r="C319" t="s">
        <v>134</v>
      </c>
      <c r="F319" s="208">
        <v>26</v>
      </c>
      <c r="G319" t="s">
        <v>98</v>
      </c>
      <c r="H319" t="s">
        <v>38</v>
      </c>
    </row>
    <row r="320" spans="1:8" x14ac:dyDescent="0.25">
      <c r="A320" s="208" t="s">
        <v>144</v>
      </c>
      <c r="B320" t="s">
        <v>97</v>
      </c>
      <c r="C320" t="s">
        <v>134</v>
      </c>
      <c r="F320" s="208">
        <v>18</v>
      </c>
      <c r="G320" t="s">
        <v>98</v>
      </c>
      <c r="H320" t="s">
        <v>38</v>
      </c>
    </row>
    <row r="321" spans="1:8" x14ac:dyDescent="0.25">
      <c r="A321" s="208">
        <v>1</v>
      </c>
      <c r="B321" t="s">
        <v>98</v>
      </c>
      <c r="C321" t="s">
        <v>134</v>
      </c>
      <c r="F321" s="208">
        <v>30</v>
      </c>
      <c r="G321" t="s">
        <v>98</v>
      </c>
      <c r="H321" t="s">
        <v>38</v>
      </c>
    </row>
    <row r="322" spans="1:8" x14ac:dyDescent="0.25">
      <c r="A322" s="208">
        <v>42</v>
      </c>
      <c r="B322" t="s">
        <v>98</v>
      </c>
      <c r="C322" t="s">
        <v>38</v>
      </c>
      <c r="F322" s="208">
        <v>33</v>
      </c>
      <c r="G322" t="s">
        <v>98</v>
      </c>
      <c r="H322" t="s">
        <v>38</v>
      </c>
    </row>
    <row r="323" spans="1:8" x14ac:dyDescent="0.25">
      <c r="A323" s="208">
        <v>40</v>
      </c>
      <c r="B323" t="s">
        <v>98</v>
      </c>
      <c r="C323" t="s">
        <v>38</v>
      </c>
      <c r="F323" s="208">
        <v>30</v>
      </c>
      <c r="G323" t="s">
        <v>98</v>
      </c>
      <c r="H323" t="s">
        <v>38</v>
      </c>
    </row>
    <row r="324" spans="1:8" x14ac:dyDescent="0.25">
      <c r="A324" s="208">
        <v>25</v>
      </c>
      <c r="B324" t="s">
        <v>98</v>
      </c>
      <c r="C324" t="s">
        <v>38</v>
      </c>
      <c r="F324" s="208">
        <v>33</v>
      </c>
      <c r="G324" t="s">
        <v>98</v>
      </c>
      <c r="H324" t="s">
        <v>38</v>
      </c>
    </row>
    <row r="325" spans="1:8" x14ac:dyDescent="0.25">
      <c r="A325" s="208">
        <v>18</v>
      </c>
      <c r="B325" t="s">
        <v>98</v>
      </c>
      <c r="C325" t="s">
        <v>38</v>
      </c>
      <c r="F325" s="208">
        <v>33</v>
      </c>
      <c r="G325" t="s">
        <v>98</v>
      </c>
      <c r="H325" t="s">
        <v>38</v>
      </c>
    </row>
    <row r="326" spans="1:8" x14ac:dyDescent="0.25">
      <c r="A326" s="208">
        <v>26</v>
      </c>
      <c r="B326" t="s">
        <v>98</v>
      </c>
      <c r="C326" t="s">
        <v>38</v>
      </c>
      <c r="F326" s="208">
        <v>25</v>
      </c>
      <c r="G326" t="s">
        <v>98</v>
      </c>
      <c r="H326" t="s">
        <v>38</v>
      </c>
    </row>
    <row r="327" spans="1:8" x14ac:dyDescent="0.25">
      <c r="A327" s="208">
        <v>52</v>
      </c>
      <c r="B327" t="s">
        <v>98</v>
      </c>
      <c r="C327" t="s">
        <v>38</v>
      </c>
      <c r="F327" s="208">
        <v>32</v>
      </c>
      <c r="G327" t="s">
        <v>98</v>
      </c>
      <c r="H327" t="s">
        <v>38</v>
      </c>
    </row>
    <row r="328" spans="1:8" x14ac:dyDescent="0.25">
      <c r="A328" s="208">
        <v>29</v>
      </c>
      <c r="B328" t="s">
        <v>98</v>
      </c>
      <c r="C328" t="s">
        <v>38</v>
      </c>
      <c r="F328" s="208">
        <v>20</v>
      </c>
      <c r="G328" t="s">
        <v>98</v>
      </c>
      <c r="H328" t="s">
        <v>38</v>
      </c>
    </row>
    <row r="329" spans="1:8" x14ac:dyDescent="0.25">
      <c r="A329" s="208">
        <v>21</v>
      </c>
      <c r="B329" t="s">
        <v>98</v>
      </c>
      <c r="C329" t="s">
        <v>38</v>
      </c>
      <c r="F329" s="208">
        <v>20</v>
      </c>
      <c r="G329" t="s">
        <v>98</v>
      </c>
      <c r="H329" t="s">
        <v>38</v>
      </c>
    </row>
    <row r="330" spans="1:8" x14ac:dyDescent="0.25">
      <c r="A330" s="208">
        <v>33</v>
      </c>
      <c r="B330" t="s">
        <v>98</v>
      </c>
      <c r="C330" t="s">
        <v>38</v>
      </c>
      <c r="F330" s="208">
        <v>48</v>
      </c>
      <c r="G330" t="s">
        <v>98</v>
      </c>
      <c r="H330" t="s">
        <v>38</v>
      </c>
    </row>
    <row r="331" spans="1:8" x14ac:dyDescent="0.25">
      <c r="A331" s="208">
        <v>30</v>
      </c>
      <c r="B331" t="s">
        <v>98</v>
      </c>
      <c r="C331" t="s">
        <v>38</v>
      </c>
      <c r="F331" s="208">
        <v>32</v>
      </c>
      <c r="G331" t="s">
        <v>98</v>
      </c>
      <c r="H331" t="s">
        <v>38</v>
      </c>
    </row>
    <row r="332" spans="1:8" x14ac:dyDescent="0.25">
      <c r="A332" s="208">
        <v>36</v>
      </c>
      <c r="B332" t="s">
        <v>98</v>
      </c>
      <c r="C332" t="s">
        <v>38</v>
      </c>
      <c r="F332" s="208">
        <v>28</v>
      </c>
      <c r="G332" t="s">
        <v>98</v>
      </c>
      <c r="H332" t="s">
        <v>38</v>
      </c>
    </row>
    <row r="333" spans="1:8" x14ac:dyDescent="0.25">
      <c r="A333" s="208">
        <v>37</v>
      </c>
      <c r="B333" t="s">
        <v>98</v>
      </c>
      <c r="C333" t="s">
        <v>38</v>
      </c>
      <c r="F333" s="208">
        <v>26</v>
      </c>
      <c r="G333" t="s">
        <v>98</v>
      </c>
      <c r="H333" t="s">
        <v>38</v>
      </c>
    </row>
    <row r="334" spans="1:8" x14ac:dyDescent="0.25">
      <c r="A334" s="208">
        <v>16</v>
      </c>
      <c r="B334" t="s">
        <v>98</v>
      </c>
      <c r="C334" t="s">
        <v>38</v>
      </c>
      <c r="F334" s="208">
        <v>19</v>
      </c>
      <c r="G334" t="s">
        <v>98</v>
      </c>
      <c r="H334" t="s">
        <v>38</v>
      </c>
    </row>
    <row r="335" spans="1:8" x14ac:dyDescent="0.25">
      <c r="A335" s="208">
        <v>30</v>
      </c>
      <c r="B335" t="s">
        <v>98</v>
      </c>
      <c r="C335" t="s">
        <v>38</v>
      </c>
      <c r="F335" s="208">
        <v>19</v>
      </c>
      <c r="G335" t="s">
        <v>98</v>
      </c>
      <c r="H335" t="s">
        <v>38</v>
      </c>
    </row>
    <row r="336" spans="1:8" x14ac:dyDescent="0.25">
      <c r="A336" s="208">
        <v>24</v>
      </c>
      <c r="B336" t="s">
        <v>98</v>
      </c>
      <c r="C336" t="s">
        <v>38</v>
      </c>
      <c r="F336" s="208">
        <v>45</v>
      </c>
      <c r="G336" t="s">
        <v>98</v>
      </c>
      <c r="H336" t="s">
        <v>56</v>
      </c>
    </row>
    <row r="337" spans="1:8" x14ac:dyDescent="0.25">
      <c r="A337" s="208">
        <v>17</v>
      </c>
      <c r="B337" t="s">
        <v>98</v>
      </c>
      <c r="C337" t="s">
        <v>38</v>
      </c>
      <c r="F337" s="208">
        <v>16</v>
      </c>
      <c r="G337" t="s">
        <v>98</v>
      </c>
      <c r="H337" t="s">
        <v>56</v>
      </c>
    </row>
    <row r="338" spans="1:8" x14ac:dyDescent="0.25">
      <c r="A338" s="208">
        <v>35</v>
      </c>
      <c r="B338" t="s">
        <v>98</v>
      </c>
      <c r="C338" t="s">
        <v>38</v>
      </c>
      <c r="F338" s="208">
        <v>38</v>
      </c>
      <c r="G338" t="s">
        <v>98</v>
      </c>
      <c r="H338" t="s">
        <v>56</v>
      </c>
    </row>
    <row r="339" spans="1:8" x14ac:dyDescent="0.25">
      <c r="A339" s="208">
        <v>26</v>
      </c>
      <c r="B339" t="s">
        <v>98</v>
      </c>
      <c r="C339" t="s">
        <v>38</v>
      </c>
      <c r="F339" s="208">
        <v>19</v>
      </c>
      <c r="G339" t="s">
        <v>98</v>
      </c>
      <c r="H339" t="s">
        <v>56</v>
      </c>
    </row>
    <row r="340" spans="1:8" x14ac:dyDescent="0.25">
      <c r="A340" s="208">
        <v>27</v>
      </c>
      <c r="B340" t="s">
        <v>98</v>
      </c>
      <c r="C340" t="s">
        <v>38</v>
      </c>
      <c r="F340" s="208">
        <v>32</v>
      </c>
      <c r="G340" t="s">
        <v>98</v>
      </c>
      <c r="H340" t="s">
        <v>56</v>
      </c>
    </row>
    <row r="341" spans="1:8" x14ac:dyDescent="0.25">
      <c r="A341" s="208">
        <v>16</v>
      </c>
      <c r="B341" t="s">
        <v>98</v>
      </c>
      <c r="C341" t="s">
        <v>38</v>
      </c>
      <c r="F341" s="208">
        <v>19</v>
      </c>
      <c r="G341" t="s">
        <v>98</v>
      </c>
      <c r="H341" t="s">
        <v>56</v>
      </c>
    </row>
    <row r="342" spans="1:8" x14ac:dyDescent="0.25">
      <c r="A342" s="208">
        <v>24</v>
      </c>
      <c r="B342" t="s">
        <v>98</v>
      </c>
      <c r="C342" t="s">
        <v>38</v>
      </c>
      <c r="F342" s="208">
        <v>20</v>
      </c>
      <c r="G342" t="s">
        <v>98</v>
      </c>
      <c r="H342" t="s">
        <v>56</v>
      </c>
    </row>
    <row r="343" spans="1:8" x14ac:dyDescent="0.25">
      <c r="A343" s="208">
        <v>21</v>
      </c>
      <c r="B343" t="s">
        <v>98</v>
      </c>
      <c r="C343" t="s">
        <v>38</v>
      </c>
      <c r="F343" s="208">
        <v>27</v>
      </c>
      <c r="G343" t="s">
        <v>98</v>
      </c>
      <c r="H343" t="s">
        <v>56</v>
      </c>
    </row>
    <row r="344" spans="1:8" x14ac:dyDescent="0.25">
      <c r="A344" s="208">
        <v>19</v>
      </c>
      <c r="B344" t="s">
        <v>98</v>
      </c>
      <c r="C344" t="s">
        <v>38</v>
      </c>
      <c r="F344" s="208">
        <v>25</v>
      </c>
      <c r="G344" t="s">
        <v>98</v>
      </c>
      <c r="H344" t="s">
        <v>56</v>
      </c>
    </row>
    <row r="345" spans="1:8" x14ac:dyDescent="0.25">
      <c r="A345" s="208">
        <v>34</v>
      </c>
      <c r="B345" t="s">
        <v>98</v>
      </c>
      <c r="C345" t="s">
        <v>38</v>
      </c>
      <c r="F345" s="208">
        <v>29</v>
      </c>
      <c r="G345" t="s">
        <v>98</v>
      </c>
      <c r="H345" t="s">
        <v>56</v>
      </c>
    </row>
    <row r="346" spans="1:8" x14ac:dyDescent="0.25">
      <c r="A346" s="208">
        <v>19</v>
      </c>
      <c r="B346" t="s">
        <v>98</v>
      </c>
      <c r="C346" t="s">
        <v>38</v>
      </c>
      <c r="F346" s="208">
        <v>26</v>
      </c>
      <c r="G346" t="s">
        <v>98</v>
      </c>
      <c r="H346" t="s">
        <v>56</v>
      </c>
    </row>
    <row r="347" spans="1:8" x14ac:dyDescent="0.25">
      <c r="A347" s="208">
        <v>31</v>
      </c>
      <c r="B347" t="s">
        <v>98</v>
      </c>
      <c r="C347" t="s">
        <v>38</v>
      </c>
      <c r="F347" s="208">
        <v>33</v>
      </c>
      <c r="G347" t="s">
        <v>98</v>
      </c>
      <c r="H347" t="s">
        <v>56</v>
      </c>
    </row>
    <row r="348" spans="1:8" x14ac:dyDescent="0.25">
      <c r="A348" s="208">
        <v>35</v>
      </c>
      <c r="B348" t="s">
        <v>98</v>
      </c>
      <c r="C348" t="s">
        <v>38</v>
      </c>
      <c r="F348" s="208">
        <v>27</v>
      </c>
      <c r="G348" t="s">
        <v>98</v>
      </c>
      <c r="H348" t="s">
        <v>56</v>
      </c>
    </row>
    <row r="349" spans="1:8" x14ac:dyDescent="0.25">
      <c r="A349" s="208">
        <v>38</v>
      </c>
      <c r="B349" t="s">
        <v>98</v>
      </c>
      <c r="C349" t="s">
        <v>38</v>
      </c>
      <c r="F349" s="208">
        <v>37</v>
      </c>
      <c r="G349" t="s">
        <v>98</v>
      </c>
      <c r="H349" t="s">
        <v>56</v>
      </c>
    </row>
    <row r="350" spans="1:8" x14ac:dyDescent="0.25">
      <c r="A350" s="208">
        <v>34</v>
      </c>
      <c r="B350" t="s">
        <v>98</v>
      </c>
      <c r="C350" t="s">
        <v>38</v>
      </c>
      <c r="F350" s="208">
        <v>29</v>
      </c>
      <c r="G350" t="s">
        <v>98</v>
      </c>
      <c r="H350" t="s">
        <v>56</v>
      </c>
    </row>
    <row r="351" spans="1:8" x14ac:dyDescent="0.25">
      <c r="A351" s="208">
        <v>37</v>
      </c>
      <c r="B351" t="s">
        <v>98</v>
      </c>
      <c r="C351" t="s">
        <v>38</v>
      </c>
      <c r="F351" s="208">
        <v>34</v>
      </c>
      <c r="G351" t="s">
        <v>98</v>
      </c>
      <c r="H351" t="s">
        <v>56</v>
      </c>
    </row>
    <row r="352" spans="1:8" x14ac:dyDescent="0.25">
      <c r="A352" s="208">
        <v>22</v>
      </c>
      <c r="B352" t="s">
        <v>98</v>
      </c>
      <c r="C352" t="s">
        <v>38</v>
      </c>
      <c r="F352" s="208">
        <v>33</v>
      </c>
      <c r="G352" t="s">
        <v>98</v>
      </c>
      <c r="H352" t="s">
        <v>56</v>
      </c>
    </row>
    <row r="353" spans="1:8" x14ac:dyDescent="0.25">
      <c r="A353" s="208">
        <v>41</v>
      </c>
      <c r="B353" t="s">
        <v>98</v>
      </c>
      <c r="C353" t="s">
        <v>38</v>
      </c>
      <c r="F353" s="208">
        <v>20</v>
      </c>
      <c r="G353" t="s">
        <v>98</v>
      </c>
      <c r="H353" t="s">
        <v>56</v>
      </c>
    </row>
    <row r="354" spans="1:8" x14ac:dyDescent="0.25">
      <c r="A354" s="208">
        <v>28</v>
      </c>
      <c r="B354" t="s">
        <v>98</v>
      </c>
      <c r="C354" t="s">
        <v>38</v>
      </c>
      <c r="F354" s="208">
        <v>18</v>
      </c>
      <c r="G354" t="s">
        <v>98</v>
      </c>
      <c r="H354" t="s">
        <v>56</v>
      </c>
    </row>
    <row r="355" spans="1:8" x14ac:dyDescent="0.25">
      <c r="A355" s="208">
        <v>26</v>
      </c>
      <c r="B355" t="s">
        <v>98</v>
      </c>
      <c r="C355" t="s">
        <v>38</v>
      </c>
      <c r="F355" s="208">
        <v>28</v>
      </c>
      <c r="G355" t="s">
        <v>98</v>
      </c>
      <c r="H355" t="s">
        <v>56</v>
      </c>
    </row>
    <row r="356" spans="1:8" x14ac:dyDescent="0.25">
      <c r="A356" s="208">
        <v>23</v>
      </c>
      <c r="B356" t="s">
        <v>98</v>
      </c>
      <c r="C356" t="s">
        <v>38</v>
      </c>
      <c r="F356" s="208">
        <v>21</v>
      </c>
      <c r="G356" t="s">
        <v>98</v>
      </c>
      <c r="H356" t="s">
        <v>56</v>
      </c>
    </row>
    <row r="357" spans="1:8" x14ac:dyDescent="0.25">
      <c r="A357" s="208">
        <v>28</v>
      </c>
      <c r="B357" t="s">
        <v>98</v>
      </c>
      <c r="C357" t="s">
        <v>38</v>
      </c>
      <c r="F357" s="208">
        <v>22</v>
      </c>
      <c r="G357" t="s">
        <v>98</v>
      </c>
      <c r="H357" t="s">
        <v>56</v>
      </c>
    </row>
    <row r="358" spans="1:8" x14ac:dyDescent="0.25">
      <c r="A358" s="208">
        <v>31</v>
      </c>
      <c r="B358" t="s">
        <v>98</v>
      </c>
      <c r="C358" t="s">
        <v>38</v>
      </c>
      <c r="F358" s="208">
        <v>27</v>
      </c>
      <c r="G358" t="s">
        <v>98</v>
      </c>
      <c r="H358" t="s">
        <v>56</v>
      </c>
    </row>
    <row r="359" spans="1:8" x14ac:dyDescent="0.25">
      <c r="A359" s="208">
        <v>24</v>
      </c>
      <c r="B359" t="s">
        <v>98</v>
      </c>
      <c r="C359" t="s">
        <v>38</v>
      </c>
      <c r="F359" s="208">
        <v>35</v>
      </c>
      <c r="G359" t="s">
        <v>98</v>
      </c>
      <c r="H359" t="s">
        <v>56</v>
      </c>
    </row>
    <row r="360" spans="1:8" x14ac:dyDescent="0.25">
      <c r="A360" s="208">
        <v>28</v>
      </c>
      <c r="B360" t="s">
        <v>98</v>
      </c>
      <c r="C360" t="s">
        <v>38</v>
      </c>
      <c r="F360" s="208">
        <v>20</v>
      </c>
      <c r="G360" t="s">
        <v>98</v>
      </c>
      <c r="H360" t="s">
        <v>56</v>
      </c>
    </row>
    <row r="361" spans="1:8" x14ac:dyDescent="0.25">
      <c r="A361" s="208">
        <v>20</v>
      </c>
      <c r="B361" t="s">
        <v>98</v>
      </c>
      <c r="C361" t="s">
        <v>38</v>
      </c>
      <c r="F361" s="208">
        <v>27</v>
      </c>
      <c r="G361" t="s">
        <v>98</v>
      </c>
      <c r="H361" t="s">
        <v>56</v>
      </c>
    </row>
    <row r="362" spans="1:8" x14ac:dyDescent="0.25">
      <c r="A362" s="208">
        <v>36</v>
      </c>
      <c r="B362" t="s">
        <v>98</v>
      </c>
      <c r="C362" t="s">
        <v>38</v>
      </c>
      <c r="F362" s="208">
        <v>18</v>
      </c>
      <c r="G362" t="s">
        <v>98</v>
      </c>
      <c r="H362" t="s">
        <v>56</v>
      </c>
    </row>
    <row r="363" spans="1:8" x14ac:dyDescent="0.25">
      <c r="A363" s="208">
        <v>32</v>
      </c>
      <c r="B363" t="s">
        <v>98</v>
      </c>
      <c r="C363" t="s">
        <v>38</v>
      </c>
      <c r="F363" s="208">
        <v>21</v>
      </c>
      <c r="G363" t="s">
        <v>98</v>
      </c>
      <c r="H363" t="s">
        <v>56</v>
      </c>
    </row>
    <row r="364" spans="1:8" x14ac:dyDescent="0.25">
      <c r="A364" s="208">
        <v>20</v>
      </c>
      <c r="B364" t="s">
        <v>98</v>
      </c>
      <c r="C364" t="s">
        <v>38</v>
      </c>
      <c r="F364" s="208">
        <v>36</v>
      </c>
      <c r="G364" t="s">
        <v>98</v>
      </c>
      <c r="H364" t="s">
        <v>56</v>
      </c>
    </row>
    <row r="365" spans="1:8" x14ac:dyDescent="0.25">
      <c r="A365" s="208">
        <v>43</v>
      </c>
      <c r="B365" t="s">
        <v>98</v>
      </c>
      <c r="C365" t="s">
        <v>38</v>
      </c>
      <c r="F365" s="208">
        <v>28</v>
      </c>
      <c r="G365" t="s">
        <v>98</v>
      </c>
      <c r="H365" t="s">
        <v>56</v>
      </c>
    </row>
    <row r="366" spans="1:8" x14ac:dyDescent="0.25">
      <c r="A366" s="208">
        <v>27</v>
      </c>
      <c r="B366" t="s">
        <v>98</v>
      </c>
      <c r="C366" t="s">
        <v>38</v>
      </c>
      <c r="F366" s="208">
        <v>20</v>
      </c>
      <c r="G366" t="s">
        <v>98</v>
      </c>
      <c r="H366" t="s">
        <v>56</v>
      </c>
    </row>
    <row r="367" spans="1:8" x14ac:dyDescent="0.25">
      <c r="A367" s="208">
        <v>31</v>
      </c>
      <c r="B367" t="s">
        <v>98</v>
      </c>
      <c r="C367" t="s">
        <v>38</v>
      </c>
      <c r="F367" s="208">
        <v>22</v>
      </c>
      <c r="G367" t="s">
        <v>98</v>
      </c>
      <c r="H367" t="s">
        <v>56</v>
      </c>
    </row>
    <row r="368" spans="1:8" x14ac:dyDescent="0.25">
      <c r="A368" s="208">
        <v>41</v>
      </c>
      <c r="B368" t="s">
        <v>98</v>
      </c>
      <c r="C368" t="s">
        <v>38</v>
      </c>
      <c r="F368" s="208">
        <v>28</v>
      </c>
      <c r="G368" t="s">
        <v>98</v>
      </c>
      <c r="H368" t="s">
        <v>56</v>
      </c>
    </row>
    <row r="369" spans="1:8" x14ac:dyDescent="0.25">
      <c r="A369" s="208">
        <v>34</v>
      </c>
      <c r="B369" t="s">
        <v>98</v>
      </c>
      <c r="C369" t="s">
        <v>38</v>
      </c>
      <c r="F369" s="208">
        <v>23</v>
      </c>
      <c r="G369" t="s">
        <v>98</v>
      </c>
      <c r="H369" t="s">
        <v>56</v>
      </c>
    </row>
    <row r="370" spans="1:8" x14ac:dyDescent="0.25">
      <c r="A370" s="208">
        <v>26</v>
      </c>
      <c r="B370" t="s">
        <v>98</v>
      </c>
      <c r="C370" t="s">
        <v>38</v>
      </c>
      <c r="F370" s="208">
        <v>26</v>
      </c>
      <c r="G370" t="s">
        <v>98</v>
      </c>
      <c r="H370" t="s">
        <v>56</v>
      </c>
    </row>
    <row r="371" spans="1:8" x14ac:dyDescent="0.25">
      <c r="A371" s="208">
        <v>18</v>
      </c>
      <c r="B371" t="s">
        <v>98</v>
      </c>
      <c r="C371" t="s">
        <v>38</v>
      </c>
      <c r="F371" s="208">
        <v>21</v>
      </c>
      <c r="G371" t="s">
        <v>98</v>
      </c>
      <c r="H371" t="s">
        <v>56</v>
      </c>
    </row>
    <row r="372" spans="1:8" x14ac:dyDescent="0.25">
      <c r="A372" s="208">
        <v>20</v>
      </c>
      <c r="B372" t="s">
        <v>98</v>
      </c>
      <c r="C372" t="s">
        <v>38</v>
      </c>
      <c r="F372" s="208">
        <v>36</v>
      </c>
      <c r="G372" t="s">
        <v>98</v>
      </c>
      <c r="H372" t="s">
        <v>56</v>
      </c>
    </row>
    <row r="373" spans="1:8" x14ac:dyDescent="0.25">
      <c r="A373" s="208">
        <v>20</v>
      </c>
      <c r="B373" t="s">
        <v>98</v>
      </c>
      <c r="C373" t="s">
        <v>38</v>
      </c>
      <c r="F373" s="208">
        <v>23</v>
      </c>
      <c r="G373" t="s">
        <v>98</v>
      </c>
      <c r="H373" t="s">
        <v>56</v>
      </c>
    </row>
    <row r="374" spans="1:8" x14ac:dyDescent="0.25">
      <c r="A374" s="208">
        <v>29</v>
      </c>
      <c r="B374" t="s">
        <v>98</v>
      </c>
      <c r="C374" t="s">
        <v>38</v>
      </c>
      <c r="F374" s="208">
        <v>27</v>
      </c>
      <c r="G374" t="s">
        <v>98</v>
      </c>
      <c r="H374" t="s">
        <v>56</v>
      </c>
    </row>
    <row r="375" spans="1:8" x14ac:dyDescent="0.25">
      <c r="A375" s="208">
        <v>28</v>
      </c>
      <c r="B375" t="s">
        <v>98</v>
      </c>
      <c r="C375" t="s">
        <v>38</v>
      </c>
      <c r="F375" s="208">
        <v>23</v>
      </c>
      <c r="G375" t="s">
        <v>98</v>
      </c>
      <c r="H375" t="s">
        <v>56</v>
      </c>
    </row>
    <row r="376" spans="1:8" x14ac:dyDescent="0.25">
      <c r="A376" s="208">
        <v>30</v>
      </c>
      <c r="B376" t="s">
        <v>98</v>
      </c>
      <c r="C376" t="s">
        <v>38</v>
      </c>
      <c r="F376" s="208">
        <v>33</v>
      </c>
      <c r="G376" t="s">
        <v>98</v>
      </c>
      <c r="H376" t="s">
        <v>56</v>
      </c>
    </row>
    <row r="377" spans="1:8" x14ac:dyDescent="0.25">
      <c r="A377" s="208">
        <v>30</v>
      </c>
      <c r="B377" t="s">
        <v>98</v>
      </c>
      <c r="C377" t="s">
        <v>38</v>
      </c>
      <c r="F377" s="208">
        <v>25</v>
      </c>
      <c r="G377" t="s">
        <v>98</v>
      </c>
      <c r="H377" t="s">
        <v>56</v>
      </c>
    </row>
    <row r="378" spans="1:8" x14ac:dyDescent="0.25">
      <c r="A378" s="208">
        <v>42</v>
      </c>
      <c r="B378" t="s">
        <v>98</v>
      </c>
      <c r="C378" t="s">
        <v>38</v>
      </c>
      <c r="F378" s="208">
        <v>28</v>
      </c>
      <c r="G378" t="s">
        <v>98</v>
      </c>
      <c r="H378" t="s">
        <v>56</v>
      </c>
    </row>
    <row r="379" spans="1:8" x14ac:dyDescent="0.25">
      <c r="A379" s="208">
        <v>24</v>
      </c>
      <c r="B379" t="s">
        <v>98</v>
      </c>
      <c r="C379" t="s">
        <v>38</v>
      </c>
      <c r="F379" s="208">
        <v>28</v>
      </c>
      <c r="G379" t="s">
        <v>98</v>
      </c>
      <c r="H379" t="s">
        <v>56</v>
      </c>
    </row>
    <row r="380" spans="1:8" x14ac:dyDescent="0.25">
      <c r="A380" s="208">
        <v>37</v>
      </c>
      <c r="B380" t="s">
        <v>98</v>
      </c>
      <c r="C380" t="s">
        <v>38</v>
      </c>
      <c r="F380" s="208">
        <v>30</v>
      </c>
      <c r="G380" t="s">
        <v>98</v>
      </c>
      <c r="H380" t="s">
        <v>56</v>
      </c>
    </row>
    <row r="381" spans="1:8" x14ac:dyDescent="0.25">
      <c r="A381" s="208">
        <v>52</v>
      </c>
      <c r="B381" t="s">
        <v>98</v>
      </c>
      <c r="C381" t="s">
        <v>38</v>
      </c>
      <c r="F381" s="208">
        <v>29</v>
      </c>
      <c r="G381" t="s">
        <v>98</v>
      </c>
      <c r="H381" t="s">
        <v>56</v>
      </c>
    </row>
    <row r="382" spans="1:8" x14ac:dyDescent="0.25">
      <c r="A382" s="208">
        <v>30</v>
      </c>
      <c r="B382" t="s">
        <v>98</v>
      </c>
      <c r="C382" t="s">
        <v>38</v>
      </c>
      <c r="F382" s="208">
        <v>34</v>
      </c>
      <c r="G382" t="s">
        <v>98</v>
      </c>
      <c r="H382" t="s">
        <v>56</v>
      </c>
    </row>
    <row r="383" spans="1:8" x14ac:dyDescent="0.25">
      <c r="A383" s="208">
        <v>20</v>
      </c>
      <c r="B383" t="s">
        <v>98</v>
      </c>
      <c r="C383" t="s">
        <v>38</v>
      </c>
      <c r="F383" s="208">
        <v>30</v>
      </c>
      <c r="G383" t="s">
        <v>98</v>
      </c>
      <c r="H383" t="s">
        <v>56</v>
      </c>
    </row>
    <row r="384" spans="1:8" x14ac:dyDescent="0.25">
      <c r="A384" s="208">
        <v>36</v>
      </c>
      <c r="B384" t="s">
        <v>98</v>
      </c>
      <c r="C384" t="s">
        <v>38</v>
      </c>
      <c r="F384" s="208">
        <v>47</v>
      </c>
      <c r="G384" t="s">
        <v>98</v>
      </c>
      <c r="H384" t="s">
        <v>56</v>
      </c>
    </row>
    <row r="385" spans="1:8" x14ac:dyDescent="0.25">
      <c r="A385" s="208">
        <v>20</v>
      </c>
      <c r="B385" t="s">
        <v>98</v>
      </c>
      <c r="C385" t="s">
        <v>38</v>
      </c>
      <c r="F385" s="208">
        <v>36</v>
      </c>
      <c r="G385" t="s">
        <v>98</v>
      </c>
      <c r="H385" t="s">
        <v>56</v>
      </c>
    </row>
    <row r="386" spans="1:8" x14ac:dyDescent="0.25">
      <c r="A386" s="208">
        <v>33</v>
      </c>
      <c r="B386" t="s">
        <v>98</v>
      </c>
      <c r="C386" t="s">
        <v>38</v>
      </c>
      <c r="F386" s="208">
        <v>22</v>
      </c>
      <c r="G386" t="s">
        <v>98</v>
      </c>
      <c r="H386" t="s">
        <v>56</v>
      </c>
    </row>
    <row r="387" spans="1:8" x14ac:dyDescent="0.25">
      <c r="A387" s="208">
        <v>37</v>
      </c>
      <c r="B387" t="s">
        <v>98</v>
      </c>
      <c r="C387" t="s">
        <v>38</v>
      </c>
      <c r="F387" s="208">
        <v>17</v>
      </c>
      <c r="G387" t="s">
        <v>98</v>
      </c>
      <c r="H387" t="s">
        <v>56</v>
      </c>
    </row>
    <row r="388" spans="1:8" x14ac:dyDescent="0.25">
      <c r="A388" s="208">
        <v>32</v>
      </c>
      <c r="B388" t="s">
        <v>98</v>
      </c>
      <c r="C388" t="s">
        <v>38</v>
      </c>
      <c r="F388" s="208">
        <v>29</v>
      </c>
      <c r="G388" t="s">
        <v>98</v>
      </c>
      <c r="H388" t="s">
        <v>56</v>
      </c>
    </row>
    <row r="389" spans="1:8" x14ac:dyDescent="0.25">
      <c r="A389" s="208">
        <v>30</v>
      </c>
      <c r="B389" t="s">
        <v>98</v>
      </c>
      <c r="C389" t="s">
        <v>38</v>
      </c>
      <c r="F389" s="208">
        <v>31</v>
      </c>
      <c r="G389" t="s">
        <v>98</v>
      </c>
      <c r="H389" t="s">
        <v>56</v>
      </c>
    </row>
    <row r="390" spans="1:8" x14ac:dyDescent="0.25">
      <c r="A390" s="208">
        <v>33</v>
      </c>
      <c r="B390" t="s">
        <v>98</v>
      </c>
      <c r="C390" t="s">
        <v>38</v>
      </c>
      <c r="F390" s="208">
        <v>34</v>
      </c>
      <c r="G390" t="s">
        <v>98</v>
      </c>
      <c r="H390" t="s">
        <v>56</v>
      </c>
    </row>
    <row r="391" spans="1:8" x14ac:dyDescent="0.25">
      <c r="A391" s="208">
        <v>14</v>
      </c>
      <c r="B391" t="s">
        <v>98</v>
      </c>
      <c r="C391" t="s">
        <v>38</v>
      </c>
      <c r="F391" s="208">
        <v>39</v>
      </c>
      <c r="G391" t="s">
        <v>98</v>
      </c>
      <c r="H391" t="s">
        <v>56</v>
      </c>
    </row>
    <row r="392" spans="1:8" x14ac:dyDescent="0.25">
      <c r="A392" s="208">
        <v>33</v>
      </c>
      <c r="B392" t="s">
        <v>98</v>
      </c>
      <c r="C392" t="s">
        <v>38</v>
      </c>
      <c r="F392" s="208">
        <v>14</v>
      </c>
      <c r="G392" t="s">
        <v>98</v>
      </c>
      <c r="H392" t="s">
        <v>56</v>
      </c>
    </row>
    <row r="393" spans="1:8" x14ac:dyDescent="0.25">
      <c r="A393" s="208">
        <v>36</v>
      </c>
      <c r="B393" t="s">
        <v>98</v>
      </c>
      <c r="C393" t="s">
        <v>38</v>
      </c>
      <c r="F393" s="208">
        <v>39</v>
      </c>
      <c r="G393" t="s">
        <v>98</v>
      </c>
      <c r="H393" t="s">
        <v>56</v>
      </c>
    </row>
    <row r="394" spans="1:8" x14ac:dyDescent="0.25">
      <c r="A394" s="208">
        <v>37</v>
      </c>
      <c r="B394" t="s">
        <v>98</v>
      </c>
      <c r="C394" t="s">
        <v>38</v>
      </c>
      <c r="F394" s="208">
        <v>22</v>
      </c>
      <c r="G394" t="s">
        <v>98</v>
      </c>
      <c r="H394" t="s">
        <v>56</v>
      </c>
    </row>
    <row r="395" spans="1:8" x14ac:dyDescent="0.25">
      <c r="A395" s="208">
        <v>15</v>
      </c>
      <c r="B395" t="s">
        <v>98</v>
      </c>
      <c r="C395" t="s">
        <v>38</v>
      </c>
      <c r="F395" s="208">
        <v>30</v>
      </c>
      <c r="G395" t="s">
        <v>98</v>
      </c>
      <c r="H395" t="s">
        <v>56</v>
      </c>
    </row>
    <row r="396" spans="1:8" x14ac:dyDescent="0.25">
      <c r="A396" s="208">
        <v>14</v>
      </c>
      <c r="B396" t="s">
        <v>98</v>
      </c>
      <c r="C396" t="s">
        <v>38</v>
      </c>
      <c r="F396" s="208">
        <v>34</v>
      </c>
      <c r="G396" t="s">
        <v>98</v>
      </c>
      <c r="H396" t="s">
        <v>56</v>
      </c>
    </row>
    <row r="397" spans="1:8" x14ac:dyDescent="0.25">
      <c r="A397" s="208">
        <v>19</v>
      </c>
      <c r="B397" t="s">
        <v>98</v>
      </c>
      <c r="C397" t="s">
        <v>38</v>
      </c>
      <c r="F397" s="208">
        <v>35</v>
      </c>
      <c r="G397" t="s">
        <v>98</v>
      </c>
      <c r="H397" t="s">
        <v>56</v>
      </c>
    </row>
    <row r="398" spans="1:8" x14ac:dyDescent="0.25">
      <c r="A398" s="208">
        <v>19</v>
      </c>
      <c r="B398" t="s">
        <v>98</v>
      </c>
      <c r="C398" t="s">
        <v>38</v>
      </c>
      <c r="F398" s="208">
        <v>25</v>
      </c>
      <c r="G398" t="s">
        <v>98</v>
      </c>
      <c r="H398" t="s">
        <v>56</v>
      </c>
    </row>
    <row r="399" spans="1:8" x14ac:dyDescent="0.25">
      <c r="A399" s="208">
        <v>27</v>
      </c>
      <c r="B399" t="s">
        <v>98</v>
      </c>
      <c r="C399" t="s">
        <v>38</v>
      </c>
      <c r="F399" s="208">
        <v>25</v>
      </c>
      <c r="G399" t="s">
        <v>98</v>
      </c>
      <c r="H399" t="s">
        <v>56</v>
      </c>
    </row>
    <row r="400" spans="1:8" x14ac:dyDescent="0.25">
      <c r="A400" s="208">
        <v>29</v>
      </c>
      <c r="B400" t="s">
        <v>98</v>
      </c>
      <c r="C400" t="s">
        <v>38</v>
      </c>
      <c r="F400" s="208">
        <v>29</v>
      </c>
      <c r="G400" t="s">
        <v>98</v>
      </c>
      <c r="H400" t="s">
        <v>56</v>
      </c>
    </row>
    <row r="401" spans="1:8" x14ac:dyDescent="0.25">
      <c r="A401" s="208">
        <v>28</v>
      </c>
      <c r="B401" t="s">
        <v>98</v>
      </c>
      <c r="C401" t="s">
        <v>38</v>
      </c>
      <c r="F401" s="208">
        <v>34</v>
      </c>
      <c r="G401" t="s">
        <v>98</v>
      </c>
      <c r="H401" t="s">
        <v>56</v>
      </c>
    </row>
    <row r="402" spans="1:8" x14ac:dyDescent="0.25">
      <c r="A402" s="208">
        <v>22</v>
      </c>
      <c r="B402" t="s">
        <v>98</v>
      </c>
      <c r="C402" t="s">
        <v>38</v>
      </c>
      <c r="F402" s="208">
        <v>27</v>
      </c>
      <c r="G402" t="s">
        <v>98</v>
      </c>
      <c r="H402" t="s">
        <v>56</v>
      </c>
    </row>
    <row r="403" spans="1:8" x14ac:dyDescent="0.25">
      <c r="A403" s="208">
        <v>33</v>
      </c>
      <c r="B403" t="s">
        <v>98</v>
      </c>
      <c r="C403" t="s">
        <v>38</v>
      </c>
      <c r="F403" s="208">
        <v>32</v>
      </c>
      <c r="G403" t="s">
        <v>98</v>
      </c>
      <c r="H403" t="s">
        <v>56</v>
      </c>
    </row>
    <row r="404" spans="1:8" x14ac:dyDescent="0.25">
      <c r="A404" s="208">
        <v>20</v>
      </c>
      <c r="B404" t="s">
        <v>98</v>
      </c>
      <c r="C404" t="s">
        <v>38</v>
      </c>
      <c r="F404" s="208">
        <v>23</v>
      </c>
      <c r="G404" t="s">
        <v>98</v>
      </c>
      <c r="H404" t="s">
        <v>56</v>
      </c>
    </row>
    <row r="405" spans="1:8" x14ac:dyDescent="0.25">
      <c r="A405" s="208">
        <v>25</v>
      </c>
      <c r="B405" t="s">
        <v>98</v>
      </c>
      <c r="C405" t="s">
        <v>38</v>
      </c>
      <c r="F405" s="208">
        <v>22</v>
      </c>
      <c r="G405" t="s">
        <v>98</v>
      </c>
      <c r="H405" t="s">
        <v>56</v>
      </c>
    </row>
    <row r="406" spans="1:8" x14ac:dyDescent="0.25">
      <c r="A406" s="208">
        <v>27</v>
      </c>
      <c r="B406" t="s">
        <v>98</v>
      </c>
      <c r="C406" t="s">
        <v>38</v>
      </c>
      <c r="F406" s="208">
        <v>27</v>
      </c>
      <c r="G406" t="s">
        <v>98</v>
      </c>
      <c r="H406" t="s">
        <v>56</v>
      </c>
    </row>
    <row r="407" spans="1:8" x14ac:dyDescent="0.25">
      <c r="A407" s="208">
        <v>20</v>
      </c>
      <c r="B407" t="s">
        <v>98</v>
      </c>
      <c r="C407" t="s">
        <v>56</v>
      </c>
      <c r="F407" s="208">
        <v>20</v>
      </c>
      <c r="G407" t="s">
        <v>98</v>
      </c>
      <c r="H407" t="s">
        <v>56</v>
      </c>
    </row>
    <row r="408" spans="1:8" x14ac:dyDescent="0.25">
      <c r="A408" s="208">
        <v>21</v>
      </c>
      <c r="B408" t="s">
        <v>98</v>
      </c>
      <c r="C408" t="s">
        <v>56</v>
      </c>
      <c r="F408" s="208">
        <v>34</v>
      </c>
      <c r="G408" t="s">
        <v>98</v>
      </c>
      <c r="H408" t="s">
        <v>56</v>
      </c>
    </row>
    <row r="409" spans="1:8" x14ac:dyDescent="0.25">
      <c r="A409" s="208">
        <v>27</v>
      </c>
      <c r="B409" t="s">
        <v>98</v>
      </c>
      <c r="C409" t="s">
        <v>56</v>
      </c>
      <c r="F409" s="208">
        <v>38</v>
      </c>
      <c r="G409" t="s">
        <v>98</v>
      </c>
      <c r="H409" t="s">
        <v>56</v>
      </c>
    </row>
    <row r="410" spans="1:8" x14ac:dyDescent="0.25">
      <c r="A410" s="208">
        <v>38</v>
      </c>
      <c r="B410" t="s">
        <v>98</v>
      </c>
      <c r="C410" t="s">
        <v>56</v>
      </c>
      <c r="F410" s="208">
        <v>33</v>
      </c>
      <c r="G410" t="s">
        <v>98</v>
      </c>
      <c r="H410" t="s">
        <v>56</v>
      </c>
    </row>
    <row r="411" spans="1:8" x14ac:dyDescent="0.25">
      <c r="A411" s="208">
        <v>28</v>
      </c>
      <c r="B411" t="s">
        <v>98</v>
      </c>
      <c r="C411" t="s">
        <v>56</v>
      </c>
      <c r="F411" s="208">
        <v>32</v>
      </c>
      <c r="G411" t="s">
        <v>98</v>
      </c>
      <c r="H411" t="s">
        <v>56</v>
      </c>
    </row>
    <row r="412" spans="1:8" x14ac:dyDescent="0.25">
      <c r="A412" s="208">
        <v>38</v>
      </c>
      <c r="B412" t="s">
        <v>98</v>
      </c>
      <c r="C412" t="s">
        <v>56</v>
      </c>
      <c r="F412" s="208">
        <v>18</v>
      </c>
      <c r="G412" t="s">
        <v>98</v>
      </c>
      <c r="H412" t="s">
        <v>56</v>
      </c>
    </row>
    <row r="413" spans="1:8" x14ac:dyDescent="0.25">
      <c r="A413" s="208">
        <v>37</v>
      </c>
      <c r="B413" t="s">
        <v>98</v>
      </c>
      <c r="C413" t="s">
        <v>56</v>
      </c>
      <c r="F413" s="208">
        <v>33</v>
      </c>
      <c r="G413" t="s">
        <v>98</v>
      </c>
      <c r="H413" t="s">
        <v>56</v>
      </c>
    </row>
    <row r="414" spans="1:8" x14ac:dyDescent="0.25">
      <c r="A414" s="208">
        <v>32</v>
      </c>
      <c r="B414" t="s">
        <v>98</v>
      </c>
      <c r="C414" t="s">
        <v>56</v>
      </c>
      <c r="F414" s="208">
        <v>26</v>
      </c>
      <c r="G414" t="s">
        <v>98</v>
      </c>
      <c r="H414" t="s">
        <v>56</v>
      </c>
    </row>
    <row r="415" spans="1:8" x14ac:dyDescent="0.25">
      <c r="A415" s="208">
        <v>19</v>
      </c>
      <c r="B415" t="s">
        <v>98</v>
      </c>
      <c r="C415" t="s">
        <v>56</v>
      </c>
      <c r="F415" s="208">
        <v>24</v>
      </c>
      <c r="G415" t="s">
        <v>98</v>
      </c>
      <c r="H415" t="s">
        <v>56</v>
      </c>
    </row>
    <row r="416" spans="1:8" x14ac:dyDescent="0.25">
      <c r="A416" s="208">
        <v>39</v>
      </c>
      <c r="B416" t="s">
        <v>98</v>
      </c>
      <c r="C416" t="s">
        <v>56</v>
      </c>
      <c r="F416" s="208">
        <v>25</v>
      </c>
      <c r="G416" t="s">
        <v>98</v>
      </c>
      <c r="H416" t="s">
        <v>56</v>
      </c>
    </row>
    <row r="417" spans="1:8" x14ac:dyDescent="0.25">
      <c r="A417" s="208">
        <v>25</v>
      </c>
      <c r="B417" t="s">
        <v>98</v>
      </c>
      <c r="C417" t="s">
        <v>56</v>
      </c>
      <c r="F417" s="208">
        <v>29</v>
      </c>
      <c r="G417" t="s">
        <v>98</v>
      </c>
      <c r="H417" t="s">
        <v>56</v>
      </c>
    </row>
    <row r="418" spans="1:8" x14ac:dyDescent="0.25">
      <c r="A418" s="208">
        <v>34</v>
      </c>
      <c r="B418" t="s">
        <v>98</v>
      </c>
      <c r="C418" t="s">
        <v>56</v>
      </c>
      <c r="F418" s="208">
        <v>40</v>
      </c>
      <c r="G418" t="s">
        <v>98</v>
      </c>
      <c r="H418" t="s">
        <v>56</v>
      </c>
    </row>
    <row r="419" spans="1:8" x14ac:dyDescent="0.25">
      <c r="A419" s="208">
        <v>28</v>
      </c>
      <c r="B419" t="s">
        <v>98</v>
      </c>
      <c r="C419" t="s">
        <v>56</v>
      </c>
      <c r="F419" s="208">
        <v>20</v>
      </c>
      <c r="G419" t="s">
        <v>98</v>
      </c>
      <c r="H419" t="s">
        <v>56</v>
      </c>
    </row>
    <row r="420" spans="1:8" x14ac:dyDescent="0.25">
      <c r="A420" s="208">
        <v>29</v>
      </c>
      <c r="B420" t="s">
        <v>98</v>
      </c>
      <c r="C420" t="s">
        <v>56</v>
      </c>
      <c r="F420" s="208">
        <v>21</v>
      </c>
      <c r="G420" t="s">
        <v>98</v>
      </c>
      <c r="H420" t="s">
        <v>56</v>
      </c>
    </row>
    <row r="421" spans="1:8" x14ac:dyDescent="0.25">
      <c r="A421" s="208">
        <v>38</v>
      </c>
      <c r="B421" t="s">
        <v>98</v>
      </c>
      <c r="C421" t="s">
        <v>56</v>
      </c>
      <c r="F421" s="208">
        <v>40</v>
      </c>
      <c r="G421" t="s">
        <v>98</v>
      </c>
      <c r="H421" t="s">
        <v>56</v>
      </c>
    </row>
    <row r="422" spans="1:8" x14ac:dyDescent="0.25">
      <c r="A422" s="208">
        <v>24</v>
      </c>
      <c r="B422" t="s">
        <v>98</v>
      </c>
      <c r="C422" t="s">
        <v>56</v>
      </c>
      <c r="F422" s="208">
        <v>25</v>
      </c>
      <c r="G422" t="s">
        <v>98</v>
      </c>
      <c r="H422" t="s">
        <v>56</v>
      </c>
    </row>
    <row r="423" spans="1:8" x14ac:dyDescent="0.25">
      <c r="A423" s="208">
        <v>16</v>
      </c>
      <c r="B423" t="s">
        <v>98</v>
      </c>
      <c r="C423" t="s">
        <v>56</v>
      </c>
      <c r="F423" s="208">
        <v>35</v>
      </c>
      <c r="G423" t="s">
        <v>98</v>
      </c>
      <c r="H423" t="s">
        <v>56</v>
      </c>
    </row>
    <row r="424" spans="1:8" x14ac:dyDescent="0.25">
      <c r="A424" s="208">
        <v>21</v>
      </c>
      <c r="B424" t="s">
        <v>98</v>
      </c>
      <c r="C424" t="s">
        <v>56</v>
      </c>
      <c r="F424" s="208">
        <v>24</v>
      </c>
      <c r="G424" t="s">
        <v>98</v>
      </c>
      <c r="H424" t="s">
        <v>56</v>
      </c>
    </row>
    <row r="425" spans="1:8" x14ac:dyDescent="0.25">
      <c r="A425" s="208">
        <v>17</v>
      </c>
      <c r="B425" t="s">
        <v>98</v>
      </c>
      <c r="C425" t="s">
        <v>56</v>
      </c>
      <c r="F425" s="208">
        <v>36</v>
      </c>
      <c r="G425" t="s">
        <v>98</v>
      </c>
      <c r="H425" t="s">
        <v>56</v>
      </c>
    </row>
    <row r="426" spans="1:8" x14ac:dyDescent="0.25">
      <c r="A426" s="208">
        <v>41</v>
      </c>
      <c r="B426" t="s">
        <v>98</v>
      </c>
      <c r="C426" t="s">
        <v>56</v>
      </c>
      <c r="F426" s="208">
        <v>37</v>
      </c>
      <c r="G426" t="s">
        <v>98</v>
      </c>
      <c r="H426" t="s">
        <v>56</v>
      </c>
    </row>
    <row r="427" spans="1:8" x14ac:dyDescent="0.25">
      <c r="A427" s="208">
        <v>31</v>
      </c>
      <c r="B427" t="s">
        <v>98</v>
      </c>
      <c r="C427" t="s">
        <v>56</v>
      </c>
      <c r="F427" s="208">
        <v>16</v>
      </c>
      <c r="G427" t="s">
        <v>98</v>
      </c>
      <c r="H427" t="s">
        <v>56</v>
      </c>
    </row>
    <row r="428" spans="1:8" x14ac:dyDescent="0.25">
      <c r="A428" s="208">
        <v>24</v>
      </c>
      <c r="B428" t="s">
        <v>98</v>
      </c>
      <c r="C428" t="s">
        <v>56</v>
      </c>
      <c r="F428" s="208">
        <v>23</v>
      </c>
      <c r="G428" t="s">
        <v>98</v>
      </c>
      <c r="H428" t="s">
        <v>56</v>
      </c>
    </row>
    <row r="429" spans="1:8" x14ac:dyDescent="0.25">
      <c r="A429" s="208">
        <v>21</v>
      </c>
      <c r="B429" t="s">
        <v>98</v>
      </c>
      <c r="C429" t="s">
        <v>56</v>
      </c>
      <c r="F429" s="208">
        <v>40</v>
      </c>
      <c r="G429" t="s">
        <v>98</v>
      </c>
      <c r="H429" t="s">
        <v>56</v>
      </c>
    </row>
    <row r="430" spans="1:8" x14ac:dyDescent="0.25">
      <c r="A430" s="208">
        <v>35</v>
      </c>
      <c r="B430" t="s">
        <v>98</v>
      </c>
      <c r="C430" t="s">
        <v>56</v>
      </c>
      <c r="F430" s="208">
        <v>30</v>
      </c>
      <c r="G430" t="s">
        <v>98</v>
      </c>
      <c r="H430" t="s">
        <v>56</v>
      </c>
    </row>
    <row r="431" spans="1:8" x14ac:dyDescent="0.25">
      <c r="A431" s="208">
        <v>26</v>
      </c>
      <c r="B431" t="s">
        <v>98</v>
      </c>
      <c r="C431" t="s">
        <v>56</v>
      </c>
      <c r="F431" s="208">
        <v>28</v>
      </c>
      <c r="G431" t="s">
        <v>98</v>
      </c>
      <c r="H431" t="s">
        <v>56</v>
      </c>
    </row>
    <row r="432" spans="1:8" x14ac:dyDescent="0.25">
      <c r="A432" s="208">
        <v>21</v>
      </c>
      <c r="B432" t="s">
        <v>98</v>
      </c>
      <c r="C432" t="s">
        <v>56</v>
      </c>
      <c r="F432" s="208">
        <v>34</v>
      </c>
      <c r="G432" t="s">
        <v>98</v>
      </c>
      <c r="H432" t="s">
        <v>56</v>
      </c>
    </row>
    <row r="433" spans="1:8" x14ac:dyDescent="0.25">
      <c r="A433" s="208">
        <v>30</v>
      </c>
      <c r="B433" t="s">
        <v>98</v>
      </c>
      <c r="C433" t="s">
        <v>56</v>
      </c>
      <c r="F433" s="208">
        <v>32</v>
      </c>
      <c r="G433" t="s">
        <v>98</v>
      </c>
      <c r="H433" t="s">
        <v>56</v>
      </c>
    </row>
    <row r="434" spans="1:8" x14ac:dyDescent="0.25">
      <c r="A434" s="208">
        <v>17</v>
      </c>
      <c r="B434" t="s">
        <v>98</v>
      </c>
      <c r="C434" t="s">
        <v>56</v>
      </c>
      <c r="F434" s="208">
        <v>35</v>
      </c>
      <c r="G434" t="s">
        <v>98</v>
      </c>
      <c r="H434" t="s">
        <v>56</v>
      </c>
    </row>
    <row r="435" spans="1:8" x14ac:dyDescent="0.25">
      <c r="A435" s="208">
        <v>31</v>
      </c>
      <c r="B435" t="s">
        <v>98</v>
      </c>
      <c r="C435" t="s">
        <v>56</v>
      </c>
      <c r="F435" s="208">
        <v>19</v>
      </c>
      <c r="G435" t="s">
        <v>98</v>
      </c>
      <c r="H435" t="s">
        <v>56</v>
      </c>
    </row>
    <row r="436" spans="1:8" x14ac:dyDescent="0.25">
      <c r="A436" s="208">
        <v>23</v>
      </c>
      <c r="B436" t="s">
        <v>98</v>
      </c>
      <c r="C436" t="s">
        <v>56</v>
      </c>
      <c r="F436" s="208">
        <v>35</v>
      </c>
      <c r="G436" t="s">
        <v>98</v>
      </c>
      <c r="H436" t="s">
        <v>56</v>
      </c>
    </row>
    <row r="437" spans="1:8" x14ac:dyDescent="0.25">
      <c r="A437" s="208">
        <v>35</v>
      </c>
      <c r="B437" t="s">
        <v>98</v>
      </c>
      <c r="C437" t="s">
        <v>56</v>
      </c>
      <c r="F437" s="208">
        <v>25</v>
      </c>
      <c r="G437" t="s">
        <v>98</v>
      </c>
      <c r="H437" t="s">
        <v>56</v>
      </c>
    </row>
    <row r="438" spans="1:8" x14ac:dyDescent="0.25">
      <c r="A438" s="208">
        <v>25</v>
      </c>
      <c r="B438" t="s">
        <v>98</v>
      </c>
      <c r="C438" t="s">
        <v>56</v>
      </c>
      <c r="F438" s="208">
        <v>34</v>
      </c>
      <c r="G438" t="s">
        <v>98</v>
      </c>
      <c r="H438" t="s">
        <v>56</v>
      </c>
    </row>
    <row r="439" spans="1:8" x14ac:dyDescent="0.25">
      <c r="A439" s="208">
        <v>35</v>
      </c>
      <c r="B439" t="s">
        <v>98</v>
      </c>
      <c r="C439" t="s">
        <v>56</v>
      </c>
      <c r="F439" s="208">
        <v>30</v>
      </c>
      <c r="G439" t="s">
        <v>98</v>
      </c>
      <c r="H439" t="s">
        <v>56</v>
      </c>
    </row>
    <row r="440" spans="1:8" x14ac:dyDescent="0.25">
      <c r="A440" s="208">
        <v>21</v>
      </c>
      <c r="B440" t="s">
        <v>98</v>
      </c>
      <c r="C440" t="s">
        <v>56</v>
      </c>
      <c r="F440" s="208">
        <v>37</v>
      </c>
      <c r="G440" t="s">
        <v>98</v>
      </c>
      <c r="H440" t="s">
        <v>56</v>
      </c>
    </row>
    <row r="441" spans="1:8" x14ac:dyDescent="0.25">
      <c r="A441" s="208">
        <v>26</v>
      </c>
      <c r="B441" t="s">
        <v>98</v>
      </c>
      <c r="C441" t="s">
        <v>56</v>
      </c>
      <c r="F441" s="208">
        <v>26</v>
      </c>
      <c r="G441" t="s">
        <v>98</v>
      </c>
      <c r="H441" t="s">
        <v>56</v>
      </c>
    </row>
    <row r="442" spans="1:8" x14ac:dyDescent="0.25">
      <c r="A442" s="208">
        <v>35</v>
      </c>
      <c r="B442" t="s">
        <v>98</v>
      </c>
      <c r="C442" t="s">
        <v>56</v>
      </c>
      <c r="F442" s="208">
        <v>21</v>
      </c>
      <c r="G442" t="s">
        <v>98</v>
      </c>
      <c r="H442" t="s">
        <v>56</v>
      </c>
    </row>
    <row r="443" spans="1:8" x14ac:dyDescent="0.25">
      <c r="A443" s="208">
        <v>41</v>
      </c>
      <c r="B443" t="s">
        <v>98</v>
      </c>
      <c r="C443" t="s">
        <v>56</v>
      </c>
      <c r="F443" s="208">
        <v>28</v>
      </c>
      <c r="G443" t="s">
        <v>98</v>
      </c>
      <c r="H443" t="s">
        <v>56</v>
      </c>
    </row>
    <row r="444" spans="1:8" x14ac:dyDescent="0.25">
      <c r="A444" s="208">
        <v>22</v>
      </c>
      <c r="B444" t="s">
        <v>98</v>
      </c>
      <c r="C444" t="s">
        <v>56</v>
      </c>
      <c r="F444" s="208">
        <v>16</v>
      </c>
      <c r="G444" t="s">
        <v>98</v>
      </c>
      <c r="H444" t="s">
        <v>56</v>
      </c>
    </row>
    <row r="445" spans="1:8" x14ac:dyDescent="0.25">
      <c r="A445" s="208">
        <v>41</v>
      </c>
      <c r="B445" t="s">
        <v>98</v>
      </c>
      <c r="C445" t="s">
        <v>56</v>
      </c>
      <c r="F445" s="208">
        <v>38</v>
      </c>
      <c r="G445" t="s">
        <v>98</v>
      </c>
      <c r="H445" t="s">
        <v>56</v>
      </c>
    </row>
    <row r="446" spans="1:8" x14ac:dyDescent="0.25">
      <c r="A446" s="208">
        <v>27</v>
      </c>
      <c r="B446" t="s">
        <v>98</v>
      </c>
      <c r="C446" t="s">
        <v>56</v>
      </c>
      <c r="F446" s="208">
        <v>30</v>
      </c>
      <c r="G446" t="s">
        <v>98</v>
      </c>
      <c r="H446" t="s">
        <v>56</v>
      </c>
    </row>
    <row r="447" spans="1:8" x14ac:dyDescent="0.25">
      <c r="A447" s="208">
        <v>31</v>
      </c>
      <c r="B447" t="s">
        <v>98</v>
      </c>
      <c r="C447" t="s">
        <v>56</v>
      </c>
      <c r="F447" s="208">
        <v>34</v>
      </c>
      <c r="G447" t="s">
        <v>98</v>
      </c>
      <c r="H447" t="s">
        <v>56</v>
      </c>
    </row>
    <row r="448" spans="1:8" x14ac:dyDescent="0.25">
      <c r="A448" s="208">
        <v>28</v>
      </c>
      <c r="B448" t="s">
        <v>98</v>
      </c>
      <c r="C448" t="s">
        <v>56</v>
      </c>
      <c r="F448" s="208">
        <v>19</v>
      </c>
      <c r="G448" t="s">
        <v>98</v>
      </c>
      <c r="H448" t="s">
        <v>56</v>
      </c>
    </row>
    <row r="449" spans="1:8" x14ac:dyDescent="0.25">
      <c r="A449" s="208">
        <v>25</v>
      </c>
      <c r="B449" t="s">
        <v>98</v>
      </c>
      <c r="C449" t="s">
        <v>56</v>
      </c>
      <c r="F449" s="208">
        <v>22</v>
      </c>
      <c r="G449" t="s">
        <v>98</v>
      </c>
      <c r="H449" t="s">
        <v>56</v>
      </c>
    </row>
    <row r="450" spans="1:8" x14ac:dyDescent="0.25">
      <c r="A450" s="208">
        <v>26</v>
      </c>
      <c r="B450" t="s">
        <v>98</v>
      </c>
      <c r="C450" t="s">
        <v>56</v>
      </c>
      <c r="F450" s="208">
        <v>32</v>
      </c>
      <c r="G450" t="s">
        <v>98</v>
      </c>
      <c r="H450" t="s">
        <v>56</v>
      </c>
    </row>
    <row r="451" spans="1:8" x14ac:dyDescent="0.25">
      <c r="A451" s="208">
        <v>28</v>
      </c>
      <c r="B451" t="s">
        <v>98</v>
      </c>
      <c r="C451" t="s">
        <v>56</v>
      </c>
      <c r="F451" s="208">
        <v>21</v>
      </c>
      <c r="G451" t="s">
        <v>98</v>
      </c>
      <c r="H451" t="s">
        <v>56</v>
      </c>
    </row>
    <row r="452" spans="1:8" x14ac:dyDescent="0.25">
      <c r="A452" s="208">
        <v>36</v>
      </c>
      <c r="B452" t="s">
        <v>98</v>
      </c>
      <c r="C452" t="s">
        <v>56</v>
      </c>
      <c r="F452" s="208">
        <v>34</v>
      </c>
      <c r="G452" t="s">
        <v>98</v>
      </c>
      <c r="H452" t="s">
        <v>56</v>
      </c>
    </row>
    <row r="453" spans="1:8" x14ac:dyDescent="0.25">
      <c r="A453" s="208">
        <v>15</v>
      </c>
      <c r="B453" t="s">
        <v>98</v>
      </c>
      <c r="C453" t="s">
        <v>56</v>
      </c>
      <c r="F453" s="208">
        <v>18</v>
      </c>
      <c r="G453" t="s">
        <v>98</v>
      </c>
      <c r="H453" t="s">
        <v>56</v>
      </c>
    </row>
    <row r="454" spans="1:8" x14ac:dyDescent="0.25">
      <c r="A454" s="208">
        <v>26</v>
      </c>
      <c r="B454" t="s">
        <v>98</v>
      </c>
      <c r="C454" t="s">
        <v>56</v>
      </c>
      <c r="F454" s="208">
        <v>23</v>
      </c>
      <c r="G454" t="s">
        <v>98</v>
      </c>
      <c r="H454" t="s">
        <v>56</v>
      </c>
    </row>
    <row r="455" spans="1:8" x14ac:dyDescent="0.25">
      <c r="A455" s="208">
        <v>34</v>
      </c>
      <c r="B455" t="s">
        <v>98</v>
      </c>
      <c r="C455" t="s">
        <v>56</v>
      </c>
      <c r="F455" s="208">
        <v>29</v>
      </c>
      <c r="G455" t="s">
        <v>98</v>
      </c>
      <c r="H455" t="s">
        <v>56</v>
      </c>
    </row>
    <row r="456" spans="1:8" x14ac:dyDescent="0.25">
      <c r="A456" s="208">
        <v>37</v>
      </c>
      <c r="B456" t="s">
        <v>98</v>
      </c>
      <c r="C456" t="s">
        <v>56</v>
      </c>
      <c r="F456" s="208">
        <v>26</v>
      </c>
      <c r="G456" t="s">
        <v>98</v>
      </c>
      <c r="H456" t="s">
        <v>56</v>
      </c>
    </row>
    <row r="457" spans="1:8" x14ac:dyDescent="0.25">
      <c r="A457" s="208">
        <v>30</v>
      </c>
      <c r="B457" t="s">
        <v>98</v>
      </c>
      <c r="C457" t="s">
        <v>56</v>
      </c>
      <c r="F457" s="208">
        <v>20</v>
      </c>
      <c r="G457" t="s">
        <v>98</v>
      </c>
      <c r="H457" t="s">
        <v>56</v>
      </c>
    </row>
    <row r="458" spans="1:8" x14ac:dyDescent="0.25">
      <c r="A458" s="208">
        <v>34</v>
      </c>
      <c r="B458" t="s">
        <v>98</v>
      </c>
      <c r="C458" t="s">
        <v>56</v>
      </c>
      <c r="F458" s="208">
        <v>18</v>
      </c>
      <c r="G458" t="s">
        <v>98</v>
      </c>
      <c r="H458" t="s">
        <v>56</v>
      </c>
    </row>
    <row r="459" spans="1:8" x14ac:dyDescent="0.25">
      <c r="A459" s="208">
        <v>20</v>
      </c>
      <c r="B459" t="s">
        <v>98</v>
      </c>
      <c r="C459" t="s">
        <v>56</v>
      </c>
      <c r="F459" s="208">
        <v>28</v>
      </c>
      <c r="G459" t="s">
        <v>98</v>
      </c>
      <c r="H459" t="s">
        <v>56</v>
      </c>
    </row>
    <row r="460" spans="1:8" x14ac:dyDescent="0.25">
      <c r="A460" s="208">
        <v>24</v>
      </c>
      <c r="B460" t="s">
        <v>98</v>
      </c>
      <c r="C460" t="s">
        <v>56</v>
      </c>
      <c r="F460" s="208">
        <v>33</v>
      </c>
      <c r="G460" t="s">
        <v>98</v>
      </c>
      <c r="H460" t="s">
        <v>56</v>
      </c>
    </row>
    <row r="461" spans="1:8" x14ac:dyDescent="0.25">
      <c r="A461" s="208">
        <v>27</v>
      </c>
      <c r="B461" t="s">
        <v>98</v>
      </c>
      <c r="C461" t="s">
        <v>56</v>
      </c>
      <c r="F461" s="208">
        <v>19</v>
      </c>
      <c r="G461" t="s">
        <v>98</v>
      </c>
      <c r="H461" t="s">
        <v>56</v>
      </c>
    </row>
    <row r="462" spans="1:8" x14ac:dyDescent="0.25">
      <c r="A462" s="208">
        <v>27</v>
      </c>
      <c r="B462" t="s">
        <v>98</v>
      </c>
      <c r="C462" t="s">
        <v>56</v>
      </c>
      <c r="F462" s="208">
        <v>19</v>
      </c>
      <c r="G462" t="s">
        <v>98</v>
      </c>
      <c r="H462" t="s">
        <v>56</v>
      </c>
    </row>
    <row r="463" spans="1:8" x14ac:dyDescent="0.25">
      <c r="A463" s="208">
        <v>30</v>
      </c>
      <c r="B463" t="s">
        <v>98</v>
      </c>
      <c r="C463" t="s">
        <v>56</v>
      </c>
      <c r="F463" s="208">
        <v>26</v>
      </c>
      <c r="G463" t="s">
        <v>98</v>
      </c>
      <c r="H463" t="s">
        <v>56</v>
      </c>
    </row>
    <row r="464" spans="1:8" x14ac:dyDescent="0.25">
      <c r="A464" s="208">
        <v>21</v>
      </c>
      <c r="B464" t="s">
        <v>98</v>
      </c>
      <c r="C464" t="s">
        <v>56</v>
      </c>
      <c r="F464" s="208">
        <v>18</v>
      </c>
      <c r="G464" t="s">
        <v>98</v>
      </c>
      <c r="H464" t="s">
        <v>56</v>
      </c>
    </row>
    <row r="465" spans="1:8" x14ac:dyDescent="0.25">
      <c r="A465" s="208">
        <v>42</v>
      </c>
      <c r="B465" t="s">
        <v>98</v>
      </c>
      <c r="C465" t="s">
        <v>56</v>
      </c>
      <c r="F465" s="208">
        <v>37</v>
      </c>
      <c r="G465" t="s">
        <v>98</v>
      </c>
      <c r="H465" t="s">
        <v>56</v>
      </c>
    </row>
    <row r="466" spans="1:8" x14ac:dyDescent="0.25">
      <c r="A466" s="208">
        <v>20</v>
      </c>
      <c r="B466" t="s">
        <v>98</v>
      </c>
      <c r="C466" t="s">
        <v>56</v>
      </c>
      <c r="F466" s="208">
        <v>27</v>
      </c>
      <c r="G466" t="s">
        <v>98</v>
      </c>
      <c r="H466" t="s">
        <v>56</v>
      </c>
    </row>
    <row r="467" spans="1:8" x14ac:dyDescent="0.25">
      <c r="A467" s="208">
        <v>34</v>
      </c>
      <c r="B467" t="s">
        <v>98</v>
      </c>
      <c r="C467" t="s">
        <v>56</v>
      </c>
      <c r="F467" s="208">
        <v>40</v>
      </c>
      <c r="G467" t="s">
        <v>98</v>
      </c>
      <c r="H467" t="s">
        <v>56</v>
      </c>
    </row>
    <row r="468" spans="1:8" x14ac:dyDescent="0.25">
      <c r="A468" s="208">
        <v>35</v>
      </c>
      <c r="B468" t="s">
        <v>98</v>
      </c>
      <c r="C468" t="s">
        <v>56</v>
      </c>
      <c r="F468" s="208">
        <v>41</v>
      </c>
      <c r="G468" t="s">
        <v>98</v>
      </c>
      <c r="H468" t="s">
        <v>56</v>
      </c>
    </row>
    <row r="469" spans="1:8" x14ac:dyDescent="0.25">
      <c r="A469" s="208">
        <v>33</v>
      </c>
      <c r="B469" t="s">
        <v>98</v>
      </c>
      <c r="C469" t="s">
        <v>56</v>
      </c>
      <c r="F469" s="208">
        <v>31</v>
      </c>
      <c r="G469" t="s">
        <v>98</v>
      </c>
      <c r="H469" t="s">
        <v>56</v>
      </c>
    </row>
    <row r="470" spans="1:8" x14ac:dyDescent="0.25">
      <c r="A470" s="208">
        <v>34</v>
      </c>
      <c r="B470" t="s">
        <v>98</v>
      </c>
      <c r="C470" t="s">
        <v>56</v>
      </c>
      <c r="F470" s="208">
        <v>35</v>
      </c>
      <c r="G470" t="s">
        <v>98</v>
      </c>
      <c r="H470" t="s">
        <v>55</v>
      </c>
    </row>
    <row r="471" spans="1:8" x14ac:dyDescent="0.25">
      <c r="A471" s="208">
        <v>21</v>
      </c>
      <c r="B471" t="s">
        <v>98</v>
      </c>
      <c r="C471" t="s">
        <v>56</v>
      </c>
      <c r="F471" s="208">
        <v>17</v>
      </c>
      <c r="G471" t="s">
        <v>98</v>
      </c>
      <c r="H471" t="s">
        <v>55</v>
      </c>
    </row>
    <row r="472" spans="1:8" x14ac:dyDescent="0.25">
      <c r="A472" s="208">
        <v>36</v>
      </c>
      <c r="B472" t="s">
        <v>98</v>
      </c>
      <c r="C472" t="s">
        <v>56</v>
      </c>
      <c r="F472" s="208">
        <v>43</v>
      </c>
      <c r="G472" t="s">
        <v>98</v>
      </c>
      <c r="H472" t="s">
        <v>55</v>
      </c>
    </row>
    <row r="473" spans="1:8" x14ac:dyDescent="0.25">
      <c r="A473" s="208">
        <v>35</v>
      </c>
      <c r="B473" t="s">
        <v>98</v>
      </c>
      <c r="C473" t="s">
        <v>56</v>
      </c>
      <c r="F473" s="208">
        <v>20</v>
      </c>
      <c r="G473" t="s">
        <v>98</v>
      </c>
      <c r="H473" t="s">
        <v>55</v>
      </c>
    </row>
    <row r="474" spans="1:8" x14ac:dyDescent="0.25">
      <c r="A474" s="208">
        <v>19</v>
      </c>
      <c r="B474" t="s">
        <v>98</v>
      </c>
      <c r="C474" t="s">
        <v>56</v>
      </c>
      <c r="F474" s="208">
        <v>33</v>
      </c>
      <c r="G474" t="s">
        <v>98</v>
      </c>
      <c r="H474" t="s">
        <v>55</v>
      </c>
    </row>
    <row r="475" spans="1:8" x14ac:dyDescent="0.25">
      <c r="A475" s="208">
        <v>24</v>
      </c>
      <c r="B475" t="s">
        <v>98</v>
      </c>
      <c r="C475" t="s">
        <v>56</v>
      </c>
      <c r="F475" s="208">
        <v>30</v>
      </c>
      <c r="G475" t="s">
        <v>98</v>
      </c>
      <c r="H475" t="s">
        <v>55</v>
      </c>
    </row>
    <row r="476" spans="1:8" x14ac:dyDescent="0.25">
      <c r="A476" s="208">
        <v>19</v>
      </c>
      <c r="B476" t="s">
        <v>98</v>
      </c>
      <c r="C476" t="s">
        <v>56</v>
      </c>
      <c r="F476" s="208">
        <v>25</v>
      </c>
      <c r="G476" t="s">
        <v>98</v>
      </c>
      <c r="H476" t="s">
        <v>55</v>
      </c>
    </row>
    <row r="477" spans="1:8" x14ac:dyDescent="0.25">
      <c r="A477" s="208">
        <v>21</v>
      </c>
      <c r="B477" t="s">
        <v>98</v>
      </c>
      <c r="C477" t="s">
        <v>56</v>
      </c>
      <c r="F477" s="208">
        <v>39</v>
      </c>
      <c r="G477" t="s">
        <v>98</v>
      </c>
      <c r="H477" t="s">
        <v>55</v>
      </c>
    </row>
    <row r="478" spans="1:8" x14ac:dyDescent="0.25">
      <c r="A478" s="208">
        <v>41</v>
      </c>
      <c r="B478" t="s">
        <v>98</v>
      </c>
      <c r="C478" t="s">
        <v>56</v>
      </c>
      <c r="F478" s="208">
        <v>31</v>
      </c>
      <c r="G478" t="s">
        <v>98</v>
      </c>
      <c r="H478" t="s">
        <v>55</v>
      </c>
    </row>
    <row r="479" spans="1:8" x14ac:dyDescent="0.25">
      <c r="A479" s="208">
        <v>19</v>
      </c>
      <c r="B479" t="s">
        <v>98</v>
      </c>
      <c r="C479" t="s">
        <v>56</v>
      </c>
      <c r="F479" s="208">
        <v>24</v>
      </c>
      <c r="G479" t="s">
        <v>98</v>
      </c>
      <c r="H479" t="s">
        <v>55</v>
      </c>
    </row>
    <row r="480" spans="1:8" x14ac:dyDescent="0.25">
      <c r="A480" s="208">
        <v>29</v>
      </c>
      <c r="B480" t="s">
        <v>98</v>
      </c>
      <c r="C480" t="s">
        <v>56</v>
      </c>
      <c r="F480" s="208">
        <v>35</v>
      </c>
      <c r="G480" t="s">
        <v>98</v>
      </c>
      <c r="H480" t="s">
        <v>55</v>
      </c>
    </row>
    <row r="481" spans="1:8" x14ac:dyDescent="0.25">
      <c r="A481" s="208">
        <v>17</v>
      </c>
      <c r="B481" t="s">
        <v>98</v>
      </c>
      <c r="C481" t="s">
        <v>56</v>
      </c>
      <c r="F481" s="208">
        <v>38</v>
      </c>
      <c r="G481" t="s">
        <v>98</v>
      </c>
      <c r="H481" t="s">
        <v>55</v>
      </c>
    </row>
    <row r="482" spans="1:8" x14ac:dyDescent="0.25">
      <c r="A482" s="208">
        <v>28</v>
      </c>
      <c r="B482" t="s">
        <v>98</v>
      </c>
      <c r="C482" t="s">
        <v>56</v>
      </c>
      <c r="F482" s="208">
        <v>27</v>
      </c>
      <c r="G482" t="s">
        <v>98</v>
      </c>
      <c r="H482" t="s">
        <v>55</v>
      </c>
    </row>
    <row r="483" spans="1:8" x14ac:dyDescent="0.25">
      <c r="A483" s="208">
        <v>29</v>
      </c>
      <c r="B483" t="s">
        <v>98</v>
      </c>
      <c r="C483" t="s">
        <v>56</v>
      </c>
      <c r="F483" s="208">
        <v>32</v>
      </c>
      <c r="G483" t="s">
        <v>98</v>
      </c>
      <c r="H483" t="s">
        <v>55</v>
      </c>
    </row>
    <row r="484" spans="1:8" x14ac:dyDescent="0.25">
      <c r="A484" s="208">
        <v>28</v>
      </c>
      <c r="B484" t="s">
        <v>98</v>
      </c>
      <c r="C484" t="s">
        <v>56</v>
      </c>
      <c r="F484" s="208">
        <v>26</v>
      </c>
      <c r="G484" t="s">
        <v>98</v>
      </c>
      <c r="H484" t="s">
        <v>55</v>
      </c>
    </row>
    <row r="485" spans="1:8" x14ac:dyDescent="0.25">
      <c r="A485" s="208">
        <v>26</v>
      </c>
      <c r="B485" t="s">
        <v>98</v>
      </c>
      <c r="C485" t="s">
        <v>56</v>
      </c>
      <c r="F485" s="208">
        <v>19</v>
      </c>
      <c r="G485" t="s">
        <v>98</v>
      </c>
      <c r="H485" t="s">
        <v>55</v>
      </c>
    </row>
    <row r="486" spans="1:8" x14ac:dyDescent="0.25">
      <c r="A486" s="208">
        <v>33</v>
      </c>
      <c r="B486" t="s">
        <v>98</v>
      </c>
      <c r="C486" t="s">
        <v>56</v>
      </c>
      <c r="F486" s="208">
        <v>29</v>
      </c>
      <c r="G486" t="s">
        <v>98</v>
      </c>
      <c r="H486" t="s">
        <v>55</v>
      </c>
    </row>
    <row r="487" spans="1:8" x14ac:dyDescent="0.25">
      <c r="A487" s="208">
        <v>26</v>
      </c>
      <c r="B487" t="s">
        <v>98</v>
      </c>
      <c r="C487" t="s">
        <v>56</v>
      </c>
      <c r="F487" s="208">
        <v>24</v>
      </c>
      <c r="G487" t="s">
        <v>98</v>
      </c>
      <c r="H487" t="s">
        <v>55</v>
      </c>
    </row>
    <row r="488" spans="1:8" x14ac:dyDescent="0.25">
      <c r="A488" s="208">
        <v>36</v>
      </c>
      <c r="B488" t="s">
        <v>98</v>
      </c>
      <c r="C488" t="s">
        <v>56</v>
      </c>
      <c r="F488" s="208">
        <v>28</v>
      </c>
      <c r="G488" t="s">
        <v>98</v>
      </c>
      <c r="H488" t="s">
        <v>55</v>
      </c>
    </row>
    <row r="489" spans="1:8" x14ac:dyDescent="0.25">
      <c r="A489" s="208">
        <v>28</v>
      </c>
      <c r="B489" t="s">
        <v>98</v>
      </c>
      <c r="C489" t="s">
        <v>56</v>
      </c>
      <c r="F489" s="208">
        <v>26</v>
      </c>
      <c r="G489" t="s">
        <v>98</v>
      </c>
      <c r="H489" t="s">
        <v>55</v>
      </c>
    </row>
    <row r="490" spans="1:8" x14ac:dyDescent="0.25">
      <c r="A490" s="208">
        <v>29</v>
      </c>
      <c r="B490" t="s">
        <v>98</v>
      </c>
      <c r="C490" t="s">
        <v>56</v>
      </c>
      <c r="F490" s="208">
        <v>32</v>
      </c>
      <c r="G490" t="s">
        <v>98</v>
      </c>
      <c r="H490" t="s">
        <v>55</v>
      </c>
    </row>
    <row r="491" spans="1:8" x14ac:dyDescent="0.25">
      <c r="A491" s="208">
        <v>37</v>
      </c>
      <c r="B491" t="s">
        <v>98</v>
      </c>
      <c r="C491" t="s">
        <v>56</v>
      </c>
      <c r="F491" s="208">
        <v>21</v>
      </c>
      <c r="G491" t="s">
        <v>98</v>
      </c>
      <c r="H491" t="s">
        <v>55</v>
      </c>
    </row>
    <row r="492" spans="1:8" x14ac:dyDescent="0.25">
      <c r="A492" s="208">
        <v>36</v>
      </c>
      <c r="B492" t="s">
        <v>98</v>
      </c>
      <c r="C492" t="s">
        <v>56</v>
      </c>
      <c r="F492" s="208">
        <v>25</v>
      </c>
      <c r="G492" t="s">
        <v>98</v>
      </c>
      <c r="H492" t="s">
        <v>55</v>
      </c>
    </row>
    <row r="493" spans="1:8" x14ac:dyDescent="0.25">
      <c r="A493" s="208">
        <v>26</v>
      </c>
      <c r="B493" t="s">
        <v>98</v>
      </c>
      <c r="C493" t="s">
        <v>56</v>
      </c>
      <c r="F493" s="208">
        <v>19</v>
      </c>
      <c r="G493" t="s">
        <v>98</v>
      </c>
      <c r="H493" t="s">
        <v>55</v>
      </c>
    </row>
    <row r="494" spans="1:8" x14ac:dyDescent="0.25">
      <c r="A494" s="208">
        <v>24</v>
      </c>
      <c r="B494" t="s">
        <v>98</v>
      </c>
      <c r="C494" t="s">
        <v>56</v>
      </c>
      <c r="F494" s="208">
        <v>41</v>
      </c>
      <c r="G494" t="s">
        <v>98</v>
      </c>
      <c r="H494" t="s">
        <v>55</v>
      </c>
    </row>
    <row r="495" spans="1:8" x14ac:dyDescent="0.25">
      <c r="A495" s="208">
        <v>37</v>
      </c>
      <c r="B495" t="s">
        <v>98</v>
      </c>
      <c r="C495" t="s">
        <v>56</v>
      </c>
      <c r="F495" s="208">
        <v>23</v>
      </c>
      <c r="G495" t="s">
        <v>98</v>
      </c>
      <c r="H495" t="s">
        <v>55</v>
      </c>
    </row>
    <row r="496" spans="1:8" x14ac:dyDescent="0.25">
      <c r="A496" s="208">
        <v>30</v>
      </c>
      <c r="B496" t="s">
        <v>98</v>
      </c>
      <c r="C496" t="s">
        <v>56</v>
      </c>
      <c r="F496" s="208">
        <v>35</v>
      </c>
      <c r="G496" t="s">
        <v>98</v>
      </c>
      <c r="H496" t="s">
        <v>55</v>
      </c>
    </row>
    <row r="497" spans="1:8" x14ac:dyDescent="0.25">
      <c r="A497" s="208">
        <v>17</v>
      </c>
      <c r="B497" t="s">
        <v>98</v>
      </c>
      <c r="C497" t="s">
        <v>56</v>
      </c>
      <c r="F497" s="208">
        <v>27</v>
      </c>
      <c r="G497" t="s">
        <v>98</v>
      </c>
      <c r="H497" t="s">
        <v>55</v>
      </c>
    </row>
    <row r="498" spans="1:8" x14ac:dyDescent="0.25">
      <c r="A498" s="208">
        <v>30</v>
      </c>
      <c r="B498" t="s">
        <v>98</v>
      </c>
      <c r="C498" t="s">
        <v>56</v>
      </c>
      <c r="F498" s="208">
        <v>37</v>
      </c>
      <c r="G498" t="s">
        <v>98</v>
      </c>
      <c r="H498" t="s">
        <v>55</v>
      </c>
    </row>
    <row r="499" spans="1:8" x14ac:dyDescent="0.25">
      <c r="A499" s="208">
        <v>16</v>
      </c>
      <c r="B499" t="s">
        <v>98</v>
      </c>
      <c r="C499" t="s">
        <v>56</v>
      </c>
      <c r="F499" s="208">
        <v>16</v>
      </c>
      <c r="G499" t="s">
        <v>98</v>
      </c>
      <c r="H499" t="s">
        <v>55</v>
      </c>
    </row>
    <row r="500" spans="1:8" x14ac:dyDescent="0.25">
      <c r="A500" s="208">
        <v>37</v>
      </c>
      <c r="B500" t="s">
        <v>98</v>
      </c>
      <c r="C500" t="s">
        <v>56</v>
      </c>
      <c r="F500" s="208">
        <v>32</v>
      </c>
      <c r="G500" t="s">
        <v>98</v>
      </c>
      <c r="H500" t="s">
        <v>55</v>
      </c>
    </row>
    <row r="501" spans="1:8" x14ac:dyDescent="0.25">
      <c r="A501" s="208">
        <v>33</v>
      </c>
      <c r="B501" t="s">
        <v>98</v>
      </c>
      <c r="C501" t="s">
        <v>56</v>
      </c>
      <c r="F501" s="208">
        <v>34</v>
      </c>
      <c r="G501" t="s">
        <v>98</v>
      </c>
      <c r="H501" t="s">
        <v>55</v>
      </c>
    </row>
    <row r="502" spans="1:8" x14ac:dyDescent="0.25">
      <c r="A502" s="208">
        <v>26</v>
      </c>
      <c r="B502" t="s">
        <v>98</v>
      </c>
      <c r="C502" t="s">
        <v>56</v>
      </c>
      <c r="F502" s="208">
        <v>37</v>
      </c>
      <c r="G502" t="s">
        <v>98</v>
      </c>
      <c r="H502" t="s">
        <v>55</v>
      </c>
    </row>
    <row r="503" spans="1:8" x14ac:dyDescent="0.25">
      <c r="A503" s="208">
        <v>18</v>
      </c>
      <c r="B503" t="s">
        <v>98</v>
      </c>
      <c r="C503" t="s">
        <v>56</v>
      </c>
      <c r="F503" s="208">
        <v>34</v>
      </c>
      <c r="G503" t="s">
        <v>98</v>
      </c>
      <c r="H503" t="s">
        <v>55</v>
      </c>
    </row>
    <row r="504" spans="1:8" x14ac:dyDescent="0.25">
      <c r="A504" s="208">
        <v>38</v>
      </c>
      <c r="B504" t="s">
        <v>98</v>
      </c>
      <c r="C504" t="s">
        <v>56</v>
      </c>
      <c r="F504" s="208">
        <v>20</v>
      </c>
      <c r="G504" t="s">
        <v>98</v>
      </c>
      <c r="H504" t="s">
        <v>55</v>
      </c>
    </row>
    <row r="505" spans="1:8" x14ac:dyDescent="0.25">
      <c r="A505" s="208">
        <v>30</v>
      </c>
      <c r="B505" t="s">
        <v>98</v>
      </c>
      <c r="C505" t="s">
        <v>56</v>
      </c>
      <c r="F505" s="208">
        <v>36</v>
      </c>
      <c r="G505" t="s">
        <v>98</v>
      </c>
      <c r="H505" t="s">
        <v>55</v>
      </c>
    </row>
    <row r="506" spans="1:8" x14ac:dyDescent="0.25">
      <c r="A506" s="208">
        <v>38</v>
      </c>
      <c r="B506" t="s">
        <v>98</v>
      </c>
      <c r="C506" t="s">
        <v>56</v>
      </c>
      <c r="F506" s="208">
        <v>28</v>
      </c>
      <c r="G506" t="s">
        <v>98</v>
      </c>
      <c r="H506" t="s">
        <v>55</v>
      </c>
    </row>
    <row r="507" spans="1:8" x14ac:dyDescent="0.25">
      <c r="A507" s="208">
        <v>33</v>
      </c>
      <c r="B507" t="s">
        <v>98</v>
      </c>
      <c r="C507" t="s">
        <v>56</v>
      </c>
      <c r="F507" s="208">
        <v>26</v>
      </c>
      <c r="G507" t="s">
        <v>98</v>
      </c>
      <c r="H507" t="s">
        <v>55</v>
      </c>
    </row>
    <row r="508" spans="1:8" x14ac:dyDescent="0.25">
      <c r="A508" s="208">
        <v>26</v>
      </c>
      <c r="B508" t="s">
        <v>98</v>
      </c>
      <c r="C508" t="s">
        <v>56</v>
      </c>
      <c r="F508" s="208">
        <v>24</v>
      </c>
      <c r="G508" t="s">
        <v>98</v>
      </c>
      <c r="H508" t="s">
        <v>55</v>
      </c>
    </row>
    <row r="509" spans="1:8" x14ac:dyDescent="0.25">
      <c r="A509" s="208">
        <v>20</v>
      </c>
      <c r="B509" t="s">
        <v>98</v>
      </c>
      <c r="C509" t="s">
        <v>56</v>
      </c>
      <c r="F509" s="208">
        <v>21</v>
      </c>
      <c r="G509" t="s">
        <v>98</v>
      </c>
      <c r="H509" t="s">
        <v>55</v>
      </c>
    </row>
    <row r="510" spans="1:8" x14ac:dyDescent="0.25">
      <c r="A510" s="208">
        <v>22</v>
      </c>
      <c r="B510" t="s">
        <v>98</v>
      </c>
      <c r="C510" t="s">
        <v>56</v>
      </c>
      <c r="F510" s="208">
        <v>24</v>
      </c>
      <c r="G510" t="s">
        <v>98</v>
      </c>
      <c r="H510" t="s">
        <v>55</v>
      </c>
    </row>
    <row r="511" spans="1:8" x14ac:dyDescent="0.25">
      <c r="A511" s="208">
        <v>25</v>
      </c>
      <c r="B511" t="s">
        <v>98</v>
      </c>
      <c r="C511" t="s">
        <v>56</v>
      </c>
      <c r="F511" s="208">
        <v>34</v>
      </c>
      <c r="G511" t="s">
        <v>98</v>
      </c>
      <c r="H511" t="s">
        <v>55</v>
      </c>
    </row>
    <row r="512" spans="1:8" x14ac:dyDescent="0.25">
      <c r="A512" s="208">
        <v>21</v>
      </c>
      <c r="B512" t="s">
        <v>98</v>
      </c>
      <c r="C512" t="s">
        <v>56</v>
      </c>
      <c r="F512" s="208">
        <v>25</v>
      </c>
      <c r="G512" t="s">
        <v>98</v>
      </c>
      <c r="H512" t="s">
        <v>55</v>
      </c>
    </row>
    <row r="513" spans="1:8" x14ac:dyDescent="0.25">
      <c r="A513" s="208">
        <v>26</v>
      </c>
      <c r="B513" t="s">
        <v>98</v>
      </c>
      <c r="C513" t="s">
        <v>56</v>
      </c>
      <c r="F513" s="208">
        <v>30</v>
      </c>
      <c r="G513" t="s">
        <v>98</v>
      </c>
      <c r="H513" t="s">
        <v>55</v>
      </c>
    </row>
    <row r="514" spans="1:8" x14ac:dyDescent="0.25">
      <c r="A514" s="208">
        <v>24</v>
      </c>
      <c r="B514" t="s">
        <v>98</v>
      </c>
      <c r="C514" t="s">
        <v>56</v>
      </c>
      <c r="F514" s="208">
        <v>24</v>
      </c>
      <c r="G514" t="s">
        <v>98</v>
      </c>
      <c r="H514" t="s">
        <v>55</v>
      </c>
    </row>
    <row r="515" spans="1:8" x14ac:dyDescent="0.25">
      <c r="A515" s="208">
        <v>29</v>
      </c>
      <c r="B515" t="s">
        <v>98</v>
      </c>
      <c r="C515" t="s">
        <v>56</v>
      </c>
      <c r="F515" s="208">
        <v>24</v>
      </c>
      <c r="G515" t="s">
        <v>98</v>
      </c>
      <c r="H515" t="s">
        <v>55</v>
      </c>
    </row>
    <row r="516" spans="1:8" x14ac:dyDescent="0.25">
      <c r="A516" s="208">
        <v>30</v>
      </c>
      <c r="B516" t="s">
        <v>98</v>
      </c>
      <c r="C516" t="s">
        <v>56</v>
      </c>
      <c r="F516" s="208">
        <v>30</v>
      </c>
      <c r="G516" t="s">
        <v>98</v>
      </c>
      <c r="H516" t="s">
        <v>55</v>
      </c>
    </row>
    <row r="517" spans="1:8" x14ac:dyDescent="0.25">
      <c r="A517" s="208">
        <v>32</v>
      </c>
      <c r="B517" t="s">
        <v>98</v>
      </c>
      <c r="C517" t="s">
        <v>56</v>
      </c>
      <c r="F517" s="208">
        <v>26</v>
      </c>
      <c r="G517" t="s">
        <v>98</v>
      </c>
      <c r="H517" t="s">
        <v>55</v>
      </c>
    </row>
    <row r="518" spans="1:8" x14ac:dyDescent="0.25">
      <c r="A518" s="208">
        <v>17</v>
      </c>
      <c r="B518" t="s">
        <v>98</v>
      </c>
      <c r="C518" t="s">
        <v>56</v>
      </c>
      <c r="F518" s="208">
        <v>26</v>
      </c>
      <c r="G518" t="s">
        <v>98</v>
      </c>
      <c r="H518" t="s">
        <v>55</v>
      </c>
    </row>
    <row r="519" spans="1:8" x14ac:dyDescent="0.25">
      <c r="A519" s="208">
        <v>32</v>
      </c>
      <c r="B519" t="s">
        <v>98</v>
      </c>
      <c r="C519" t="s">
        <v>56</v>
      </c>
      <c r="F519" s="208">
        <v>31</v>
      </c>
      <c r="G519" t="s">
        <v>98</v>
      </c>
      <c r="H519" t="s">
        <v>55</v>
      </c>
    </row>
    <row r="520" spans="1:8" x14ac:dyDescent="0.25">
      <c r="A520" s="208">
        <v>14</v>
      </c>
      <c r="B520" t="s">
        <v>98</v>
      </c>
      <c r="C520" t="s">
        <v>56</v>
      </c>
      <c r="F520" s="208">
        <v>29</v>
      </c>
      <c r="G520" t="s">
        <v>98</v>
      </c>
      <c r="H520" t="s">
        <v>55</v>
      </c>
    </row>
    <row r="521" spans="1:8" x14ac:dyDescent="0.25">
      <c r="A521" s="208">
        <v>22</v>
      </c>
      <c r="B521" t="s">
        <v>98</v>
      </c>
      <c r="C521" t="s">
        <v>56</v>
      </c>
      <c r="F521" s="208">
        <v>22</v>
      </c>
      <c r="G521" t="s">
        <v>98</v>
      </c>
      <c r="H521" t="s">
        <v>55</v>
      </c>
    </row>
    <row r="522" spans="1:8" x14ac:dyDescent="0.25">
      <c r="A522" s="208">
        <v>38</v>
      </c>
      <c r="B522" t="s">
        <v>98</v>
      </c>
      <c r="C522" t="s">
        <v>56</v>
      </c>
      <c r="F522" s="208">
        <v>33</v>
      </c>
      <c r="G522" t="s">
        <v>98</v>
      </c>
      <c r="H522" t="s">
        <v>55</v>
      </c>
    </row>
    <row r="523" spans="1:8" x14ac:dyDescent="0.25">
      <c r="A523" s="208">
        <v>23</v>
      </c>
      <c r="B523" t="s">
        <v>98</v>
      </c>
      <c r="C523" t="s">
        <v>56</v>
      </c>
      <c r="F523" s="208">
        <v>36</v>
      </c>
      <c r="G523" t="s">
        <v>98</v>
      </c>
      <c r="H523" t="s">
        <v>55</v>
      </c>
    </row>
    <row r="524" spans="1:8" x14ac:dyDescent="0.25">
      <c r="A524" s="208">
        <v>17</v>
      </c>
      <c r="B524" t="s">
        <v>98</v>
      </c>
      <c r="C524" t="s">
        <v>56</v>
      </c>
      <c r="F524" s="208">
        <v>32</v>
      </c>
      <c r="G524" t="s">
        <v>98</v>
      </c>
      <c r="H524" t="s">
        <v>55</v>
      </c>
    </row>
    <row r="525" spans="1:8" x14ac:dyDescent="0.25">
      <c r="A525" s="208">
        <v>16</v>
      </c>
      <c r="B525" t="s">
        <v>98</v>
      </c>
      <c r="C525" t="s">
        <v>56</v>
      </c>
      <c r="F525" s="208">
        <v>23</v>
      </c>
      <c r="G525" t="s">
        <v>98</v>
      </c>
      <c r="H525" t="s">
        <v>55</v>
      </c>
    </row>
    <row r="526" spans="1:8" x14ac:dyDescent="0.25">
      <c r="A526" s="208">
        <v>21</v>
      </c>
      <c r="B526" t="s">
        <v>98</v>
      </c>
      <c r="C526" t="s">
        <v>56</v>
      </c>
      <c r="F526" s="208">
        <v>28</v>
      </c>
      <c r="G526" t="s">
        <v>98</v>
      </c>
      <c r="H526" t="s">
        <v>55</v>
      </c>
    </row>
    <row r="527" spans="1:8" x14ac:dyDescent="0.25">
      <c r="A527" s="208">
        <v>38</v>
      </c>
      <c r="B527" t="s">
        <v>98</v>
      </c>
      <c r="C527" t="s">
        <v>56</v>
      </c>
      <c r="F527" s="208">
        <v>19</v>
      </c>
      <c r="G527" t="s">
        <v>98</v>
      </c>
      <c r="H527" t="s">
        <v>55</v>
      </c>
    </row>
    <row r="528" spans="1:8" x14ac:dyDescent="0.25">
      <c r="A528" s="208">
        <v>40</v>
      </c>
      <c r="B528" t="s">
        <v>98</v>
      </c>
      <c r="C528" t="s">
        <v>56</v>
      </c>
      <c r="F528" s="208">
        <v>33</v>
      </c>
      <c r="G528" t="s">
        <v>98</v>
      </c>
      <c r="H528" t="s">
        <v>55</v>
      </c>
    </row>
    <row r="529" spans="1:8" x14ac:dyDescent="0.25">
      <c r="A529" s="208">
        <v>33</v>
      </c>
      <c r="B529" t="s">
        <v>98</v>
      </c>
      <c r="C529" t="s">
        <v>56</v>
      </c>
      <c r="F529" s="208">
        <v>34</v>
      </c>
      <c r="G529" t="s">
        <v>98</v>
      </c>
      <c r="H529" t="s">
        <v>55</v>
      </c>
    </row>
    <row r="530" spans="1:8" x14ac:dyDescent="0.25">
      <c r="A530" s="208">
        <v>22</v>
      </c>
      <c r="B530" t="s">
        <v>98</v>
      </c>
      <c r="C530" t="s">
        <v>56</v>
      </c>
      <c r="F530" s="208">
        <v>18</v>
      </c>
      <c r="G530" t="s">
        <v>98</v>
      </c>
      <c r="H530" t="s">
        <v>55</v>
      </c>
    </row>
    <row r="531" spans="1:8" x14ac:dyDescent="0.25">
      <c r="A531" s="208">
        <v>30</v>
      </c>
      <c r="B531" t="s">
        <v>98</v>
      </c>
      <c r="C531" t="s">
        <v>56</v>
      </c>
      <c r="F531" s="208" t="s">
        <v>170</v>
      </c>
      <c r="G531" t="s">
        <v>169</v>
      </c>
      <c r="H531" t="s">
        <v>51</v>
      </c>
    </row>
    <row r="532" spans="1:8" x14ac:dyDescent="0.25">
      <c r="A532" s="208">
        <v>21</v>
      </c>
      <c r="B532" t="s">
        <v>98</v>
      </c>
      <c r="C532" t="s">
        <v>56</v>
      </c>
      <c r="F532" s="208" t="s">
        <v>170</v>
      </c>
      <c r="G532" t="s">
        <v>169</v>
      </c>
      <c r="H532" t="s">
        <v>51</v>
      </c>
    </row>
    <row r="533" spans="1:8" x14ac:dyDescent="0.25">
      <c r="A533" s="208">
        <v>24</v>
      </c>
      <c r="B533" t="s">
        <v>98</v>
      </c>
      <c r="C533" t="s">
        <v>56</v>
      </c>
      <c r="F533" s="208" t="s">
        <v>170</v>
      </c>
      <c r="G533" t="s">
        <v>169</v>
      </c>
      <c r="H533" t="s">
        <v>51</v>
      </c>
    </row>
    <row r="534" spans="1:8" x14ac:dyDescent="0.25">
      <c r="A534" s="208">
        <v>24</v>
      </c>
      <c r="B534" t="s">
        <v>98</v>
      </c>
      <c r="C534" t="s">
        <v>56</v>
      </c>
      <c r="F534" s="208" t="s">
        <v>170</v>
      </c>
      <c r="G534" t="s">
        <v>169</v>
      </c>
      <c r="H534" t="s">
        <v>51</v>
      </c>
    </row>
    <row r="535" spans="1:8" x14ac:dyDescent="0.25">
      <c r="A535" s="208">
        <v>25</v>
      </c>
      <c r="B535" t="s">
        <v>98</v>
      </c>
      <c r="C535" t="s">
        <v>56</v>
      </c>
      <c r="F535" s="208" t="s">
        <v>186</v>
      </c>
      <c r="G535" t="s">
        <v>98</v>
      </c>
      <c r="H535" t="s">
        <v>51</v>
      </c>
    </row>
    <row r="536" spans="1:8" x14ac:dyDescent="0.25">
      <c r="A536" s="208">
        <v>27</v>
      </c>
      <c r="B536" t="s">
        <v>98</v>
      </c>
      <c r="C536" t="s">
        <v>56</v>
      </c>
      <c r="F536" s="208" t="s">
        <v>170</v>
      </c>
      <c r="G536" t="s">
        <v>98</v>
      </c>
      <c r="H536" t="s">
        <v>51</v>
      </c>
    </row>
    <row r="537" spans="1:8" x14ac:dyDescent="0.25">
      <c r="A537" s="208">
        <v>19</v>
      </c>
      <c r="B537" t="s">
        <v>98</v>
      </c>
      <c r="C537" t="s">
        <v>56</v>
      </c>
      <c r="F537" s="208" t="s">
        <v>170</v>
      </c>
      <c r="G537" t="s">
        <v>98</v>
      </c>
      <c r="H537" t="s">
        <v>51</v>
      </c>
    </row>
    <row r="538" spans="1:8" x14ac:dyDescent="0.25">
      <c r="A538" s="208">
        <v>43</v>
      </c>
      <c r="B538" t="s">
        <v>98</v>
      </c>
      <c r="C538" t="s">
        <v>56</v>
      </c>
      <c r="F538" s="208" t="s">
        <v>170</v>
      </c>
      <c r="G538" t="s">
        <v>98</v>
      </c>
      <c r="H538" t="s">
        <v>51</v>
      </c>
    </row>
    <row r="539" spans="1:8" x14ac:dyDescent="0.25">
      <c r="A539" s="208">
        <v>29</v>
      </c>
      <c r="B539" t="s">
        <v>98</v>
      </c>
      <c r="C539" t="s">
        <v>56</v>
      </c>
      <c r="F539" s="208" t="s">
        <v>150</v>
      </c>
      <c r="G539" t="s">
        <v>169</v>
      </c>
      <c r="H539" t="s">
        <v>51</v>
      </c>
    </row>
    <row r="540" spans="1:8" x14ac:dyDescent="0.25">
      <c r="A540" s="208">
        <v>31</v>
      </c>
      <c r="B540" t="s">
        <v>98</v>
      </c>
      <c r="C540" t="s">
        <v>56</v>
      </c>
      <c r="F540" s="208" t="s">
        <v>170</v>
      </c>
      <c r="G540" t="s">
        <v>169</v>
      </c>
      <c r="H540" t="s">
        <v>51</v>
      </c>
    </row>
    <row r="541" spans="1:8" x14ac:dyDescent="0.25">
      <c r="A541" s="208">
        <v>28</v>
      </c>
      <c r="B541" t="s">
        <v>98</v>
      </c>
      <c r="C541" t="s">
        <v>56</v>
      </c>
      <c r="F541" s="208" t="s">
        <v>170</v>
      </c>
      <c r="G541" t="s">
        <v>169</v>
      </c>
      <c r="H541" t="s">
        <v>51</v>
      </c>
    </row>
    <row r="542" spans="1:8" x14ac:dyDescent="0.25">
      <c r="A542" s="208">
        <v>34</v>
      </c>
      <c r="B542" t="s">
        <v>98</v>
      </c>
      <c r="C542" t="s">
        <v>56</v>
      </c>
      <c r="F542" s="208" t="s">
        <v>170</v>
      </c>
      <c r="G542" t="s">
        <v>169</v>
      </c>
      <c r="H542" t="s">
        <v>51</v>
      </c>
    </row>
    <row r="543" spans="1:8" x14ac:dyDescent="0.25">
      <c r="A543" s="208">
        <v>34</v>
      </c>
      <c r="B543" t="s">
        <v>98</v>
      </c>
      <c r="C543" t="s">
        <v>56</v>
      </c>
      <c r="F543" s="208" t="s">
        <v>170</v>
      </c>
      <c r="G543" t="s">
        <v>98</v>
      </c>
      <c r="H543" t="s">
        <v>51</v>
      </c>
    </row>
    <row r="544" spans="1:8" x14ac:dyDescent="0.25">
      <c r="A544" s="208">
        <v>28</v>
      </c>
      <c r="B544" t="s">
        <v>98</v>
      </c>
      <c r="C544" t="s">
        <v>56</v>
      </c>
      <c r="F544" s="208" t="s">
        <v>170</v>
      </c>
      <c r="G544" t="s">
        <v>98</v>
      </c>
      <c r="H544" t="s">
        <v>51</v>
      </c>
    </row>
    <row r="545" spans="1:8" x14ac:dyDescent="0.25">
      <c r="A545" s="208">
        <v>23</v>
      </c>
      <c r="B545" t="s">
        <v>98</v>
      </c>
      <c r="C545" t="s">
        <v>56</v>
      </c>
      <c r="F545" s="208" t="s">
        <v>170</v>
      </c>
      <c r="G545" t="s">
        <v>169</v>
      </c>
      <c r="H545" t="s">
        <v>51</v>
      </c>
    </row>
    <row r="546" spans="1:8" x14ac:dyDescent="0.25">
      <c r="A546" s="208">
        <v>28</v>
      </c>
      <c r="B546" t="s">
        <v>98</v>
      </c>
      <c r="C546" t="s">
        <v>56</v>
      </c>
      <c r="F546" s="208" t="s">
        <v>172</v>
      </c>
      <c r="G546" t="s">
        <v>98</v>
      </c>
      <c r="H546" t="s">
        <v>51</v>
      </c>
    </row>
    <row r="547" spans="1:8" x14ac:dyDescent="0.25">
      <c r="A547" s="208">
        <v>24</v>
      </c>
      <c r="B547" t="s">
        <v>98</v>
      </c>
      <c r="C547" t="s">
        <v>56</v>
      </c>
      <c r="F547" s="208" t="s">
        <v>174</v>
      </c>
      <c r="G547" t="s">
        <v>98</v>
      </c>
      <c r="H547" t="s">
        <v>51</v>
      </c>
    </row>
    <row r="548" spans="1:8" x14ac:dyDescent="0.25">
      <c r="A548" s="208">
        <v>25</v>
      </c>
      <c r="B548" t="s">
        <v>98</v>
      </c>
      <c r="C548" t="s">
        <v>56</v>
      </c>
      <c r="F548" s="208" t="s">
        <v>170</v>
      </c>
      <c r="G548" t="s">
        <v>169</v>
      </c>
      <c r="H548" t="s">
        <v>51</v>
      </c>
    </row>
    <row r="549" spans="1:8" x14ac:dyDescent="0.25">
      <c r="A549" s="208">
        <v>17</v>
      </c>
      <c r="B549" t="s">
        <v>98</v>
      </c>
      <c r="C549" t="s">
        <v>56</v>
      </c>
      <c r="F549" s="208" t="s">
        <v>170</v>
      </c>
      <c r="G549" t="s">
        <v>98</v>
      </c>
      <c r="H549" t="s">
        <v>51</v>
      </c>
    </row>
    <row r="550" spans="1:8" x14ac:dyDescent="0.25">
      <c r="A550" s="208">
        <v>15</v>
      </c>
      <c r="B550" t="s">
        <v>98</v>
      </c>
      <c r="C550" t="s">
        <v>56</v>
      </c>
      <c r="F550" s="208" t="s">
        <v>133</v>
      </c>
      <c r="G550" t="s">
        <v>169</v>
      </c>
      <c r="H550" t="s">
        <v>51</v>
      </c>
    </row>
    <row r="551" spans="1:8" x14ac:dyDescent="0.25">
      <c r="A551" s="208">
        <v>35</v>
      </c>
      <c r="B551" t="s">
        <v>98</v>
      </c>
      <c r="C551" t="s">
        <v>56</v>
      </c>
      <c r="F551" s="208" t="s">
        <v>170</v>
      </c>
      <c r="G551" t="s">
        <v>98</v>
      </c>
      <c r="H551" t="s">
        <v>51</v>
      </c>
    </row>
    <row r="552" spans="1:8" x14ac:dyDescent="0.25">
      <c r="A552" s="208">
        <v>34</v>
      </c>
      <c r="B552" t="s">
        <v>98</v>
      </c>
      <c r="C552" t="s">
        <v>56</v>
      </c>
      <c r="F552" s="208" t="s">
        <v>175</v>
      </c>
      <c r="G552" t="s">
        <v>169</v>
      </c>
      <c r="H552" t="s">
        <v>51</v>
      </c>
    </row>
    <row r="553" spans="1:8" x14ac:dyDescent="0.25">
      <c r="A553" s="208">
        <v>26</v>
      </c>
      <c r="B553" t="s">
        <v>98</v>
      </c>
      <c r="C553" t="s">
        <v>56</v>
      </c>
      <c r="F553" s="208" t="s">
        <v>170</v>
      </c>
      <c r="G553" t="s">
        <v>98</v>
      </c>
      <c r="H553" t="s">
        <v>51</v>
      </c>
    </row>
    <row r="554" spans="1:8" x14ac:dyDescent="0.25">
      <c r="A554" s="208">
        <v>18</v>
      </c>
      <c r="B554" t="s">
        <v>98</v>
      </c>
      <c r="C554" t="s">
        <v>56</v>
      </c>
      <c r="F554" s="208" t="s">
        <v>176</v>
      </c>
      <c r="G554" t="s">
        <v>98</v>
      </c>
      <c r="H554" t="s">
        <v>51</v>
      </c>
    </row>
    <row r="555" spans="1:8" x14ac:dyDescent="0.25">
      <c r="A555" s="208">
        <v>22</v>
      </c>
      <c r="B555" t="s">
        <v>98</v>
      </c>
      <c r="C555" t="s">
        <v>56</v>
      </c>
      <c r="F555" s="208" t="s">
        <v>177</v>
      </c>
      <c r="G555" t="s">
        <v>169</v>
      </c>
      <c r="H555" t="s">
        <v>51</v>
      </c>
    </row>
    <row r="556" spans="1:8" x14ac:dyDescent="0.25">
      <c r="A556" s="208">
        <v>28</v>
      </c>
      <c r="B556" t="s">
        <v>98</v>
      </c>
      <c r="C556" t="s">
        <v>56</v>
      </c>
      <c r="F556" s="208" t="s">
        <v>178</v>
      </c>
      <c r="G556" t="s">
        <v>98</v>
      </c>
      <c r="H556" t="s">
        <v>51</v>
      </c>
    </row>
    <row r="557" spans="1:8" x14ac:dyDescent="0.25">
      <c r="A557" s="208">
        <v>34</v>
      </c>
      <c r="B557" t="s">
        <v>98</v>
      </c>
      <c r="C557" t="s">
        <v>56</v>
      </c>
      <c r="F557" s="208" t="s">
        <v>170</v>
      </c>
      <c r="G557" t="s">
        <v>169</v>
      </c>
      <c r="H557" t="s">
        <v>51</v>
      </c>
    </row>
    <row r="558" spans="1:8" x14ac:dyDescent="0.25">
      <c r="A558" s="208">
        <v>22</v>
      </c>
      <c r="B558" t="s">
        <v>98</v>
      </c>
      <c r="C558" t="s">
        <v>56</v>
      </c>
      <c r="F558" s="208" t="s">
        <v>170</v>
      </c>
      <c r="G558" t="s">
        <v>98</v>
      </c>
      <c r="H558" t="s">
        <v>51</v>
      </c>
    </row>
    <row r="559" spans="1:8" x14ac:dyDescent="0.25">
      <c r="A559" s="208">
        <v>35</v>
      </c>
      <c r="B559" t="s">
        <v>98</v>
      </c>
      <c r="C559" t="s">
        <v>56</v>
      </c>
      <c r="F559" s="208" t="s">
        <v>170</v>
      </c>
      <c r="G559" t="s">
        <v>169</v>
      </c>
      <c r="H559" t="s">
        <v>51</v>
      </c>
    </row>
    <row r="560" spans="1:8" x14ac:dyDescent="0.25">
      <c r="A560" s="208">
        <v>26</v>
      </c>
      <c r="B560" t="s">
        <v>98</v>
      </c>
      <c r="C560" t="s">
        <v>56</v>
      </c>
      <c r="F560" s="208" t="s">
        <v>179</v>
      </c>
      <c r="G560" t="s">
        <v>98</v>
      </c>
      <c r="H560" t="s">
        <v>51</v>
      </c>
    </row>
    <row r="561" spans="1:8" x14ac:dyDescent="0.25">
      <c r="A561" s="208">
        <v>31</v>
      </c>
      <c r="B561" t="s">
        <v>98</v>
      </c>
      <c r="C561" t="s">
        <v>56</v>
      </c>
      <c r="F561" s="208" t="s">
        <v>180</v>
      </c>
      <c r="G561" t="s">
        <v>98</v>
      </c>
      <c r="H561" t="s">
        <v>51</v>
      </c>
    </row>
    <row r="562" spans="1:8" x14ac:dyDescent="0.25">
      <c r="A562" s="208">
        <v>19</v>
      </c>
      <c r="B562" t="s">
        <v>98</v>
      </c>
      <c r="C562" t="s">
        <v>56</v>
      </c>
      <c r="F562" s="208" t="s">
        <v>170</v>
      </c>
      <c r="G562" t="s">
        <v>169</v>
      </c>
      <c r="H562" t="s">
        <v>51</v>
      </c>
    </row>
    <row r="563" spans="1:8" x14ac:dyDescent="0.25">
      <c r="A563" s="208">
        <v>23</v>
      </c>
      <c r="B563" t="s">
        <v>98</v>
      </c>
      <c r="C563" t="s">
        <v>56</v>
      </c>
      <c r="F563" s="208" t="s">
        <v>170</v>
      </c>
      <c r="G563" t="s">
        <v>169</v>
      </c>
      <c r="H563" t="s">
        <v>51</v>
      </c>
    </row>
    <row r="564" spans="1:8" x14ac:dyDescent="0.25">
      <c r="A564" s="208">
        <v>28</v>
      </c>
      <c r="B564" t="s">
        <v>98</v>
      </c>
      <c r="C564" t="s">
        <v>56</v>
      </c>
      <c r="F564" s="208" t="s">
        <v>170</v>
      </c>
      <c r="G564" t="s">
        <v>169</v>
      </c>
      <c r="H564" t="s">
        <v>51</v>
      </c>
    </row>
    <row r="565" spans="1:8" x14ac:dyDescent="0.25">
      <c r="A565" s="208">
        <v>17</v>
      </c>
      <c r="B565" t="s">
        <v>98</v>
      </c>
      <c r="C565" t="s">
        <v>56</v>
      </c>
      <c r="F565" s="208" t="s">
        <v>181</v>
      </c>
      <c r="G565" t="s">
        <v>98</v>
      </c>
      <c r="H565" t="s">
        <v>51</v>
      </c>
    </row>
    <row r="566" spans="1:8" x14ac:dyDescent="0.25">
      <c r="A566" s="208">
        <v>20</v>
      </c>
      <c r="B566" t="s">
        <v>98</v>
      </c>
      <c r="C566" t="s">
        <v>56</v>
      </c>
      <c r="F566" s="208" t="s">
        <v>170</v>
      </c>
      <c r="G566" t="s">
        <v>169</v>
      </c>
      <c r="H566" t="s">
        <v>51</v>
      </c>
    </row>
    <row r="567" spans="1:8" x14ac:dyDescent="0.25">
      <c r="A567" s="208">
        <v>37</v>
      </c>
      <c r="B567" t="s">
        <v>98</v>
      </c>
      <c r="C567" t="s">
        <v>56</v>
      </c>
      <c r="F567" s="208" t="s">
        <v>173</v>
      </c>
      <c r="G567" t="s">
        <v>98</v>
      </c>
      <c r="H567" t="s">
        <v>51</v>
      </c>
    </row>
    <row r="568" spans="1:8" x14ac:dyDescent="0.25">
      <c r="A568" s="208">
        <v>40</v>
      </c>
      <c r="B568" t="s">
        <v>98</v>
      </c>
      <c r="C568" t="s">
        <v>56</v>
      </c>
      <c r="F568" s="208" t="s">
        <v>173</v>
      </c>
      <c r="G568" t="s">
        <v>98</v>
      </c>
      <c r="H568" t="s">
        <v>51</v>
      </c>
    </row>
    <row r="569" spans="1:8" x14ac:dyDescent="0.25">
      <c r="A569" s="208">
        <v>23</v>
      </c>
      <c r="B569" t="s">
        <v>98</v>
      </c>
      <c r="C569" t="s">
        <v>56</v>
      </c>
      <c r="F569" s="208" t="s">
        <v>172</v>
      </c>
      <c r="G569" t="s">
        <v>98</v>
      </c>
      <c r="H569" t="s">
        <v>51</v>
      </c>
    </row>
    <row r="570" spans="1:8" x14ac:dyDescent="0.25">
      <c r="A570" s="208">
        <v>30</v>
      </c>
      <c r="B570" t="s">
        <v>98</v>
      </c>
      <c r="C570" t="s">
        <v>56</v>
      </c>
      <c r="F570" s="208" t="s">
        <v>170</v>
      </c>
      <c r="G570" t="s">
        <v>169</v>
      </c>
      <c r="H570" t="s">
        <v>51</v>
      </c>
    </row>
    <row r="571" spans="1:8" x14ac:dyDescent="0.25">
      <c r="A571" s="208">
        <v>22</v>
      </c>
      <c r="B571" t="s">
        <v>98</v>
      </c>
      <c r="C571" t="s">
        <v>56</v>
      </c>
      <c r="F571" s="208" t="s">
        <v>170</v>
      </c>
      <c r="G571" t="s">
        <v>169</v>
      </c>
      <c r="H571" t="s">
        <v>51</v>
      </c>
    </row>
    <row r="572" spans="1:8" x14ac:dyDescent="0.25">
      <c r="A572" s="208">
        <v>26</v>
      </c>
      <c r="B572" t="s">
        <v>98</v>
      </c>
      <c r="C572" t="s">
        <v>56</v>
      </c>
      <c r="F572" s="208" t="s">
        <v>170</v>
      </c>
      <c r="G572" t="s">
        <v>169</v>
      </c>
      <c r="H572" t="s">
        <v>51</v>
      </c>
    </row>
    <row r="573" spans="1:8" x14ac:dyDescent="0.25">
      <c r="A573" s="208">
        <v>20</v>
      </c>
      <c r="B573" t="s">
        <v>98</v>
      </c>
      <c r="C573" t="s">
        <v>56</v>
      </c>
      <c r="F573" s="208" t="s">
        <v>171</v>
      </c>
      <c r="G573" t="s">
        <v>98</v>
      </c>
      <c r="H573" t="s">
        <v>51</v>
      </c>
    </row>
    <row r="574" spans="1:8" x14ac:dyDescent="0.25">
      <c r="A574" s="208">
        <v>24</v>
      </c>
      <c r="B574" t="s">
        <v>98</v>
      </c>
      <c r="C574" t="s">
        <v>56</v>
      </c>
      <c r="F574" s="208" t="s">
        <v>177</v>
      </c>
      <c r="G574" t="s">
        <v>169</v>
      </c>
      <c r="H574" t="s">
        <v>51</v>
      </c>
    </row>
    <row r="575" spans="1:8" x14ac:dyDescent="0.25">
      <c r="A575" s="208">
        <v>21</v>
      </c>
      <c r="B575" t="s">
        <v>98</v>
      </c>
      <c r="C575" t="s">
        <v>56</v>
      </c>
      <c r="F575" s="208" t="s">
        <v>170</v>
      </c>
      <c r="G575" t="s">
        <v>169</v>
      </c>
      <c r="H575" t="s">
        <v>51</v>
      </c>
    </row>
    <row r="576" spans="1:8" x14ac:dyDescent="0.25">
      <c r="A576" s="208">
        <v>33</v>
      </c>
      <c r="B576" t="s">
        <v>98</v>
      </c>
      <c r="C576" t="s">
        <v>56</v>
      </c>
      <c r="F576" s="208" t="s">
        <v>170</v>
      </c>
      <c r="G576" t="s">
        <v>98</v>
      </c>
      <c r="H576" t="s">
        <v>51</v>
      </c>
    </row>
    <row r="577" spans="1:8" x14ac:dyDescent="0.25">
      <c r="A577" s="208">
        <v>31</v>
      </c>
      <c r="B577" t="s">
        <v>98</v>
      </c>
      <c r="C577" t="s">
        <v>56</v>
      </c>
      <c r="F577" s="208" t="s">
        <v>182</v>
      </c>
      <c r="G577" t="s">
        <v>98</v>
      </c>
      <c r="H577" t="s">
        <v>51</v>
      </c>
    </row>
    <row r="578" spans="1:8" x14ac:dyDescent="0.25">
      <c r="A578" s="208">
        <v>29</v>
      </c>
      <c r="B578" t="s">
        <v>98</v>
      </c>
      <c r="C578" t="s">
        <v>55</v>
      </c>
      <c r="F578" s="208" t="s">
        <v>170</v>
      </c>
      <c r="G578" t="s">
        <v>98</v>
      </c>
      <c r="H578" t="s">
        <v>51</v>
      </c>
    </row>
    <row r="579" spans="1:8" x14ac:dyDescent="0.25">
      <c r="A579" s="208">
        <v>32</v>
      </c>
      <c r="B579" t="s">
        <v>98</v>
      </c>
      <c r="C579" t="s">
        <v>55</v>
      </c>
      <c r="F579" s="208" t="s">
        <v>183</v>
      </c>
      <c r="G579" t="s">
        <v>98</v>
      </c>
      <c r="H579" t="s">
        <v>51</v>
      </c>
    </row>
    <row r="580" spans="1:8" x14ac:dyDescent="0.25">
      <c r="A580" s="208">
        <v>34</v>
      </c>
      <c r="B580" t="s">
        <v>98</v>
      </c>
      <c r="C580" t="s">
        <v>55</v>
      </c>
      <c r="F580" s="208" t="s">
        <v>170</v>
      </c>
      <c r="G580" t="s">
        <v>169</v>
      </c>
      <c r="H580" t="s">
        <v>51</v>
      </c>
    </row>
    <row r="581" spans="1:8" x14ac:dyDescent="0.25">
      <c r="A581" s="208">
        <v>23</v>
      </c>
      <c r="B581" t="s">
        <v>98</v>
      </c>
      <c r="C581" t="s">
        <v>55</v>
      </c>
      <c r="F581" s="208" t="s">
        <v>184</v>
      </c>
      <c r="G581" t="s">
        <v>169</v>
      </c>
      <c r="H581" t="s">
        <v>51</v>
      </c>
    </row>
    <row r="582" spans="1:8" x14ac:dyDescent="0.25">
      <c r="A582" s="208">
        <v>36</v>
      </c>
      <c r="B582" t="s">
        <v>98</v>
      </c>
      <c r="C582" t="s">
        <v>55</v>
      </c>
      <c r="F582" s="208" t="s">
        <v>170</v>
      </c>
      <c r="G582" t="s">
        <v>98</v>
      </c>
      <c r="H582" t="s">
        <v>51</v>
      </c>
    </row>
    <row r="583" spans="1:8" x14ac:dyDescent="0.25">
      <c r="A583" s="208">
        <v>18</v>
      </c>
      <c r="B583" t="s">
        <v>98</v>
      </c>
      <c r="C583" t="s">
        <v>55</v>
      </c>
      <c r="F583" s="208" t="s">
        <v>170</v>
      </c>
      <c r="G583" t="s">
        <v>169</v>
      </c>
      <c r="H583" t="s">
        <v>51</v>
      </c>
    </row>
    <row r="584" spans="1:8" x14ac:dyDescent="0.25">
      <c r="A584" s="208">
        <v>30</v>
      </c>
      <c r="B584" t="s">
        <v>98</v>
      </c>
      <c r="C584" t="s">
        <v>55</v>
      </c>
      <c r="F584" s="208" t="s">
        <v>170</v>
      </c>
      <c r="G584" t="s">
        <v>98</v>
      </c>
      <c r="H584" t="s">
        <v>51</v>
      </c>
    </row>
    <row r="585" spans="1:8" x14ac:dyDescent="0.25">
      <c r="A585" s="208">
        <v>21</v>
      </c>
      <c r="B585" t="s">
        <v>98</v>
      </c>
      <c r="C585" t="s">
        <v>55</v>
      </c>
      <c r="F585" s="208" t="s">
        <v>170</v>
      </c>
      <c r="G585" t="s">
        <v>169</v>
      </c>
      <c r="H585" t="s">
        <v>51</v>
      </c>
    </row>
    <row r="586" spans="1:8" x14ac:dyDescent="0.25">
      <c r="A586" s="208">
        <v>23</v>
      </c>
      <c r="B586" t="s">
        <v>98</v>
      </c>
      <c r="C586" t="s">
        <v>55</v>
      </c>
      <c r="F586" s="208" t="s">
        <v>170</v>
      </c>
      <c r="G586" t="s">
        <v>169</v>
      </c>
      <c r="H586" t="s">
        <v>51</v>
      </c>
    </row>
    <row r="587" spans="1:8" x14ac:dyDescent="0.25">
      <c r="A587" s="208">
        <v>28</v>
      </c>
      <c r="B587" t="s">
        <v>98</v>
      </c>
      <c r="C587" t="s">
        <v>55</v>
      </c>
      <c r="F587" s="208" t="s">
        <v>170</v>
      </c>
      <c r="G587" t="s">
        <v>169</v>
      </c>
      <c r="H587" t="s">
        <v>51</v>
      </c>
    </row>
    <row r="588" spans="1:8" x14ac:dyDescent="0.25">
      <c r="A588" s="208">
        <v>22</v>
      </c>
      <c r="B588" t="s">
        <v>98</v>
      </c>
      <c r="C588" t="s">
        <v>55</v>
      </c>
      <c r="F588" s="208" t="s">
        <v>170</v>
      </c>
      <c r="G588" t="s">
        <v>98</v>
      </c>
      <c r="H588" t="s">
        <v>51</v>
      </c>
    </row>
    <row r="589" spans="1:8" x14ac:dyDescent="0.25">
      <c r="A589" s="208">
        <v>20</v>
      </c>
      <c r="B589" t="s">
        <v>98</v>
      </c>
      <c r="C589" t="s">
        <v>55</v>
      </c>
      <c r="F589" s="208" t="s">
        <v>170</v>
      </c>
      <c r="G589" t="s">
        <v>98</v>
      </c>
      <c r="H589" t="s">
        <v>51</v>
      </c>
    </row>
    <row r="590" spans="1:8" x14ac:dyDescent="0.25">
      <c r="A590" s="208">
        <v>39</v>
      </c>
      <c r="B590" t="s">
        <v>98</v>
      </c>
      <c r="C590" t="s">
        <v>55</v>
      </c>
      <c r="F590" s="208" t="s">
        <v>185</v>
      </c>
      <c r="G590" t="s">
        <v>98</v>
      </c>
      <c r="H590" t="s">
        <v>51</v>
      </c>
    </row>
    <row r="591" spans="1:8" x14ac:dyDescent="0.25">
      <c r="A591" s="208">
        <v>21</v>
      </c>
      <c r="B591" t="s">
        <v>98</v>
      </c>
      <c r="C591" t="s">
        <v>55</v>
      </c>
      <c r="F591" s="208" t="s">
        <v>170</v>
      </c>
      <c r="G591" t="s">
        <v>98</v>
      </c>
      <c r="H591" t="s">
        <v>51</v>
      </c>
    </row>
    <row r="592" spans="1:8" x14ac:dyDescent="0.25">
      <c r="A592" s="208">
        <v>31</v>
      </c>
      <c r="B592" t="s">
        <v>98</v>
      </c>
      <c r="C592" t="s">
        <v>55</v>
      </c>
      <c r="F592" s="208">
        <v>84</v>
      </c>
      <c r="G592" t="s">
        <v>98</v>
      </c>
      <c r="H592" t="s">
        <v>161</v>
      </c>
    </row>
    <row r="593" spans="1:8" x14ac:dyDescent="0.25">
      <c r="A593" s="208">
        <v>24</v>
      </c>
      <c r="B593" t="s">
        <v>98</v>
      </c>
      <c r="C593" t="s">
        <v>55</v>
      </c>
      <c r="F593" s="208">
        <v>50</v>
      </c>
      <c r="G593" t="s">
        <v>169</v>
      </c>
      <c r="H593" t="s">
        <v>161</v>
      </c>
    </row>
    <row r="594" spans="1:8" x14ac:dyDescent="0.25">
      <c r="A594" s="208">
        <v>31</v>
      </c>
      <c r="B594" t="s">
        <v>98</v>
      </c>
      <c r="C594" t="s">
        <v>55</v>
      </c>
      <c r="F594" s="208">
        <v>78</v>
      </c>
      <c r="G594" t="s">
        <v>169</v>
      </c>
      <c r="H594" t="s">
        <v>161</v>
      </c>
    </row>
    <row r="595" spans="1:8" x14ac:dyDescent="0.25">
      <c r="A595" s="208">
        <v>27</v>
      </c>
      <c r="B595" t="s">
        <v>98</v>
      </c>
      <c r="C595" t="s">
        <v>55</v>
      </c>
      <c r="F595" s="208">
        <v>66</v>
      </c>
      <c r="G595" t="s">
        <v>169</v>
      </c>
      <c r="H595" t="s">
        <v>161</v>
      </c>
    </row>
    <row r="596" spans="1:8" x14ac:dyDescent="0.25">
      <c r="A596" s="208">
        <v>20</v>
      </c>
      <c r="B596" t="s">
        <v>98</v>
      </c>
      <c r="C596" t="s">
        <v>55</v>
      </c>
      <c r="F596" s="208">
        <v>16</v>
      </c>
      <c r="G596" t="s">
        <v>97</v>
      </c>
      <c r="H596" t="s">
        <v>161</v>
      </c>
    </row>
    <row r="597" spans="1:8" x14ac:dyDescent="0.25">
      <c r="A597" s="208">
        <v>33</v>
      </c>
      <c r="B597" t="s">
        <v>98</v>
      </c>
      <c r="C597" t="s">
        <v>55</v>
      </c>
      <c r="F597" s="208">
        <v>14</v>
      </c>
      <c r="G597" t="s">
        <v>97</v>
      </c>
      <c r="H597" t="s">
        <v>161</v>
      </c>
    </row>
    <row r="598" spans="1:8" x14ac:dyDescent="0.25">
      <c r="A598" s="208">
        <v>33</v>
      </c>
      <c r="B598" t="s">
        <v>98</v>
      </c>
      <c r="C598" t="s">
        <v>55</v>
      </c>
      <c r="F598" s="208">
        <v>57</v>
      </c>
      <c r="G598" t="s">
        <v>98</v>
      </c>
      <c r="H598" t="s">
        <v>161</v>
      </c>
    </row>
    <row r="599" spans="1:8" x14ac:dyDescent="0.25">
      <c r="A599" s="208">
        <v>19</v>
      </c>
      <c r="B599" t="s">
        <v>98</v>
      </c>
      <c r="C599" t="s">
        <v>55</v>
      </c>
      <c r="F599" s="208">
        <v>1</v>
      </c>
      <c r="G599" t="s">
        <v>98</v>
      </c>
      <c r="H599" t="s">
        <v>161</v>
      </c>
    </row>
    <row r="600" spans="1:8" x14ac:dyDescent="0.25">
      <c r="A600" s="208">
        <v>38</v>
      </c>
      <c r="B600" t="s">
        <v>98</v>
      </c>
      <c r="C600" t="s">
        <v>55</v>
      </c>
      <c r="F600" s="208">
        <v>30</v>
      </c>
      <c r="G600" t="s">
        <v>97</v>
      </c>
      <c r="H600" t="s">
        <v>161</v>
      </c>
    </row>
    <row r="601" spans="1:8" x14ac:dyDescent="0.25">
      <c r="A601" s="208">
        <v>34</v>
      </c>
      <c r="B601" t="s">
        <v>98</v>
      </c>
      <c r="C601" t="s">
        <v>55</v>
      </c>
      <c r="F601" s="208">
        <v>72</v>
      </c>
      <c r="G601" t="s">
        <v>97</v>
      </c>
      <c r="H601" t="s">
        <v>161</v>
      </c>
    </row>
    <row r="602" spans="1:8" x14ac:dyDescent="0.25">
      <c r="A602" s="208">
        <v>26</v>
      </c>
      <c r="B602" t="s">
        <v>98</v>
      </c>
      <c r="C602" t="s">
        <v>55</v>
      </c>
      <c r="F602" s="208">
        <v>31</v>
      </c>
      <c r="G602" t="s">
        <v>97</v>
      </c>
      <c r="H602" t="s">
        <v>161</v>
      </c>
    </row>
    <row r="603" spans="1:8" x14ac:dyDescent="0.25">
      <c r="A603" s="208">
        <v>25</v>
      </c>
      <c r="B603" t="s">
        <v>98</v>
      </c>
      <c r="C603" t="s">
        <v>55</v>
      </c>
      <c r="F603" s="208">
        <v>23</v>
      </c>
      <c r="G603" t="s">
        <v>97</v>
      </c>
      <c r="H603" t="s">
        <v>161</v>
      </c>
    </row>
    <row r="604" spans="1:8" x14ac:dyDescent="0.25">
      <c r="A604" s="208">
        <v>31</v>
      </c>
      <c r="B604" t="s">
        <v>98</v>
      </c>
      <c r="C604" t="s">
        <v>55</v>
      </c>
      <c r="F604" s="208">
        <v>18</v>
      </c>
      <c r="G604" t="s">
        <v>97</v>
      </c>
      <c r="H604" t="s">
        <v>161</v>
      </c>
    </row>
    <row r="605" spans="1:8" x14ac:dyDescent="0.25">
      <c r="A605" s="208">
        <v>35</v>
      </c>
      <c r="B605" t="s">
        <v>98</v>
      </c>
      <c r="C605" t="s">
        <v>55</v>
      </c>
      <c r="F605" s="208">
        <v>57</v>
      </c>
      <c r="G605" t="s">
        <v>97</v>
      </c>
      <c r="H605" t="s">
        <v>161</v>
      </c>
    </row>
    <row r="606" spans="1:8" x14ac:dyDescent="0.25">
      <c r="A606" s="208">
        <v>25</v>
      </c>
      <c r="B606" t="s">
        <v>98</v>
      </c>
      <c r="C606" t="s">
        <v>55</v>
      </c>
      <c r="F606" s="208">
        <v>32</v>
      </c>
      <c r="G606" t="s">
        <v>97</v>
      </c>
      <c r="H606" t="s">
        <v>161</v>
      </c>
    </row>
    <row r="607" spans="1:8" x14ac:dyDescent="0.25">
      <c r="A607" s="208">
        <v>23</v>
      </c>
      <c r="B607" t="s">
        <v>98</v>
      </c>
      <c r="C607" t="s">
        <v>55</v>
      </c>
      <c r="F607" s="208">
        <v>7</v>
      </c>
      <c r="G607" t="s">
        <v>98</v>
      </c>
      <c r="H607" t="s">
        <v>161</v>
      </c>
    </row>
    <row r="608" spans="1:8" x14ac:dyDescent="0.25">
      <c r="A608" s="208">
        <v>35</v>
      </c>
      <c r="B608" t="s">
        <v>98</v>
      </c>
      <c r="C608" t="s">
        <v>55</v>
      </c>
      <c r="F608" s="208">
        <v>46</v>
      </c>
      <c r="G608" t="s">
        <v>98</v>
      </c>
      <c r="H608" t="s">
        <v>161</v>
      </c>
    </row>
    <row r="609" spans="1:8" x14ac:dyDescent="0.25">
      <c r="A609" s="208">
        <v>39</v>
      </c>
      <c r="B609" t="s">
        <v>98</v>
      </c>
      <c r="C609" t="s">
        <v>55</v>
      </c>
      <c r="F609" s="208">
        <v>32</v>
      </c>
      <c r="G609" t="s">
        <v>98</v>
      </c>
      <c r="H609" t="s">
        <v>161</v>
      </c>
    </row>
    <row r="610" spans="1:8" x14ac:dyDescent="0.25">
      <c r="A610" s="208">
        <v>23</v>
      </c>
      <c r="B610" t="s">
        <v>98</v>
      </c>
      <c r="C610" t="s">
        <v>55</v>
      </c>
      <c r="F610" s="208">
        <v>66</v>
      </c>
      <c r="G610" t="s">
        <v>97</v>
      </c>
      <c r="H610" t="s">
        <v>161</v>
      </c>
    </row>
    <row r="611" spans="1:8" x14ac:dyDescent="0.25">
      <c r="A611" s="208">
        <v>18</v>
      </c>
      <c r="B611" t="s">
        <v>98</v>
      </c>
      <c r="C611" t="s">
        <v>55</v>
      </c>
      <c r="F611" s="208">
        <v>15</v>
      </c>
      <c r="G611" t="s">
        <v>98</v>
      </c>
      <c r="H611" t="s">
        <v>161</v>
      </c>
    </row>
    <row r="612" spans="1:8" x14ac:dyDescent="0.25">
      <c r="A612" s="208">
        <v>30</v>
      </c>
      <c r="B612" t="s">
        <v>98</v>
      </c>
      <c r="C612" t="s">
        <v>55</v>
      </c>
      <c r="F612" s="208">
        <v>83</v>
      </c>
      <c r="G612" t="s">
        <v>97</v>
      </c>
      <c r="H612" t="s">
        <v>161</v>
      </c>
    </row>
    <row r="613" spans="1:8" x14ac:dyDescent="0.25">
      <c r="A613" s="208">
        <v>33</v>
      </c>
      <c r="B613" t="s">
        <v>98</v>
      </c>
      <c r="C613" t="s">
        <v>55</v>
      </c>
      <c r="F613" s="208">
        <v>55</v>
      </c>
      <c r="G613" t="s">
        <v>97</v>
      </c>
      <c r="H613" t="s">
        <v>161</v>
      </c>
    </row>
    <row r="614" spans="1:8" x14ac:dyDescent="0.25">
      <c r="A614" s="208">
        <v>26</v>
      </c>
      <c r="B614" t="s">
        <v>98</v>
      </c>
      <c r="C614" t="s">
        <v>55</v>
      </c>
      <c r="F614" s="208">
        <v>32</v>
      </c>
      <c r="G614" t="s">
        <v>97</v>
      </c>
      <c r="H614" t="s">
        <v>161</v>
      </c>
    </row>
    <row r="615" spans="1:8" x14ac:dyDescent="0.25">
      <c r="A615" s="208">
        <v>14</v>
      </c>
      <c r="B615" t="s">
        <v>98</v>
      </c>
      <c r="C615" t="s">
        <v>55</v>
      </c>
      <c r="F615" s="208">
        <v>22</v>
      </c>
      <c r="G615" t="s">
        <v>98</v>
      </c>
      <c r="H615" t="s">
        <v>161</v>
      </c>
    </row>
    <row r="616" spans="1:8" x14ac:dyDescent="0.25">
      <c r="A616" s="208">
        <v>21</v>
      </c>
      <c r="B616" t="s">
        <v>98</v>
      </c>
      <c r="C616" t="s">
        <v>55</v>
      </c>
      <c r="F616" s="208">
        <v>39</v>
      </c>
      <c r="G616" t="s">
        <v>98</v>
      </c>
      <c r="H616" t="s">
        <v>161</v>
      </c>
    </row>
    <row r="617" spans="1:8" x14ac:dyDescent="0.25">
      <c r="A617" s="208">
        <v>30</v>
      </c>
      <c r="B617" t="s">
        <v>98</v>
      </c>
      <c r="C617" t="s">
        <v>55</v>
      </c>
      <c r="F617" s="208">
        <v>29</v>
      </c>
      <c r="G617" t="s">
        <v>97</v>
      </c>
      <c r="H617" t="s">
        <v>161</v>
      </c>
    </row>
    <row r="618" spans="1:8" x14ac:dyDescent="0.25">
      <c r="A618" s="208">
        <v>29</v>
      </c>
      <c r="B618" t="s">
        <v>98</v>
      </c>
      <c r="C618" t="s">
        <v>55</v>
      </c>
      <c r="F618" s="208">
        <v>63</v>
      </c>
      <c r="G618" t="s">
        <v>98</v>
      </c>
      <c r="H618" t="s">
        <v>161</v>
      </c>
    </row>
    <row r="619" spans="1:8" x14ac:dyDescent="0.25">
      <c r="A619" s="208">
        <v>20</v>
      </c>
      <c r="B619" t="s">
        <v>98</v>
      </c>
      <c r="C619" t="s">
        <v>55</v>
      </c>
      <c r="F619" s="208">
        <v>69</v>
      </c>
      <c r="G619" t="s">
        <v>97</v>
      </c>
      <c r="H619" t="s">
        <v>161</v>
      </c>
    </row>
    <row r="620" spans="1:8" x14ac:dyDescent="0.25">
      <c r="A620" s="208">
        <v>37</v>
      </c>
      <c r="B620" t="s">
        <v>98</v>
      </c>
      <c r="C620" t="s">
        <v>55</v>
      </c>
      <c r="F620" s="208">
        <v>25</v>
      </c>
      <c r="G620" t="s">
        <v>98</v>
      </c>
      <c r="H620" t="s">
        <v>161</v>
      </c>
    </row>
    <row r="621" spans="1:8" x14ac:dyDescent="0.25">
      <c r="A621" s="208">
        <v>31</v>
      </c>
      <c r="B621" t="s">
        <v>98</v>
      </c>
      <c r="C621" t="s">
        <v>55</v>
      </c>
      <c r="F621" s="208">
        <v>22</v>
      </c>
      <c r="G621" t="s">
        <v>98</v>
      </c>
      <c r="H621" t="s">
        <v>161</v>
      </c>
    </row>
    <row r="622" spans="1:8" x14ac:dyDescent="0.25">
      <c r="A622" s="208">
        <v>22</v>
      </c>
      <c r="B622" t="s">
        <v>98</v>
      </c>
      <c r="C622" t="s">
        <v>55</v>
      </c>
      <c r="F622" s="208">
        <v>15</v>
      </c>
      <c r="G622" t="s">
        <v>98</v>
      </c>
      <c r="H622" t="s">
        <v>161</v>
      </c>
    </row>
    <row r="623" spans="1:8" x14ac:dyDescent="0.25">
      <c r="A623" s="208">
        <v>22</v>
      </c>
      <c r="B623" t="s">
        <v>98</v>
      </c>
      <c r="C623" t="s">
        <v>55</v>
      </c>
      <c r="F623" s="208">
        <v>54</v>
      </c>
      <c r="G623" t="s">
        <v>97</v>
      </c>
      <c r="H623" t="s">
        <v>161</v>
      </c>
    </row>
    <row r="624" spans="1:8" x14ac:dyDescent="0.25">
      <c r="A624" s="208">
        <v>34</v>
      </c>
      <c r="B624" t="s">
        <v>98</v>
      </c>
      <c r="C624" t="s">
        <v>55</v>
      </c>
      <c r="F624" s="208">
        <v>31</v>
      </c>
      <c r="G624" t="s">
        <v>97</v>
      </c>
      <c r="H624" t="s">
        <v>161</v>
      </c>
    </row>
    <row r="625" spans="1:8" x14ac:dyDescent="0.25">
      <c r="A625" s="208">
        <v>25</v>
      </c>
      <c r="B625" t="s">
        <v>98</v>
      </c>
      <c r="C625" t="s">
        <v>55</v>
      </c>
      <c r="F625" s="208">
        <v>41</v>
      </c>
      <c r="G625" t="s">
        <v>98</v>
      </c>
      <c r="H625" t="s">
        <v>161</v>
      </c>
    </row>
    <row r="626" spans="1:8" x14ac:dyDescent="0.25">
      <c r="A626" s="208">
        <v>30</v>
      </c>
      <c r="B626" t="s">
        <v>98</v>
      </c>
      <c r="C626" t="s">
        <v>55</v>
      </c>
      <c r="F626" s="208">
        <v>16</v>
      </c>
      <c r="G626" t="s">
        <v>97</v>
      </c>
      <c r="H626" t="s">
        <v>161</v>
      </c>
    </row>
    <row r="627" spans="1:8" x14ac:dyDescent="0.25">
      <c r="A627" s="208">
        <v>35</v>
      </c>
      <c r="B627" t="s">
        <v>98</v>
      </c>
      <c r="C627" t="s">
        <v>55</v>
      </c>
      <c r="F627" s="208">
        <v>3</v>
      </c>
      <c r="G627" t="s">
        <v>97</v>
      </c>
      <c r="H627" t="s">
        <v>161</v>
      </c>
    </row>
    <row r="628" spans="1:8" x14ac:dyDescent="0.25">
      <c r="A628" s="208">
        <v>29</v>
      </c>
      <c r="B628" t="s">
        <v>98</v>
      </c>
      <c r="C628" t="s">
        <v>55</v>
      </c>
      <c r="F628" s="208">
        <v>3</v>
      </c>
      <c r="G628" t="s">
        <v>98</v>
      </c>
      <c r="H628" t="s">
        <v>161</v>
      </c>
    </row>
    <row r="629" spans="1:8" x14ac:dyDescent="0.25">
      <c r="A629" s="208">
        <v>27</v>
      </c>
      <c r="B629" t="s">
        <v>98</v>
      </c>
      <c r="C629" t="s">
        <v>55</v>
      </c>
      <c r="F629" s="208">
        <v>61</v>
      </c>
      <c r="G629" t="s">
        <v>98</v>
      </c>
      <c r="H629" t="s">
        <v>161</v>
      </c>
    </row>
    <row r="630" spans="1:8" x14ac:dyDescent="0.25">
      <c r="A630" s="208">
        <v>32</v>
      </c>
      <c r="B630" t="s">
        <v>98</v>
      </c>
      <c r="C630" t="s">
        <v>55</v>
      </c>
      <c r="F630" s="208">
        <v>22</v>
      </c>
      <c r="G630" t="s">
        <v>98</v>
      </c>
      <c r="H630" t="s">
        <v>161</v>
      </c>
    </row>
    <row r="631" spans="1:8" x14ac:dyDescent="0.25">
      <c r="A631" s="208">
        <v>17</v>
      </c>
      <c r="B631" t="s">
        <v>98</v>
      </c>
      <c r="C631" t="s">
        <v>55</v>
      </c>
      <c r="F631" s="208">
        <v>63</v>
      </c>
      <c r="G631" t="s">
        <v>97</v>
      </c>
      <c r="H631" t="s">
        <v>161</v>
      </c>
    </row>
    <row r="632" spans="1:8" x14ac:dyDescent="0.25">
      <c r="A632" s="208">
        <v>21</v>
      </c>
      <c r="B632" t="s">
        <v>98</v>
      </c>
      <c r="C632" t="s">
        <v>55</v>
      </c>
      <c r="F632" s="208">
        <v>52</v>
      </c>
      <c r="G632" t="s">
        <v>98</v>
      </c>
      <c r="H632" t="s">
        <v>161</v>
      </c>
    </row>
    <row r="633" spans="1:8" x14ac:dyDescent="0.25">
      <c r="A633" s="208">
        <v>30</v>
      </c>
      <c r="B633" t="s">
        <v>98</v>
      </c>
      <c r="C633" t="s">
        <v>55</v>
      </c>
      <c r="F633" s="208">
        <v>24</v>
      </c>
      <c r="G633" t="s">
        <v>98</v>
      </c>
      <c r="H633" t="s">
        <v>161</v>
      </c>
    </row>
    <row r="634" spans="1:8" x14ac:dyDescent="0.25">
      <c r="A634" s="208">
        <v>38</v>
      </c>
      <c r="B634" t="s">
        <v>98</v>
      </c>
      <c r="C634" t="s">
        <v>55</v>
      </c>
      <c r="F634" s="208">
        <v>17</v>
      </c>
      <c r="G634" t="s">
        <v>97</v>
      </c>
      <c r="H634" t="s">
        <v>161</v>
      </c>
    </row>
    <row r="635" spans="1:8" x14ac:dyDescent="0.25">
      <c r="A635" s="208">
        <v>36</v>
      </c>
      <c r="B635" t="s">
        <v>98</v>
      </c>
      <c r="C635" t="s">
        <v>55</v>
      </c>
      <c r="F635" s="208">
        <v>38</v>
      </c>
      <c r="G635" t="s">
        <v>97</v>
      </c>
      <c r="H635" t="s">
        <v>161</v>
      </c>
    </row>
    <row r="636" spans="1:8" x14ac:dyDescent="0.25">
      <c r="A636" s="208">
        <v>28</v>
      </c>
      <c r="B636" t="s">
        <v>98</v>
      </c>
      <c r="C636" t="s">
        <v>55</v>
      </c>
      <c r="F636" s="208">
        <v>72</v>
      </c>
      <c r="G636" t="s">
        <v>97</v>
      </c>
      <c r="H636" t="s">
        <v>161</v>
      </c>
    </row>
    <row r="637" spans="1:8" x14ac:dyDescent="0.25">
      <c r="A637" s="208">
        <v>26</v>
      </c>
      <c r="B637" t="s">
        <v>98</v>
      </c>
      <c r="C637" t="s">
        <v>55</v>
      </c>
      <c r="F637" s="208">
        <v>20</v>
      </c>
      <c r="G637" t="s">
        <v>98</v>
      </c>
      <c r="H637" t="s">
        <v>161</v>
      </c>
    </row>
    <row r="638" spans="1:8" x14ac:dyDescent="0.25">
      <c r="A638" s="208">
        <v>24</v>
      </c>
      <c r="B638" t="s">
        <v>98</v>
      </c>
      <c r="C638" t="s">
        <v>55</v>
      </c>
      <c r="F638" s="208">
        <v>45</v>
      </c>
      <c r="G638" t="s">
        <v>97</v>
      </c>
      <c r="H638" t="s">
        <v>161</v>
      </c>
    </row>
    <row r="639" spans="1:8" x14ac:dyDescent="0.25">
      <c r="A639" s="208">
        <v>21</v>
      </c>
      <c r="B639" t="s">
        <v>98</v>
      </c>
      <c r="C639" t="s">
        <v>55</v>
      </c>
      <c r="F639" s="208">
        <v>61</v>
      </c>
      <c r="G639" t="s">
        <v>98</v>
      </c>
      <c r="H639" t="s">
        <v>161</v>
      </c>
    </row>
    <row r="640" spans="1:8" x14ac:dyDescent="0.25">
      <c r="A640" s="208">
        <v>24</v>
      </c>
      <c r="B640" t="s">
        <v>98</v>
      </c>
      <c r="C640" t="s">
        <v>55</v>
      </c>
      <c r="F640" s="208">
        <v>21</v>
      </c>
      <c r="G640" t="s">
        <v>98</v>
      </c>
      <c r="H640" t="s">
        <v>161</v>
      </c>
    </row>
    <row r="641" spans="1:8" x14ac:dyDescent="0.25">
      <c r="A641" s="208">
        <v>24</v>
      </c>
      <c r="B641" t="s">
        <v>98</v>
      </c>
      <c r="C641" t="s">
        <v>55</v>
      </c>
      <c r="F641" s="208">
        <v>30</v>
      </c>
      <c r="G641" t="s">
        <v>97</v>
      </c>
      <c r="H641" t="s">
        <v>161</v>
      </c>
    </row>
    <row r="642" spans="1:8" x14ac:dyDescent="0.25">
      <c r="A642" s="208">
        <v>30</v>
      </c>
      <c r="B642" t="s">
        <v>98</v>
      </c>
      <c r="C642" t="s">
        <v>55</v>
      </c>
      <c r="F642" s="208">
        <v>48</v>
      </c>
      <c r="G642" t="s">
        <v>97</v>
      </c>
      <c r="H642" t="s">
        <v>161</v>
      </c>
    </row>
    <row r="643" spans="1:8" x14ac:dyDescent="0.25">
      <c r="A643" s="208">
        <v>25</v>
      </c>
      <c r="B643" t="s">
        <v>98</v>
      </c>
      <c r="C643" t="s">
        <v>55</v>
      </c>
      <c r="F643" s="208">
        <v>26</v>
      </c>
      <c r="G643" t="s">
        <v>98</v>
      </c>
      <c r="H643" t="s">
        <v>161</v>
      </c>
    </row>
    <row r="644" spans="1:8" x14ac:dyDescent="0.25">
      <c r="A644" s="208">
        <v>35</v>
      </c>
      <c r="B644" t="s">
        <v>98</v>
      </c>
      <c r="C644" t="s">
        <v>55</v>
      </c>
      <c r="F644" s="208">
        <v>5</v>
      </c>
      <c r="G644" t="s">
        <v>98</v>
      </c>
      <c r="H644" t="s">
        <v>161</v>
      </c>
    </row>
    <row r="645" spans="1:8" x14ac:dyDescent="0.25">
      <c r="A645" s="208">
        <v>41</v>
      </c>
      <c r="B645" t="s">
        <v>98</v>
      </c>
      <c r="C645" t="s">
        <v>55</v>
      </c>
      <c r="F645" s="208">
        <v>63</v>
      </c>
      <c r="G645" t="s">
        <v>98</v>
      </c>
      <c r="H645" t="s">
        <v>161</v>
      </c>
    </row>
    <row r="646" spans="1:8" x14ac:dyDescent="0.25">
      <c r="A646" s="208">
        <v>25</v>
      </c>
      <c r="B646" t="s">
        <v>98</v>
      </c>
      <c r="C646" t="s">
        <v>55</v>
      </c>
      <c r="F646" s="208">
        <v>30</v>
      </c>
      <c r="G646" t="s">
        <v>97</v>
      </c>
      <c r="H646" t="s">
        <v>161</v>
      </c>
    </row>
    <row r="647" spans="1:8" x14ac:dyDescent="0.25">
      <c r="A647" s="208">
        <v>18</v>
      </c>
      <c r="B647" t="s">
        <v>98</v>
      </c>
      <c r="C647" t="s">
        <v>55</v>
      </c>
      <c r="F647" s="208">
        <v>24</v>
      </c>
      <c r="G647" t="s">
        <v>98</v>
      </c>
      <c r="H647" t="s">
        <v>161</v>
      </c>
    </row>
    <row r="648" spans="1:8" x14ac:dyDescent="0.25">
      <c r="A648" s="208">
        <v>20</v>
      </c>
      <c r="B648" t="s">
        <v>98</v>
      </c>
      <c r="C648" t="s">
        <v>55</v>
      </c>
      <c r="F648" s="208">
        <v>55</v>
      </c>
      <c r="G648" t="s">
        <v>97</v>
      </c>
      <c r="H648" t="s">
        <v>161</v>
      </c>
    </row>
    <row r="649" spans="1:8" x14ac:dyDescent="0.25">
      <c r="A649" s="208">
        <v>27</v>
      </c>
      <c r="B649" t="s">
        <v>98</v>
      </c>
      <c r="C649" t="s">
        <v>55</v>
      </c>
      <c r="F649" s="208">
        <v>37</v>
      </c>
      <c r="G649" t="s">
        <v>98</v>
      </c>
      <c r="H649" t="s">
        <v>161</v>
      </c>
    </row>
    <row r="650" spans="1:8" x14ac:dyDescent="0.25">
      <c r="A650" s="208">
        <v>17</v>
      </c>
      <c r="B650" t="s">
        <v>98</v>
      </c>
      <c r="C650" t="s">
        <v>55</v>
      </c>
      <c r="F650" s="208">
        <v>46</v>
      </c>
      <c r="G650" t="s">
        <v>98</v>
      </c>
      <c r="H650" t="s">
        <v>161</v>
      </c>
    </row>
    <row r="651" spans="1:8" x14ac:dyDescent="0.25">
      <c r="A651" s="208">
        <v>36</v>
      </c>
      <c r="B651" t="s">
        <v>98</v>
      </c>
      <c r="C651" t="s">
        <v>55</v>
      </c>
      <c r="F651" s="208">
        <v>68</v>
      </c>
      <c r="G651" t="s">
        <v>97</v>
      </c>
      <c r="H651" t="s">
        <v>161</v>
      </c>
    </row>
    <row r="652" spans="1:8" x14ac:dyDescent="0.25">
      <c r="A652" s="208">
        <v>27</v>
      </c>
      <c r="B652" t="s">
        <v>98</v>
      </c>
      <c r="C652" t="s">
        <v>55</v>
      </c>
      <c r="F652" s="208">
        <v>15</v>
      </c>
      <c r="G652" t="s">
        <v>98</v>
      </c>
      <c r="H652" t="s">
        <v>161</v>
      </c>
    </row>
    <row r="653" spans="1:8" x14ac:dyDescent="0.25">
      <c r="A653" s="208">
        <v>25</v>
      </c>
      <c r="B653" t="s">
        <v>98</v>
      </c>
      <c r="C653" t="s">
        <v>55</v>
      </c>
      <c r="F653" s="212">
        <v>36</v>
      </c>
      <c r="G653" t="s">
        <v>97</v>
      </c>
      <c r="H653" t="s">
        <v>161</v>
      </c>
    </row>
    <row r="654" spans="1:8" x14ac:dyDescent="0.25">
      <c r="A654" s="208">
        <v>24</v>
      </c>
      <c r="B654" t="s">
        <v>98</v>
      </c>
      <c r="C654" t="s">
        <v>55</v>
      </c>
      <c r="F654" s="208">
        <v>35</v>
      </c>
      <c r="G654" t="s">
        <v>98</v>
      </c>
      <c r="H654" t="s">
        <v>161</v>
      </c>
    </row>
    <row r="655" spans="1:8" x14ac:dyDescent="0.25">
      <c r="A655" s="208">
        <v>35</v>
      </c>
      <c r="B655" t="s">
        <v>98</v>
      </c>
      <c r="C655" t="s">
        <v>55</v>
      </c>
      <c r="F655" s="208">
        <v>51</v>
      </c>
      <c r="G655" t="s">
        <v>98</v>
      </c>
      <c r="H655" t="s">
        <v>161</v>
      </c>
    </row>
    <row r="656" spans="1:8" x14ac:dyDescent="0.25">
      <c r="A656" s="208">
        <v>24</v>
      </c>
      <c r="B656" t="s">
        <v>98</v>
      </c>
      <c r="C656" t="s">
        <v>55</v>
      </c>
      <c r="F656" s="208">
        <v>3</v>
      </c>
      <c r="G656" t="s">
        <v>98</v>
      </c>
      <c r="H656" t="s">
        <v>161</v>
      </c>
    </row>
    <row r="657" spans="1:8" x14ac:dyDescent="0.25">
      <c r="A657" s="208">
        <v>25</v>
      </c>
      <c r="B657" t="s">
        <v>98</v>
      </c>
      <c r="C657" t="s">
        <v>55</v>
      </c>
      <c r="F657" s="208">
        <v>1</v>
      </c>
      <c r="G657" t="s">
        <v>98</v>
      </c>
      <c r="H657" t="s">
        <v>161</v>
      </c>
    </row>
    <row r="658" spans="1:8" x14ac:dyDescent="0.25">
      <c r="A658" s="208">
        <v>30</v>
      </c>
      <c r="B658" t="s">
        <v>98</v>
      </c>
      <c r="C658" t="s">
        <v>55</v>
      </c>
      <c r="F658" s="208">
        <v>42</v>
      </c>
      <c r="G658" t="s">
        <v>98</v>
      </c>
      <c r="H658" t="s">
        <v>161</v>
      </c>
    </row>
    <row r="659" spans="1:8" x14ac:dyDescent="0.25">
      <c r="A659" s="208">
        <v>16</v>
      </c>
      <c r="B659" t="s">
        <v>98</v>
      </c>
      <c r="C659" t="s">
        <v>55</v>
      </c>
      <c r="F659" s="208">
        <v>2</v>
      </c>
      <c r="G659" t="s">
        <v>98</v>
      </c>
      <c r="H659" t="s">
        <v>161</v>
      </c>
    </row>
    <row r="660" spans="1:8" x14ac:dyDescent="0.25">
      <c r="A660" s="208">
        <v>21</v>
      </c>
      <c r="B660" t="s">
        <v>98</v>
      </c>
      <c r="C660" t="s">
        <v>55</v>
      </c>
      <c r="F660" s="208">
        <v>26</v>
      </c>
      <c r="G660" t="s">
        <v>97</v>
      </c>
      <c r="H660" t="s">
        <v>161</v>
      </c>
    </row>
    <row r="661" spans="1:8" x14ac:dyDescent="0.25">
      <c r="A661" s="208" t="s">
        <v>139</v>
      </c>
      <c r="B661" t="s">
        <v>97</v>
      </c>
      <c r="C661" t="s">
        <v>51</v>
      </c>
      <c r="F661" s="208">
        <v>71</v>
      </c>
      <c r="G661" t="s">
        <v>97</v>
      </c>
      <c r="H661" t="s">
        <v>161</v>
      </c>
    </row>
    <row r="662" spans="1:8" x14ac:dyDescent="0.25">
      <c r="A662" s="208" t="s">
        <v>133</v>
      </c>
      <c r="B662" t="s">
        <v>97</v>
      </c>
      <c r="C662" t="s">
        <v>51</v>
      </c>
      <c r="F662" s="208">
        <v>6</v>
      </c>
      <c r="G662" t="s">
        <v>97</v>
      </c>
      <c r="H662" t="s">
        <v>161</v>
      </c>
    </row>
    <row r="663" spans="1:8" x14ac:dyDescent="0.25">
      <c r="A663" s="208" t="s">
        <v>133</v>
      </c>
      <c r="B663" t="s">
        <v>98</v>
      </c>
      <c r="C663" t="s">
        <v>51</v>
      </c>
      <c r="F663" s="208">
        <v>24</v>
      </c>
      <c r="G663" t="s">
        <v>97</v>
      </c>
      <c r="H663" t="s">
        <v>161</v>
      </c>
    </row>
    <row r="664" spans="1:8" x14ac:dyDescent="0.25">
      <c r="A664" s="208" t="s">
        <v>133</v>
      </c>
      <c r="B664" t="s">
        <v>97</v>
      </c>
      <c r="C664" t="s">
        <v>51</v>
      </c>
      <c r="F664" s="208">
        <v>44</v>
      </c>
      <c r="G664" t="s">
        <v>97</v>
      </c>
      <c r="H664" t="s">
        <v>161</v>
      </c>
    </row>
    <row r="665" spans="1:8" x14ac:dyDescent="0.25">
      <c r="A665" s="208" t="s">
        <v>133</v>
      </c>
      <c r="B665" t="s">
        <v>97</v>
      </c>
      <c r="C665" t="s">
        <v>51</v>
      </c>
      <c r="F665" s="208">
        <v>47</v>
      </c>
      <c r="G665" t="s">
        <v>97</v>
      </c>
      <c r="H665" t="s">
        <v>161</v>
      </c>
    </row>
    <row r="666" spans="1:8" x14ac:dyDescent="0.25">
      <c r="A666" s="208" t="s">
        <v>142</v>
      </c>
      <c r="B666" t="s">
        <v>97</v>
      </c>
      <c r="C666" t="s">
        <v>51</v>
      </c>
      <c r="F666" s="208">
        <v>89</v>
      </c>
      <c r="G666" t="s">
        <v>97</v>
      </c>
      <c r="H666" t="s">
        <v>161</v>
      </c>
    </row>
    <row r="667" spans="1:8" x14ac:dyDescent="0.25">
      <c r="A667" s="208" t="s">
        <v>133</v>
      </c>
      <c r="B667" t="s">
        <v>97</v>
      </c>
      <c r="C667" t="s">
        <v>51</v>
      </c>
      <c r="F667" s="208">
        <v>23</v>
      </c>
      <c r="G667" t="s">
        <v>98</v>
      </c>
      <c r="H667" t="s">
        <v>161</v>
      </c>
    </row>
    <row r="668" spans="1:8" x14ac:dyDescent="0.25">
      <c r="A668" s="208" t="s">
        <v>133</v>
      </c>
      <c r="B668" t="s">
        <v>98</v>
      </c>
      <c r="C668" t="s">
        <v>51</v>
      </c>
      <c r="F668" s="208">
        <v>2</v>
      </c>
      <c r="G668" t="s">
        <v>98</v>
      </c>
      <c r="H668" t="s">
        <v>161</v>
      </c>
    </row>
    <row r="669" spans="1:8" x14ac:dyDescent="0.25">
      <c r="A669" s="208" t="s">
        <v>133</v>
      </c>
      <c r="B669" t="s">
        <v>98</v>
      </c>
      <c r="C669" t="s">
        <v>51</v>
      </c>
      <c r="F669" s="208">
        <v>33</v>
      </c>
      <c r="G669" t="s">
        <v>98</v>
      </c>
      <c r="H669" t="s">
        <v>161</v>
      </c>
    </row>
    <row r="670" spans="1:8" x14ac:dyDescent="0.25">
      <c r="A670" s="208" t="s">
        <v>133</v>
      </c>
      <c r="B670" t="s">
        <v>97</v>
      </c>
      <c r="C670" t="s">
        <v>51</v>
      </c>
      <c r="F670" s="208">
        <v>5</v>
      </c>
      <c r="G670" t="s">
        <v>98</v>
      </c>
      <c r="H670" t="s">
        <v>161</v>
      </c>
    </row>
    <row r="671" spans="1:8" x14ac:dyDescent="0.25">
      <c r="A671" s="208" t="s">
        <v>133</v>
      </c>
      <c r="B671" t="s">
        <v>98</v>
      </c>
      <c r="C671" t="s">
        <v>51</v>
      </c>
      <c r="F671" s="208">
        <v>26</v>
      </c>
      <c r="G671" t="s">
        <v>97</v>
      </c>
      <c r="H671" t="s">
        <v>161</v>
      </c>
    </row>
    <row r="672" spans="1:8" x14ac:dyDescent="0.25">
      <c r="A672" s="208" t="s">
        <v>133</v>
      </c>
      <c r="B672" t="s">
        <v>97</v>
      </c>
      <c r="C672" t="s">
        <v>51</v>
      </c>
      <c r="F672" s="208">
        <v>77</v>
      </c>
      <c r="G672" t="s">
        <v>97</v>
      </c>
      <c r="H672" t="s">
        <v>161</v>
      </c>
    </row>
    <row r="673" spans="1:8" x14ac:dyDescent="0.25">
      <c r="A673" s="208" t="s">
        <v>147</v>
      </c>
      <c r="B673" t="s">
        <v>97</v>
      </c>
      <c r="C673" t="s">
        <v>51</v>
      </c>
      <c r="F673" s="208">
        <v>81</v>
      </c>
      <c r="G673" t="s">
        <v>97</v>
      </c>
      <c r="H673" t="s">
        <v>161</v>
      </c>
    </row>
    <row r="674" spans="1:8" x14ac:dyDescent="0.25">
      <c r="A674" s="208" t="s">
        <v>133</v>
      </c>
      <c r="B674" t="s">
        <v>97</v>
      </c>
      <c r="C674" t="s">
        <v>51</v>
      </c>
      <c r="F674" s="208">
        <v>64</v>
      </c>
      <c r="G674" t="s">
        <v>97</v>
      </c>
      <c r="H674" t="s">
        <v>161</v>
      </c>
    </row>
    <row r="675" spans="1:8" x14ac:dyDescent="0.25">
      <c r="A675" s="208" t="s">
        <v>133</v>
      </c>
      <c r="B675" t="s">
        <v>97</v>
      </c>
      <c r="C675" t="s">
        <v>51</v>
      </c>
      <c r="F675" s="208">
        <v>44</v>
      </c>
      <c r="G675" t="s">
        <v>97</v>
      </c>
      <c r="H675" t="s">
        <v>161</v>
      </c>
    </row>
    <row r="676" spans="1:8" x14ac:dyDescent="0.25">
      <c r="A676" s="208" t="s">
        <v>148</v>
      </c>
      <c r="B676" t="s">
        <v>97</v>
      </c>
      <c r="C676" t="s">
        <v>51</v>
      </c>
      <c r="F676" s="208">
        <v>27</v>
      </c>
      <c r="G676" t="s">
        <v>97</v>
      </c>
      <c r="H676" t="s">
        <v>161</v>
      </c>
    </row>
    <row r="677" spans="1:8" x14ac:dyDescent="0.25">
      <c r="A677" s="208" t="s">
        <v>149</v>
      </c>
      <c r="B677" t="s">
        <v>98</v>
      </c>
      <c r="C677" t="s">
        <v>51</v>
      </c>
      <c r="F677" s="208">
        <v>13</v>
      </c>
      <c r="G677" t="s">
        <v>97</v>
      </c>
      <c r="H677" t="s">
        <v>161</v>
      </c>
    </row>
    <row r="678" spans="1:8" x14ac:dyDescent="0.25">
      <c r="A678" s="208" t="s">
        <v>144</v>
      </c>
      <c r="B678" t="s">
        <v>97</v>
      </c>
      <c r="C678" t="s">
        <v>51</v>
      </c>
      <c r="F678" s="208">
        <v>50</v>
      </c>
      <c r="G678" t="s">
        <v>98</v>
      </c>
      <c r="H678" t="s">
        <v>161</v>
      </c>
    </row>
    <row r="679" spans="1:8" x14ac:dyDescent="0.25">
      <c r="A679" s="208" t="s">
        <v>133</v>
      </c>
      <c r="B679" t="s">
        <v>98</v>
      </c>
      <c r="C679" t="s">
        <v>51</v>
      </c>
      <c r="F679" s="208">
        <v>10</v>
      </c>
      <c r="G679" t="s">
        <v>98</v>
      </c>
      <c r="H679" t="s">
        <v>161</v>
      </c>
    </row>
    <row r="680" spans="1:8" x14ac:dyDescent="0.25">
      <c r="A680" s="208" t="s">
        <v>133</v>
      </c>
      <c r="B680" t="s">
        <v>97</v>
      </c>
      <c r="C680" t="s">
        <v>51</v>
      </c>
      <c r="F680" s="208">
        <v>57</v>
      </c>
      <c r="G680" t="s">
        <v>97</v>
      </c>
      <c r="H680" t="s">
        <v>161</v>
      </c>
    </row>
    <row r="681" spans="1:8" x14ac:dyDescent="0.25">
      <c r="A681" s="208" t="s">
        <v>144</v>
      </c>
      <c r="B681" t="s">
        <v>97</v>
      </c>
      <c r="C681" t="s">
        <v>51</v>
      </c>
      <c r="F681" s="208">
        <v>57</v>
      </c>
      <c r="G681" t="s">
        <v>97</v>
      </c>
      <c r="H681" t="s">
        <v>161</v>
      </c>
    </row>
    <row r="682" spans="1:8" x14ac:dyDescent="0.25">
      <c r="A682" s="208" t="s">
        <v>133</v>
      </c>
      <c r="B682" t="s">
        <v>97</v>
      </c>
      <c r="C682" t="s">
        <v>51</v>
      </c>
      <c r="F682" s="208">
        <v>63</v>
      </c>
      <c r="G682" t="s">
        <v>98</v>
      </c>
      <c r="H682" t="s">
        <v>161</v>
      </c>
    </row>
    <row r="683" spans="1:8" x14ac:dyDescent="0.25">
      <c r="A683" s="208" t="s">
        <v>133</v>
      </c>
      <c r="B683" t="s">
        <v>98</v>
      </c>
      <c r="C683" t="s">
        <v>51</v>
      </c>
      <c r="F683" s="208">
        <v>45</v>
      </c>
      <c r="G683" t="s">
        <v>97</v>
      </c>
      <c r="H683" t="s">
        <v>161</v>
      </c>
    </row>
    <row r="684" spans="1:8" x14ac:dyDescent="0.25">
      <c r="A684" s="208" t="s">
        <v>133</v>
      </c>
      <c r="B684" t="s">
        <v>97</v>
      </c>
      <c r="C684" t="s">
        <v>51</v>
      </c>
      <c r="F684" s="208">
        <v>38</v>
      </c>
      <c r="G684" t="s">
        <v>97</v>
      </c>
      <c r="H684" t="s">
        <v>161</v>
      </c>
    </row>
    <row r="685" spans="1:8" x14ac:dyDescent="0.25">
      <c r="A685" s="208" t="s">
        <v>133</v>
      </c>
      <c r="B685" t="s">
        <v>97</v>
      </c>
      <c r="C685" t="s">
        <v>51</v>
      </c>
      <c r="F685" s="208">
        <v>53</v>
      </c>
      <c r="G685" t="s">
        <v>97</v>
      </c>
      <c r="H685" t="s">
        <v>161</v>
      </c>
    </row>
    <row r="686" spans="1:8" x14ac:dyDescent="0.25">
      <c r="A686" s="208" t="s">
        <v>150</v>
      </c>
      <c r="B686" t="s">
        <v>98</v>
      </c>
      <c r="C686" t="s">
        <v>51</v>
      </c>
      <c r="F686" s="208">
        <v>37</v>
      </c>
      <c r="G686" t="s">
        <v>98</v>
      </c>
      <c r="H686" t="s">
        <v>161</v>
      </c>
    </row>
    <row r="687" spans="1:8" x14ac:dyDescent="0.25">
      <c r="A687" s="208" t="s">
        <v>151</v>
      </c>
      <c r="B687" t="s">
        <v>98</v>
      </c>
      <c r="C687" t="s">
        <v>51</v>
      </c>
      <c r="F687" s="208">
        <v>19</v>
      </c>
      <c r="G687" t="s">
        <v>98</v>
      </c>
      <c r="H687" t="s">
        <v>161</v>
      </c>
    </row>
    <row r="688" spans="1:8" x14ac:dyDescent="0.25">
      <c r="A688" s="208" t="s">
        <v>152</v>
      </c>
      <c r="B688" t="s">
        <v>98</v>
      </c>
      <c r="C688" t="s">
        <v>51</v>
      </c>
      <c r="F688" s="208">
        <v>48</v>
      </c>
      <c r="G688" t="s">
        <v>98</v>
      </c>
      <c r="H688" t="s">
        <v>161</v>
      </c>
    </row>
    <row r="689" spans="1:8" x14ac:dyDescent="0.25">
      <c r="A689" s="208" t="s">
        <v>151</v>
      </c>
      <c r="B689" t="s">
        <v>98</v>
      </c>
      <c r="C689" t="s">
        <v>51</v>
      </c>
      <c r="F689" s="208">
        <v>38</v>
      </c>
      <c r="G689" t="s">
        <v>98</v>
      </c>
      <c r="H689" t="s">
        <v>161</v>
      </c>
    </row>
    <row r="690" spans="1:8" x14ac:dyDescent="0.25">
      <c r="A690" s="208" t="s">
        <v>133</v>
      </c>
      <c r="B690" t="s">
        <v>97</v>
      </c>
      <c r="C690" t="s">
        <v>51</v>
      </c>
      <c r="F690" s="208">
        <v>13</v>
      </c>
      <c r="G690" t="s">
        <v>97</v>
      </c>
      <c r="H690" t="s">
        <v>161</v>
      </c>
    </row>
    <row r="691" spans="1:8" x14ac:dyDescent="0.25">
      <c r="A691" s="208" t="s">
        <v>133</v>
      </c>
      <c r="B691" t="s">
        <v>97</v>
      </c>
      <c r="C691" t="s">
        <v>51</v>
      </c>
      <c r="F691" s="208">
        <v>2</v>
      </c>
      <c r="G691" t="s">
        <v>97</v>
      </c>
      <c r="H691" t="s">
        <v>161</v>
      </c>
    </row>
    <row r="692" spans="1:8" x14ac:dyDescent="0.25">
      <c r="A692" s="208" t="s">
        <v>133</v>
      </c>
      <c r="B692" t="s">
        <v>97</v>
      </c>
      <c r="C692" t="s">
        <v>51</v>
      </c>
      <c r="F692" s="208">
        <v>22</v>
      </c>
      <c r="G692" t="s">
        <v>97</v>
      </c>
      <c r="H692" t="s">
        <v>161</v>
      </c>
    </row>
    <row r="693" spans="1:8" x14ac:dyDescent="0.25">
      <c r="A693" s="208" t="s">
        <v>133</v>
      </c>
      <c r="B693" t="s">
        <v>97</v>
      </c>
      <c r="C693" t="s">
        <v>51</v>
      </c>
      <c r="F693" s="208">
        <v>58</v>
      </c>
      <c r="G693" t="s">
        <v>98</v>
      </c>
      <c r="H693" t="s">
        <v>161</v>
      </c>
    </row>
    <row r="694" spans="1:8" x14ac:dyDescent="0.25">
      <c r="A694" s="208" t="s">
        <v>142</v>
      </c>
      <c r="B694" t="s">
        <v>98</v>
      </c>
      <c r="C694" t="s">
        <v>51</v>
      </c>
      <c r="F694" s="208">
        <v>16</v>
      </c>
      <c r="G694" t="s">
        <v>98</v>
      </c>
      <c r="H694" t="s">
        <v>161</v>
      </c>
    </row>
    <row r="695" spans="1:8" x14ac:dyDescent="0.25">
      <c r="A695" s="208" t="s">
        <v>133</v>
      </c>
      <c r="B695" t="s">
        <v>97</v>
      </c>
      <c r="C695" t="s">
        <v>51</v>
      </c>
      <c r="F695" s="208">
        <v>52</v>
      </c>
      <c r="G695" t="s">
        <v>97</v>
      </c>
      <c r="H695" t="s">
        <v>161</v>
      </c>
    </row>
    <row r="696" spans="1:8" x14ac:dyDescent="0.25">
      <c r="A696" s="208" t="s">
        <v>133</v>
      </c>
      <c r="B696" t="s">
        <v>97</v>
      </c>
      <c r="C696" t="s">
        <v>51</v>
      </c>
      <c r="F696" s="208">
        <v>20</v>
      </c>
      <c r="G696" t="s">
        <v>97</v>
      </c>
      <c r="H696" t="s">
        <v>161</v>
      </c>
    </row>
    <row r="697" spans="1:8" x14ac:dyDescent="0.25">
      <c r="A697" s="208" t="s">
        <v>133</v>
      </c>
      <c r="B697" t="s">
        <v>97</v>
      </c>
      <c r="C697" t="s">
        <v>51</v>
      </c>
      <c r="F697" s="208">
        <v>33</v>
      </c>
      <c r="G697" t="s">
        <v>98</v>
      </c>
      <c r="H697" t="s">
        <v>161</v>
      </c>
    </row>
    <row r="698" spans="1:8" x14ac:dyDescent="0.25">
      <c r="A698" s="208" t="s">
        <v>133</v>
      </c>
      <c r="B698" t="s">
        <v>98</v>
      </c>
      <c r="C698" t="s">
        <v>51</v>
      </c>
      <c r="F698" s="208">
        <v>33</v>
      </c>
      <c r="G698" t="s">
        <v>97</v>
      </c>
      <c r="H698" t="s">
        <v>161</v>
      </c>
    </row>
    <row r="699" spans="1:8" x14ac:dyDescent="0.25">
      <c r="A699" s="208" t="s">
        <v>133</v>
      </c>
      <c r="B699" t="s">
        <v>97</v>
      </c>
      <c r="C699" t="s">
        <v>51</v>
      </c>
      <c r="F699" s="208">
        <v>48</v>
      </c>
      <c r="G699" t="s">
        <v>97</v>
      </c>
      <c r="H699" t="s">
        <v>161</v>
      </c>
    </row>
    <row r="700" spans="1:8" x14ac:dyDescent="0.25">
      <c r="A700" s="208" t="s">
        <v>133</v>
      </c>
      <c r="B700" t="s">
        <v>97</v>
      </c>
      <c r="C700" t="s">
        <v>51</v>
      </c>
      <c r="F700" s="208">
        <v>90</v>
      </c>
      <c r="G700" t="s">
        <v>97</v>
      </c>
      <c r="H700" t="s">
        <v>161</v>
      </c>
    </row>
    <row r="701" spans="1:8" x14ac:dyDescent="0.25">
      <c r="A701" s="208" t="s">
        <v>153</v>
      </c>
      <c r="B701" t="s">
        <v>98</v>
      </c>
      <c r="C701" t="s">
        <v>51</v>
      </c>
      <c r="F701" s="208" t="s">
        <v>141</v>
      </c>
      <c r="G701" t="s">
        <v>98</v>
      </c>
      <c r="H701" t="s">
        <v>161</v>
      </c>
    </row>
    <row r="702" spans="1:8" x14ac:dyDescent="0.25">
      <c r="A702" s="208" t="s">
        <v>133</v>
      </c>
      <c r="B702" t="s">
        <v>97</v>
      </c>
      <c r="C702" t="s">
        <v>51</v>
      </c>
      <c r="F702" s="208">
        <v>31</v>
      </c>
      <c r="G702" t="s">
        <v>97</v>
      </c>
      <c r="H702" t="s">
        <v>161</v>
      </c>
    </row>
    <row r="703" spans="1:8" x14ac:dyDescent="0.25">
      <c r="A703" s="208" t="s">
        <v>133</v>
      </c>
      <c r="B703" t="s">
        <v>98</v>
      </c>
      <c r="C703" t="s">
        <v>51</v>
      </c>
      <c r="F703" s="208">
        <v>79</v>
      </c>
      <c r="G703" t="s">
        <v>98</v>
      </c>
      <c r="H703" t="s">
        <v>161</v>
      </c>
    </row>
    <row r="704" spans="1:8" x14ac:dyDescent="0.25">
      <c r="A704" s="208" t="s">
        <v>154</v>
      </c>
      <c r="B704" t="s">
        <v>97</v>
      </c>
      <c r="C704" t="s">
        <v>51</v>
      </c>
      <c r="F704" s="208">
        <v>25</v>
      </c>
      <c r="G704" t="s">
        <v>97</v>
      </c>
      <c r="H704" t="s">
        <v>161</v>
      </c>
    </row>
    <row r="705" spans="1:8" x14ac:dyDescent="0.25">
      <c r="A705" s="208" t="s">
        <v>137</v>
      </c>
      <c r="B705" t="s">
        <v>97</v>
      </c>
      <c r="C705" t="s">
        <v>51</v>
      </c>
      <c r="F705" s="208">
        <v>34</v>
      </c>
      <c r="G705" t="s">
        <v>98</v>
      </c>
      <c r="H705" t="s">
        <v>161</v>
      </c>
    </row>
    <row r="706" spans="1:8" x14ac:dyDescent="0.25">
      <c r="A706" s="208" t="s">
        <v>138</v>
      </c>
      <c r="B706" t="s">
        <v>98</v>
      </c>
      <c r="C706" t="s">
        <v>51</v>
      </c>
      <c r="F706" s="208">
        <v>45</v>
      </c>
      <c r="G706" t="s">
        <v>97</v>
      </c>
      <c r="H706" t="s">
        <v>161</v>
      </c>
    </row>
    <row r="707" spans="1:8" x14ac:dyDescent="0.25">
      <c r="A707" s="208" t="s">
        <v>133</v>
      </c>
      <c r="B707" t="s">
        <v>97</v>
      </c>
      <c r="C707" t="s">
        <v>51</v>
      </c>
      <c r="F707" s="208">
        <v>15</v>
      </c>
      <c r="G707" t="s">
        <v>98</v>
      </c>
      <c r="H707" t="s">
        <v>161</v>
      </c>
    </row>
    <row r="708" spans="1:8" x14ac:dyDescent="0.25">
      <c r="A708" s="208" t="s">
        <v>144</v>
      </c>
      <c r="B708" t="s">
        <v>97</v>
      </c>
      <c r="C708" t="s">
        <v>51</v>
      </c>
      <c r="F708" s="208">
        <v>38</v>
      </c>
      <c r="G708" t="s">
        <v>98</v>
      </c>
      <c r="H708" t="s">
        <v>161</v>
      </c>
    </row>
    <row r="709" spans="1:8" x14ac:dyDescent="0.25">
      <c r="A709" s="208" t="s">
        <v>150</v>
      </c>
      <c r="B709" t="s">
        <v>97</v>
      </c>
      <c r="C709" t="s">
        <v>51</v>
      </c>
      <c r="F709" s="208">
        <v>19</v>
      </c>
      <c r="G709" t="s">
        <v>98</v>
      </c>
      <c r="H709" t="s">
        <v>161</v>
      </c>
    </row>
    <row r="710" spans="1:8" x14ac:dyDescent="0.25">
      <c r="A710" s="208" t="s">
        <v>155</v>
      </c>
      <c r="B710" t="s">
        <v>98</v>
      </c>
      <c r="C710" t="s">
        <v>51</v>
      </c>
      <c r="F710" s="208">
        <v>25</v>
      </c>
      <c r="G710" t="s">
        <v>98</v>
      </c>
      <c r="H710" t="s">
        <v>161</v>
      </c>
    </row>
    <row r="711" spans="1:8" x14ac:dyDescent="0.25">
      <c r="A711" s="208" t="s">
        <v>142</v>
      </c>
      <c r="B711" t="s">
        <v>97</v>
      </c>
      <c r="C711" t="s">
        <v>51</v>
      </c>
      <c r="F711" s="208">
        <v>2</v>
      </c>
      <c r="G711" t="s">
        <v>97</v>
      </c>
      <c r="H711" t="s">
        <v>161</v>
      </c>
    </row>
    <row r="712" spans="1:8" x14ac:dyDescent="0.25">
      <c r="A712" s="208" t="s">
        <v>133</v>
      </c>
      <c r="B712" t="s">
        <v>98</v>
      </c>
      <c r="C712" t="s">
        <v>51</v>
      </c>
      <c r="F712" s="208">
        <v>32</v>
      </c>
      <c r="G712" t="s">
        <v>97</v>
      </c>
      <c r="H712" t="s">
        <v>161</v>
      </c>
    </row>
    <row r="713" spans="1:8" x14ac:dyDescent="0.25">
      <c r="A713" s="208" t="s">
        <v>133</v>
      </c>
      <c r="B713" t="s">
        <v>97</v>
      </c>
      <c r="C713" t="s">
        <v>51</v>
      </c>
      <c r="F713" s="208">
        <v>88</v>
      </c>
      <c r="G713" t="s">
        <v>98</v>
      </c>
      <c r="H713" t="s">
        <v>161</v>
      </c>
    </row>
    <row r="714" spans="1:8" x14ac:dyDescent="0.25">
      <c r="A714" s="208" t="s">
        <v>144</v>
      </c>
      <c r="B714" t="s">
        <v>98</v>
      </c>
      <c r="C714" t="s">
        <v>51</v>
      </c>
      <c r="F714" s="208">
        <v>38</v>
      </c>
      <c r="G714" t="s">
        <v>98</v>
      </c>
      <c r="H714" t="s">
        <v>161</v>
      </c>
    </row>
    <row r="715" spans="1:8" x14ac:dyDescent="0.25">
      <c r="A715" s="208" t="s">
        <v>147</v>
      </c>
      <c r="B715" t="s">
        <v>97</v>
      </c>
      <c r="C715" t="s">
        <v>51</v>
      </c>
      <c r="F715" s="208">
        <v>24</v>
      </c>
      <c r="G715" t="s">
        <v>98</v>
      </c>
      <c r="H715" t="s">
        <v>161</v>
      </c>
    </row>
    <row r="716" spans="1:8" x14ac:dyDescent="0.25">
      <c r="A716" s="208" t="s">
        <v>139</v>
      </c>
      <c r="B716" t="s">
        <v>97</v>
      </c>
      <c r="C716" t="s">
        <v>51</v>
      </c>
      <c r="F716" s="208">
        <v>55</v>
      </c>
      <c r="G716" t="s">
        <v>97</v>
      </c>
      <c r="H716" t="s">
        <v>161</v>
      </c>
    </row>
    <row r="717" spans="1:8" x14ac:dyDescent="0.25">
      <c r="A717" s="208" t="s">
        <v>156</v>
      </c>
      <c r="B717" t="s">
        <v>98</v>
      </c>
      <c r="C717" t="s">
        <v>51</v>
      </c>
      <c r="F717" s="208">
        <v>64</v>
      </c>
      <c r="G717" t="s">
        <v>97</v>
      </c>
      <c r="H717" t="s">
        <v>161</v>
      </c>
    </row>
    <row r="718" spans="1:8" x14ac:dyDescent="0.25">
      <c r="A718" s="208" t="s">
        <v>133</v>
      </c>
      <c r="B718" t="s">
        <v>97</v>
      </c>
      <c r="C718" t="s">
        <v>51</v>
      </c>
      <c r="F718" s="208">
        <v>4</v>
      </c>
      <c r="G718" t="s">
        <v>97</v>
      </c>
      <c r="H718" t="s">
        <v>161</v>
      </c>
    </row>
    <row r="719" spans="1:8" x14ac:dyDescent="0.25">
      <c r="A719" s="208" t="s">
        <v>133</v>
      </c>
      <c r="B719" t="s">
        <v>98</v>
      </c>
      <c r="C719" t="s">
        <v>51</v>
      </c>
      <c r="F719" s="208">
        <v>18</v>
      </c>
      <c r="G719" t="s">
        <v>98</v>
      </c>
      <c r="H719" t="s">
        <v>161</v>
      </c>
    </row>
    <row r="720" spans="1:8" x14ac:dyDescent="0.25">
      <c r="A720" s="208" t="s">
        <v>157</v>
      </c>
      <c r="B720" t="s">
        <v>98</v>
      </c>
      <c r="C720" t="s">
        <v>51</v>
      </c>
      <c r="F720" s="208">
        <v>47</v>
      </c>
      <c r="G720" t="s">
        <v>97</v>
      </c>
      <c r="H720" t="s">
        <v>161</v>
      </c>
    </row>
    <row r="721" spans="1:8" x14ac:dyDescent="0.25">
      <c r="A721" s="208" t="s">
        <v>133</v>
      </c>
      <c r="B721" t="s">
        <v>98</v>
      </c>
      <c r="C721" t="s">
        <v>51</v>
      </c>
      <c r="F721" s="208">
        <v>62</v>
      </c>
      <c r="G721" t="s">
        <v>98</v>
      </c>
      <c r="H721" t="s">
        <v>161</v>
      </c>
    </row>
    <row r="722" spans="1:8" x14ac:dyDescent="0.25">
      <c r="A722" s="208" t="s">
        <v>133</v>
      </c>
      <c r="B722" t="s">
        <v>98</v>
      </c>
      <c r="C722" t="s">
        <v>51</v>
      </c>
      <c r="F722" s="208">
        <v>2</v>
      </c>
      <c r="G722" t="s">
        <v>97</v>
      </c>
      <c r="H722" t="s">
        <v>161</v>
      </c>
    </row>
    <row r="723" spans="1:8" x14ac:dyDescent="0.25">
      <c r="A723" s="208" t="s">
        <v>158</v>
      </c>
      <c r="B723" t="s">
        <v>97</v>
      </c>
      <c r="C723" t="s">
        <v>51</v>
      </c>
      <c r="F723" s="208">
        <v>54</v>
      </c>
      <c r="G723" t="s">
        <v>97</v>
      </c>
      <c r="H723" t="s">
        <v>161</v>
      </c>
    </row>
    <row r="724" spans="1:8" x14ac:dyDescent="0.25">
      <c r="A724" s="208" t="s">
        <v>151</v>
      </c>
      <c r="B724" t="s">
        <v>97</v>
      </c>
      <c r="C724" t="s">
        <v>51</v>
      </c>
      <c r="F724" s="208">
        <v>31</v>
      </c>
      <c r="G724" t="s">
        <v>97</v>
      </c>
      <c r="H724" t="s">
        <v>161</v>
      </c>
    </row>
    <row r="725" spans="1:8" x14ac:dyDescent="0.25">
      <c r="A725" s="208" t="s">
        <v>133</v>
      </c>
      <c r="B725" t="s">
        <v>98</v>
      </c>
      <c r="C725" t="s">
        <v>51</v>
      </c>
      <c r="F725" s="208">
        <v>18</v>
      </c>
      <c r="G725" t="s">
        <v>98</v>
      </c>
      <c r="H725" t="s">
        <v>161</v>
      </c>
    </row>
    <row r="726" spans="1:8" x14ac:dyDescent="0.25">
      <c r="A726" s="208">
        <v>47</v>
      </c>
      <c r="B726" t="s">
        <v>97</v>
      </c>
      <c r="C726" t="s">
        <v>161</v>
      </c>
      <c r="F726" s="208">
        <v>8</v>
      </c>
      <c r="G726" t="s">
        <v>98</v>
      </c>
      <c r="H726" t="s">
        <v>161</v>
      </c>
    </row>
    <row r="727" spans="1:8" x14ac:dyDescent="0.25">
      <c r="A727" s="208">
        <v>22</v>
      </c>
      <c r="B727" t="s">
        <v>98</v>
      </c>
      <c r="C727" t="s">
        <v>161</v>
      </c>
      <c r="F727" s="208">
        <v>37</v>
      </c>
      <c r="G727" t="s">
        <v>98</v>
      </c>
      <c r="H727" t="s">
        <v>161</v>
      </c>
    </row>
    <row r="728" spans="1:8" x14ac:dyDescent="0.25">
      <c r="A728" s="208">
        <v>65</v>
      </c>
      <c r="B728" t="s">
        <v>97</v>
      </c>
      <c r="C728" t="s">
        <v>161</v>
      </c>
      <c r="F728" s="208">
        <v>46</v>
      </c>
      <c r="G728" t="s">
        <v>97</v>
      </c>
      <c r="H728" t="s">
        <v>161</v>
      </c>
    </row>
    <row r="729" spans="1:8" x14ac:dyDescent="0.25">
      <c r="A729" s="208">
        <v>7</v>
      </c>
      <c r="B729" t="s">
        <v>98</v>
      </c>
      <c r="C729" t="s">
        <v>161</v>
      </c>
      <c r="F729" s="208">
        <v>27</v>
      </c>
      <c r="G729" t="s">
        <v>97</v>
      </c>
      <c r="H729" t="s">
        <v>161</v>
      </c>
    </row>
    <row r="730" spans="1:8" x14ac:dyDescent="0.25">
      <c r="A730" s="208">
        <v>25</v>
      </c>
      <c r="B730" t="s">
        <v>98</v>
      </c>
      <c r="C730" t="s">
        <v>161</v>
      </c>
      <c r="F730" s="208">
        <v>50</v>
      </c>
      <c r="G730" t="s">
        <v>97</v>
      </c>
      <c r="H730" t="s">
        <v>161</v>
      </c>
    </row>
    <row r="731" spans="1:8" x14ac:dyDescent="0.25">
      <c r="A731" s="208">
        <v>62</v>
      </c>
      <c r="B731" t="s">
        <v>98</v>
      </c>
      <c r="C731" t="s">
        <v>161</v>
      </c>
      <c r="F731" s="208">
        <v>31</v>
      </c>
      <c r="G731" t="s">
        <v>97</v>
      </c>
      <c r="H731" t="s">
        <v>161</v>
      </c>
    </row>
    <row r="732" spans="1:8" x14ac:dyDescent="0.25">
      <c r="A732" s="208">
        <v>78</v>
      </c>
      <c r="B732" t="s">
        <v>98</v>
      </c>
      <c r="C732" t="s">
        <v>161</v>
      </c>
      <c r="F732" s="208">
        <v>12</v>
      </c>
      <c r="G732" t="s">
        <v>97</v>
      </c>
      <c r="H732" t="s">
        <v>161</v>
      </c>
    </row>
    <row r="733" spans="1:8" x14ac:dyDescent="0.25">
      <c r="A733" s="208">
        <v>49</v>
      </c>
      <c r="B733" t="s">
        <v>97</v>
      </c>
      <c r="C733" t="s">
        <v>161</v>
      </c>
      <c r="F733" s="208">
        <v>43</v>
      </c>
      <c r="G733" t="s">
        <v>97</v>
      </c>
      <c r="H733" t="s">
        <v>161</v>
      </c>
    </row>
    <row r="734" spans="1:8" x14ac:dyDescent="0.25">
      <c r="A734" s="208">
        <v>27</v>
      </c>
      <c r="B734" t="s">
        <v>98</v>
      </c>
      <c r="C734" t="s">
        <v>161</v>
      </c>
      <c r="F734" s="208">
        <v>28</v>
      </c>
      <c r="G734" t="s">
        <v>97</v>
      </c>
      <c r="H734" t="s">
        <v>161</v>
      </c>
    </row>
    <row r="735" spans="1:8" x14ac:dyDescent="0.25">
      <c r="A735" s="208">
        <v>39</v>
      </c>
      <c r="B735" t="s">
        <v>97</v>
      </c>
      <c r="C735" t="s">
        <v>161</v>
      </c>
      <c r="F735" s="208">
        <v>50</v>
      </c>
      <c r="G735" t="s">
        <v>97</v>
      </c>
      <c r="H735" t="s">
        <v>161</v>
      </c>
    </row>
    <row r="736" spans="1:8" x14ac:dyDescent="0.25">
      <c r="A736" s="208">
        <v>39</v>
      </c>
      <c r="B736" t="s">
        <v>97</v>
      </c>
      <c r="C736" t="s">
        <v>161</v>
      </c>
      <c r="F736" s="208">
        <v>47</v>
      </c>
      <c r="G736" t="s">
        <v>97</v>
      </c>
      <c r="H736" t="s">
        <v>161</v>
      </c>
    </row>
    <row r="737" spans="1:8" x14ac:dyDescent="0.25">
      <c r="A737" s="208">
        <v>13</v>
      </c>
      <c r="B737" t="s">
        <v>98</v>
      </c>
      <c r="C737" t="s">
        <v>161</v>
      </c>
      <c r="F737" s="208">
        <v>25</v>
      </c>
      <c r="G737" t="s">
        <v>97</v>
      </c>
      <c r="H737" t="s">
        <v>161</v>
      </c>
    </row>
    <row r="738" spans="1:8" x14ac:dyDescent="0.25">
      <c r="A738" s="208">
        <v>2</v>
      </c>
      <c r="B738" t="s">
        <v>98</v>
      </c>
      <c r="C738" t="s">
        <v>161</v>
      </c>
      <c r="F738" s="208">
        <v>5</v>
      </c>
      <c r="G738" t="s">
        <v>97</v>
      </c>
      <c r="H738" t="s">
        <v>161</v>
      </c>
    </row>
    <row r="739" spans="1:8" x14ac:dyDescent="0.25">
      <c r="A739" s="208">
        <v>21</v>
      </c>
      <c r="B739" t="s">
        <v>97</v>
      </c>
      <c r="C739" t="s">
        <v>161</v>
      </c>
      <c r="F739" s="208">
        <v>33</v>
      </c>
      <c r="G739" t="s">
        <v>97</v>
      </c>
      <c r="H739" t="s">
        <v>161</v>
      </c>
    </row>
    <row r="740" spans="1:8" x14ac:dyDescent="0.25">
      <c r="A740" s="208">
        <v>71</v>
      </c>
      <c r="B740" t="s">
        <v>98</v>
      </c>
      <c r="C740" t="s">
        <v>161</v>
      </c>
      <c r="F740" s="208">
        <v>35</v>
      </c>
      <c r="G740" t="s">
        <v>97</v>
      </c>
      <c r="H740" t="s">
        <v>161</v>
      </c>
    </row>
    <row r="741" spans="1:8" x14ac:dyDescent="0.25">
      <c r="A741" s="208">
        <v>78</v>
      </c>
      <c r="B741" t="s">
        <v>98</v>
      </c>
      <c r="C741" t="s">
        <v>161</v>
      </c>
      <c r="F741" s="208">
        <v>24</v>
      </c>
      <c r="G741" t="s">
        <v>98</v>
      </c>
      <c r="H741" t="s">
        <v>161</v>
      </c>
    </row>
    <row r="742" spans="1:8" x14ac:dyDescent="0.25">
      <c r="A742" s="208">
        <v>24</v>
      </c>
      <c r="B742" t="s">
        <v>98</v>
      </c>
      <c r="C742" t="s">
        <v>161</v>
      </c>
      <c r="F742" s="208">
        <v>14</v>
      </c>
      <c r="G742" t="s">
        <v>98</v>
      </c>
      <c r="H742" t="s">
        <v>161</v>
      </c>
    </row>
    <row r="743" spans="1:8" x14ac:dyDescent="0.25">
      <c r="A743" s="208">
        <v>35</v>
      </c>
      <c r="B743" t="s">
        <v>97</v>
      </c>
      <c r="C743" t="s">
        <v>161</v>
      </c>
      <c r="F743" s="208">
        <v>1</v>
      </c>
      <c r="G743" t="s">
        <v>97</v>
      </c>
      <c r="H743" t="s">
        <v>161</v>
      </c>
    </row>
    <row r="744" spans="1:8" x14ac:dyDescent="0.25">
      <c r="A744" s="208">
        <v>54</v>
      </c>
      <c r="B744" t="s">
        <v>98</v>
      </c>
      <c r="C744" t="s">
        <v>161</v>
      </c>
      <c r="F744" s="208">
        <v>75</v>
      </c>
      <c r="G744" t="s">
        <v>97</v>
      </c>
      <c r="H744" t="s">
        <v>161</v>
      </c>
    </row>
    <row r="745" spans="1:8" x14ac:dyDescent="0.25">
      <c r="A745" s="208">
        <v>18</v>
      </c>
      <c r="B745" t="s">
        <v>98</v>
      </c>
      <c r="C745" t="s">
        <v>161</v>
      </c>
      <c r="F745" s="208">
        <v>52</v>
      </c>
      <c r="G745" t="s">
        <v>97</v>
      </c>
      <c r="H745" t="s">
        <v>161</v>
      </c>
    </row>
    <row r="746" spans="1:8" x14ac:dyDescent="0.25">
      <c r="A746" s="208">
        <v>31</v>
      </c>
      <c r="B746" t="s">
        <v>98</v>
      </c>
      <c r="C746" t="s">
        <v>161</v>
      </c>
      <c r="F746" s="208">
        <v>66</v>
      </c>
      <c r="G746" t="s">
        <v>97</v>
      </c>
      <c r="H746" t="s">
        <v>161</v>
      </c>
    </row>
    <row r="747" spans="1:8" x14ac:dyDescent="0.25">
      <c r="A747" s="208">
        <v>53</v>
      </c>
      <c r="B747" t="s">
        <v>97</v>
      </c>
      <c r="C747" t="s">
        <v>161</v>
      </c>
      <c r="F747" s="208">
        <v>24</v>
      </c>
      <c r="G747" t="s">
        <v>97</v>
      </c>
      <c r="H747" t="s">
        <v>161</v>
      </c>
    </row>
    <row r="748" spans="1:8" x14ac:dyDescent="0.25">
      <c r="A748" s="208">
        <v>52</v>
      </c>
      <c r="B748" t="s">
        <v>98</v>
      </c>
      <c r="C748" t="s">
        <v>161</v>
      </c>
      <c r="F748" s="208">
        <v>18</v>
      </c>
      <c r="G748" t="s">
        <v>97</v>
      </c>
      <c r="H748" t="s">
        <v>161</v>
      </c>
    </row>
    <row r="749" spans="1:8" x14ac:dyDescent="0.25">
      <c r="A749" s="208">
        <v>43</v>
      </c>
      <c r="B749" t="s">
        <v>97</v>
      </c>
      <c r="C749" t="s">
        <v>161</v>
      </c>
      <c r="F749" s="208">
        <v>50</v>
      </c>
      <c r="G749" t="s">
        <v>98</v>
      </c>
      <c r="H749" t="s">
        <v>161</v>
      </c>
    </row>
    <row r="750" spans="1:8" x14ac:dyDescent="0.25">
      <c r="A750" s="208">
        <v>57</v>
      </c>
      <c r="B750" t="s">
        <v>97</v>
      </c>
      <c r="C750" t="s">
        <v>161</v>
      </c>
      <c r="F750" s="208">
        <v>27</v>
      </c>
      <c r="G750" t="s">
        <v>97</v>
      </c>
      <c r="H750" t="s">
        <v>161</v>
      </c>
    </row>
    <row r="751" spans="1:8" x14ac:dyDescent="0.25">
      <c r="A751" s="208">
        <v>42</v>
      </c>
      <c r="B751" t="s">
        <v>97</v>
      </c>
      <c r="C751" t="s">
        <v>161</v>
      </c>
      <c r="F751" s="208">
        <v>43</v>
      </c>
      <c r="G751" t="s">
        <v>98</v>
      </c>
      <c r="H751" t="s">
        <v>161</v>
      </c>
    </row>
    <row r="752" spans="1:8" x14ac:dyDescent="0.25">
      <c r="A752" s="208">
        <v>48</v>
      </c>
      <c r="B752" t="s">
        <v>97</v>
      </c>
      <c r="C752" t="s">
        <v>161</v>
      </c>
      <c r="F752" s="208">
        <v>43</v>
      </c>
      <c r="G752" t="s">
        <v>97</v>
      </c>
      <c r="H752" t="s">
        <v>161</v>
      </c>
    </row>
    <row r="753" spans="1:8" x14ac:dyDescent="0.25">
      <c r="A753" s="208">
        <v>52</v>
      </c>
      <c r="B753" t="s">
        <v>97</v>
      </c>
      <c r="C753" t="s">
        <v>161</v>
      </c>
      <c r="F753" s="208">
        <v>28</v>
      </c>
      <c r="G753" t="s">
        <v>97</v>
      </c>
      <c r="H753" t="s">
        <v>161</v>
      </c>
    </row>
    <row r="754" spans="1:8" x14ac:dyDescent="0.25">
      <c r="A754" s="208">
        <v>79</v>
      </c>
      <c r="B754" t="s">
        <v>98</v>
      </c>
      <c r="C754" t="s">
        <v>161</v>
      </c>
      <c r="F754" s="208">
        <v>54</v>
      </c>
      <c r="G754" t="s">
        <v>98</v>
      </c>
      <c r="H754" t="s">
        <v>161</v>
      </c>
    </row>
    <row r="755" spans="1:8" x14ac:dyDescent="0.25">
      <c r="A755" s="208">
        <v>60</v>
      </c>
      <c r="B755" t="s">
        <v>98</v>
      </c>
      <c r="C755" t="s">
        <v>161</v>
      </c>
      <c r="F755" s="208">
        <v>1</v>
      </c>
      <c r="G755" t="s">
        <v>98</v>
      </c>
      <c r="H755" t="s">
        <v>161</v>
      </c>
    </row>
    <row r="756" spans="1:8" x14ac:dyDescent="0.25">
      <c r="A756" s="208">
        <v>84</v>
      </c>
      <c r="B756" t="s">
        <v>98</v>
      </c>
      <c r="C756" t="s">
        <v>161</v>
      </c>
      <c r="F756" s="208">
        <v>58</v>
      </c>
      <c r="G756" t="s">
        <v>97</v>
      </c>
      <c r="H756" t="s">
        <v>161</v>
      </c>
    </row>
    <row r="757" spans="1:8" x14ac:dyDescent="0.25">
      <c r="A757" s="208">
        <v>33</v>
      </c>
      <c r="B757" t="s">
        <v>97</v>
      </c>
      <c r="C757" t="s">
        <v>161</v>
      </c>
      <c r="F757" s="208">
        <v>47</v>
      </c>
      <c r="G757" t="s">
        <v>97</v>
      </c>
      <c r="H757" t="s">
        <v>161</v>
      </c>
    </row>
    <row r="758" spans="1:8" x14ac:dyDescent="0.25">
      <c r="A758" s="208">
        <v>19</v>
      </c>
      <c r="B758" t="s">
        <v>98</v>
      </c>
      <c r="C758" t="s">
        <v>161</v>
      </c>
      <c r="F758" s="208">
        <v>57</v>
      </c>
      <c r="G758" t="s">
        <v>98</v>
      </c>
      <c r="H758" t="s">
        <v>161</v>
      </c>
    </row>
    <row r="759" spans="1:8" x14ac:dyDescent="0.25">
      <c r="A759" s="208">
        <v>40</v>
      </c>
      <c r="B759" t="s">
        <v>98</v>
      </c>
      <c r="C759" t="s">
        <v>161</v>
      </c>
      <c r="F759" s="208">
        <v>69</v>
      </c>
      <c r="G759" t="s">
        <v>97</v>
      </c>
      <c r="H759" t="s">
        <v>161</v>
      </c>
    </row>
    <row r="760" spans="1:8" x14ac:dyDescent="0.25">
      <c r="A760" s="208">
        <v>52</v>
      </c>
      <c r="B760" t="s">
        <v>97</v>
      </c>
      <c r="C760" t="s">
        <v>161</v>
      </c>
      <c r="F760" s="208">
        <v>40</v>
      </c>
      <c r="G760" t="s">
        <v>97</v>
      </c>
      <c r="H760" t="s">
        <v>161</v>
      </c>
    </row>
    <row r="761" spans="1:8" x14ac:dyDescent="0.25">
      <c r="A761" s="208">
        <v>16</v>
      </c>
      <c r="B761" t="s">
        <v>98</v>
      </c>
      <c r="C761" t="s">
        <v>161</v>
      </c>
      <c r="F761" s="208">
        <v>31</v>
      </c>
      <c r="G761" t="s">
        <v>97</v>
      </c>
      <c r="H761" t="s">
        <v>161</v>
      </c>
    </row>
    <row r="762" spans="1:8" x14ac:dyDescent="0.25">
      <c r="A762" s="208">
        <v>38</v>
      </c>
      <c r="B762" t="s">
        <v>97</v>
      </c>
      <c r="C762" t="s">
        <v>161</v>
      </c>
      <c r="F762" s="208">
        <v>31</v>
      </c>
      <c r="G762" t="s">
        <v>97</v>
      </c>
      <c r="H762" t="s">
        <v>161</v>
      </c>
    </row>
    <row r="763" spans="1:8" x14ac:dyDescent="0.25">
      <c r="A763" s="208">
        <v>64</v>
      </c>
      <c r="B763" t="s">
        <v>98</v>
      </c>
      <c r="C763" t="s">
        <v>161</v>
      </c>
      <c r="F763" s="208">
        <v>17</v>
      </c>
      <c r="G763" t="s">
        <v>98</v>
      </c>
      <c r="H763" t="s">
        <v>161</v>
      </c>
    </row>
    <row r="764" spans="1:8" x14ac:dyDescent="0.25">
      <c r="A764" s="208">
        <v>15</v>
      </c>
      <c r="B764" t="s">
        <v>97</v>
      </c>
      <c r="C764" t="s">
        <v>161</v>
      </c>
      <c r="F764" s="208">
        <v>76</v>
      </c>
      <c r="G764" t="s">
        <v>97</v>
      </c>
      <c r="H764" t="s">
        <v>161</v>
      </c>
    </row>
    <row r="765" spans="1:8" x14ac:dyDescent="0.25">
      <c r="A765" s="208">
        <v>1</v>
      </c>
      <c r="B765" t="s">
        <v>97</v>
      </c>
      <c r="C765" t="s">
        <v>161</v>
      </c>
      <c r="F765" s="208">
        <v>26</v>
      </c>
      <c r="G765" t="s">
        <v>97</v>
      </c>
      <c r="H765" t="s">
        <v>161</v>
      </c>
    </row>
    <row r="766" spans="1:8" x14ac:dyDescent="0.25">
      <c r="A766" s="208">
        <v>5</v>
      </c>
      <c r="B766" t="s">
        <v>98</v>
      </c>
      <c r="C766" t="s">
        <v>161</v>
      </c>
      <c r="F766" s="208">
        <v>49</v>
      </c>
      <c r="G766" t="s">
        <v>97</v>
      </c>
      <c r="H766" t="s">
        <v>161</v>
      </c>
    </row>
    <row r="767" spans="1:8" x14ac:dyDescent="0.25">
      <c r="A767" s="208" t="s">
        <v>160</v>
      </c>
      <c r="B767" t="s">
        <v>97</v>
      </c>
      <c r="C767" t="s">
        <v>161</v>
      </c>
      <c r="F767" s="208">
        <v>69</v>
      </c>
      <c r="G767" t="s">
        <v>98</v>
      </c>
      <c r="H767" t="s">
        <v>161</v>
      </c>
    </row>
    <row r="768" spans="1:8" x14ac:dyDescent="0.25">
      <c r="A768" s="208">
        <v>61</v>
      </c>
      <c r="B768" t="s">
        <v>97</v>
      </c>
      <c r="C768" t="s">
        <v>161</v>
      </c>
      <c r="F768" s="208">
        <v>33</v>
      </c>
      <c r="G768" t="s">
        <v>97</v>
      </c>
      <c r="H768" t="s">
        <v>161</v>
      </c>
    </row>
    <row r="769" spans="1:8" x14ac:dyDescent="0.25">
      <c r="A769" s="208">
        <v>16</v>
      </c>
      <c r="B769" t="s">
        <v>98</v>
      </c>
      <c r="C769" t="s">
        <v>161</v>
      </c>
      <c r="F769" s="208">
        <v>62</v>
      </c>
      <c r="G769" t="s">
        <v>97</v>
      </c>
      <c r="H769" t="s">
        <v>161</v>
      </c>
    </row>
    <row r="770" spans="1:8" x14ac:dyDescent="0.25">
      <c r="A770" s="208">
        <v>54</v>
      </c>
      <c r="B770" t="s">
        <v>97</v>
      </c>
      <c r="C770" t="s">
        <v>161</v>
      </c>
      <c r="F770" s="208">
        <v>30</v>
      </c>
      <c r="G770" t="s">
        <v>98</v>
      </c>
      <c r="H770" t="s">
        <v>161</v>
      </c>
    </row>
    <row r="771" spans="1:8" x14ac:dyDescent="0.25">
      <c r="A771" s="208">
        <v>40</v>
      </c>
      <c r="B771" t="s">
        <v>97</v>
      </c>
      <c r="C771" t="s">
        <v>161</v>
      </c>
      <c r="F771" s="208">
        <v>47</v>
      </c>
      <c r="G771" t="s">
        <v>97</v>
      </c>
      <c r="H771" t="s">
        <v>161</v>
      </c>
    </row>
    <row r="772" spans="1:8" x14ac:dyDescent="0.25">
      <c r="A772" s="208">
        <v>70</v>
      </c>
      <c r="B772" t="s">
        <v>97</v>
      </c>
      <c r="C772" t="s">
        <v>161</v>
      </c>
      <c r="F772" s="208">
        <v>69</v>
      </c>
      <c r="G772" t="s">
        <v>98</v>
      </c>
      <c r="H772" t="s">
        <v>161</v>
      </c>
    </row>
    <row r="773" spans="1:8" x14ac:dyDescent="0.25">
      <c r="A773" s="208">
        <v>37</v>
      </c>
      <c r="B773" t="s">
        <v>98</v>
      </c>
      <c r="C773" t="s">
        <v>161</v>
      </c>
      <c r="F773" s="208">
        <v>18</v>
      </c>
      <c r="G773" t="s">
        <v>97</v>
      </c>
      <c r="H773" t="s">
        <v>161</v>
      </c>
    </row>
    <row r="774" spans="1:8" x14ac:dyDescent="0.25">
      <c r="A774" s="208">
        <v>5</v>
      </c>
      <c r="B774" t="s">
        <v>97</v>
      </c>
      <c r="C774" t="s">
        <v>161</v>
      </c>
      <c r="F774" s="208">
        <v>76</v>
      </c>
      <c r="G774" t="s">
        <v>97</v>
      </c>
      <c r="H774" t="s">
        <v>161</v>
      </c>
    </row>
    <row r="775" spans="1:8" x14ac:dyDescent="0.25">
      <c r="A775" s="208">
        <v>83</v>
      </c>
      <c r="B775" t="s">
        <v>98</v>
      </c>
      <c r="C775" t="s">
        <v>161</v>
      </c>
      <c r="F775" s="208">
        <v>65</v>
      </c>
      <c r="G775" t="s">
        <v>97</v>
      </c>
      <c r="H775" t="s">
        <v>161</v>
      </c>
    </row>
    <row r="776" spans="1:8" x14ac:dyDescent="0.25">
      <c r="A776" s="208">
        <v>16</v>
      </c>
      <c r="B776" t="s">
        <v>98</v>
      </c>
      <c r="C776" t="s">
        <v>161</v>
      </c>
      <c r="F776" s="208">
        <v>16</v>
      </c>
      <c r="G776" t="s">
        <v>97</v>
      </c>
      <c r="H776" t="s">
        <v>161</v>
      </c>
    </row>
    <row r="777" spans="1:8" x14ac:dyDescent="0.25">
      <c r="A777" s="208">
        <v>25</v>
      </c>
      <c r="B777" t="s">
        <v>97</v>
      </c>
      <c r="C777" t="s">
        <v>161</v>
      </c>
      <c r="F777" s="208">
        <v>42</v>
      </c>
      <c r="G777" t="s">
        <v>97</v>
      </c>
      <c r="H777" t="s">
        <v>161</v>
      </c>
    </row>
    <row r="778" spans="1:8" x14ac:dyDescent="0.25">
      <c r="A778" s="208">
        <v>19</v>
      </c>
      <c r="B778" t="s">
        <v>98</v>
      </c>
      <c r="C778" t="s">
        <v>161</v>
      </c>
      <c r="F778" s="208">
        <v>1</v>
      </c>
      <c r="G778" t="s">
        <v>98</v>
      </c>
      <c r="H778" t="s">
        <v>161</v>
      </c>
    </row>
    <row r="779" spans="1:8" x14ac:dyDescent="0.25">
      <c r="A779" s="208">
        <v>65</v>
      </c>
      <c r="B779" t="s">
        <v>97</v>
      </c>
      <c r="C779" t="s">
        <v>161</v>
      </c>
      <c r="F779" s="208">
        <v>85</v>
      </c>
      <c r="G779" t="s">
        <v>98</v>
      </c>
      <c r="H779" t="s">
        <v>161</v>
      </c>
    </row>
    <row r="780" spans="1:8" x14ac:dyDescent="0.25">
      <c r="A780" s="208">
        <v>82</v>
      </c>
      <c r="B780" t="s">
        <v>98</v>
      </c>
      <c r="C780" t="s">
        <v>161</v>
      </c>
      <c r="F780" s="208">
        <v>36</v>
      </c>
      <c r="G780" t="s">
        <v>97</v>
      </c>
      <c r="H780" t="s">
        <v>161</v>
      </c>
    </row>
    <row r="781" spans="1:8" x14ac:dyDescent="0.25">
      <c r="A781" s="208">
        <v>19</v>
      </c>
      <c r="B781" t="s">
        <v>97</v>
      </c>
      <c r="C781" t="s">
        <v>161</v>
      </c>
      <c r="F781" s="208">
        <v>85</v>
      </c>
      <c r="G781" t="s">
        <v>98</v>
      </c>
      <c r="H781" t="s">
        <v>161</v>
      </c>
    </row>
    <row r="782" spans="1:8" x14ac:dyDescent="0.25">
      <c r="A782" s="208">
        <v>31</v>
      </c>
      <c r="B782" t="s">
        <v>97</v>
      </c>
      <c r="C782" t="s">
        <v>161</v>
      </c>
      <c r="F782" s="208">
        <v>17</v>
      </c>
      <c r="G782" t="s">
        <v>97</v>
      </c>
      <c r="H782" t="s">
        <v>161</v>
      </c>
    </row>
    <row r="783" spans="1:8" x14ac:dyDescent="0.25">
      <c r="A783" s="208">
        <v>35</v>
      </c>
      <c r="B783" t="s">
        <v>97</v>
      </c>
      <c r="C783" t="s">
        <v>161</v>
      </c>
      <c r="F783" s="208">
        <v>42</v>
      </c>
      <c r="G783" t="s">
        <v>97</v>
      </c>
      <c r="H783" t="s">
        <v>161</v>
      </c>
    </row>
    <row r="784" spans="1:8" x14ac:dyDescent="0.25">
      <c r="A784" s="208">
        <v>53</v>
      </c>
      <c r="B784" t="s">
        <v>97</v>
      </c>
      <c r="C784" t="s">
        <v>161</v>
      </c>
      <c r="F784" s="208">
        <v>26</v>
      </c>
      <c r="G784" t="s">
        <v>97</v>
      </c>
      <c r="H784" t="s">
        <v>161</v>
      </c>
    </row>
    <row r="785" spans="1:8" x14ac:dyDescent="0.25">
      <c r="A785" s="208">
        <v>31</v>
      </c>
      <c r="B785" t="s">
        <v>97</v>
      </c>
      <c r="C785" t="s">
        <v>161</v>
      </c>
      <c r="F785" s="208">
        <v>17</v>
      </c>
      <c r="G785" t="s">
        <v>98</v>
      </c>
      <c r="H785" t="s">
        <v>161</v>
      </c>
    </row>
    <row r="786" spans="1:8" x14ac:dyDescent="0.25">
      <c r="A786" s="208">
        <v>21</v>
      </c>
      <c r="B786" t="s">
        <v>98</v>
      </c>
      <c r="C786" t="s">
        <v>161</v>
      </c>
      <c r="F786" s="208">
        <v>35</v>
      </c>
      <c r="G786" t="s">
        <v>97</v>
      </c>
      <c r="H786" t="s">
        <v>161</v>
      </c>
    </row>
    <row r="787" spans="1:8" x14ac:dyDescent="0.25">
      <c r="A787" s="208">
        <v>35</v>
      </c>
      <c r="B787" t="s">
        <v>97</v>
      </c>
      <c r="C787" t="s">
        <v>161</v>
      </c>
      <c r="F787" s="208">
        <v>28</v>
      </c>
      <c r="G787" t="s">
        <v>97</v>
      </c>
      <c r="H787" t="s">
        <v>161</v>
      </c>
    </row>
    <row r="788" spans="1:8" x14ac:dyDescent="0.25">
      <c r="A788" s="208">
        <v>38</v>
      </c>
      <c r="B788" t="s">
        <v>98</v>
      </c>
      <c r="C788" t="s">
        <v>161</v>
      </c>
      <c r="F788" s="208">
        <v>15</v>
      </c>
      <c r="G788" t="s">
        <v>97</v>
      </c>
      <c r="H788" t="s">
        <v>161</v>
      </c>
    </row>
    <row r="789" spans="1:8" x14ac:dyDescent="0.25">
      <c r="A789" s="208">
        <v>30</v>
      </c>
      <c r="B789" t="s">
        <v>98</v>
      </c>
      <c r="C789" t="s">
        <v>161</v>
      </c>
      <c r="F789" s="208">
        <v>40</v>
      </c>
      <c r="G789" t="s">
        <v>97</v>
      </c>
      <c r="H789" t="s">
        <v>161</v>
      </c>
    </row>
    <row r="790" spans="1:8" x14ac:dyDescent="0.25">
      <c r="A790" s="208">
        <v>56</v>
      </c>
      <c r="B790" t="s">
        <v>97</v>
      </c>
      <c r="C790" t="s">
        <v>161</v>
      </c>
      <c r="F790" s="208">
        <v>26</v>
      </c>
      <c r="G790" t="s">
        <v>98</v>
      </c>
      <c r="H790" t="s">
        <v>161</v>
      </c>
    </row>
    <row r="791" spans="1:8" x14ac:dyDescent="0.25">
      <c r="A791" s="208">
        <v>47</v>
      </c>
      <c r="B791" t="s">
        <v>98</v>
      </c>
      <c r="C791" t="s">
        <v>161</v>
      </c>
      <c r="F791" s="208">
        <v>56</v>
      </c>
      <c r="G791" t="s">
        <v>97</v>
      </c>
      <c r="H791" t="s">
        <v>161</v>
      </c>
    </row>
    <row r="792" spans="1:8" x14ac:dyDescent="0.25">
      <c r="A792" s="208">
        <v>42</v>
      </c>
      <c r="B792" t="s">
        <v>97</v>
      </c>
      <c r="C792" t="s">
        <v>161</v>
      </c>
      <c r="F792" s="208">
        <v>66</v>
      </c>
      <c r="G792" t="s">
        <v>97</v>
      </c>
      <c r="H792" t="s">
        <v>161</v>
      </c>
    </row>
    <row r="793" spans="1:8" x14ac:dyDescent="0.25">
      <c r="A793" s="208">
        <v>67</v>
      </c>
      <c r="B793" t="s">
        <v>97</v>
      </c>
      <c r="C793" t="s">
        <v>161</v>
      </c>
      <c r="F793" s="208" t="s">
        <v>170</v>
      </c>
      <c r="G793" t="s">
        <v>98</v>
      </c>
      <c r="H793" t="s">
        <v>51</v>
      </c>
    </row>
    <row r="794" spans="1:8" x14ac:dyDescent="0.25">
      <c r="A794" s="208">
        <v>10</v>
      </c>
      <c r="B794" t="s">
        <v>97</v>
      </c>
      <c r="C794" t="s">
        <v>161</v>
      </c>
      <c r="F794" s="208">
        <v>24</v>
      </c>
      <c r="G794" t="s">
        <v>98</v>
      </c>
      <c r="H794" t="s">
        <v>55</v>
      </c>
    </row>
    <row r="795" spans="1:8" x14ac:dyDescent="0.25">
      <c r="A795" s="208">
        <v>39</v>
      </c>
      <c r="B795" t="s">
        <v>97</v>
      </c>
      <c r="C795" t="s">
        <v>161</v>
      </c>
      <c r="F795" s="208">
        <v>29</v>
      </c>
      <c r="G795" t="s">
        <v>98</v>
      </c>
      <c r="H795" t="s">
        <v>55</v>
      </c>
    </row>
    <row r="796" spans="1:8" x14ac:dyDescent="0.25">
      <c r="A796" s="208">
        <v>42</v>
      </c>
      <c r="B796" t="s">
        <v>98</v>
      </c>
      <c r="C796" t="s">
        <v>161</v>
      </c>
      <c r="F796" s="208">
        <v>43</v>
      </c>
      <c r="G796" t="s">
        <v>98</v>
      </c>
      <c r="H796" t="s">
        <v>55</v>
      </c>
    </row>
    <row r="797" spans="1:8" x14ac:dyDescent="0.25">
      <c r="A797" s="208">
        <v>54</v>
      </c>
      <c r="B797" t="s">
        <v>97</v>
      </c>
      <c r="C797" t="s">
        <v>161</v>
      </c>
      <c r="F797" s="208">
        <v>27</v>
      </c>
      <c r="G797" t="s">
        <v>98</v>
      </c>
      <c r="H797" t="s">
        <v>55</v>
      </c>
    </row>
    <row r="798" spans="1:8" x14ac:dyDescent="0.25">
      <c r="A798" s="208">
        <v>16</v>
      </c>
      <c r="B798" t="s">
        <v>98</v>
      </c>
      <c r="C798" t="s">
        <v>161</v>
      </c>
      <c r="F798" s="208">
        <v>18</v>
      </c>
      <c r="G798" t="s">
        <v>98</v>
      </c>
      <c r="H798" t="s">
        <v>55</v>
      </c>
    </row>
    <row r="799" spans="1:8" x14ac:dyDescent="0.25">
      <c r="A799" s="208">
        <v>32</v>
      </c>
      <c r="B799" t="s">
        <v>98</v>
      </c>
      <c r="C799" t="s">
        <v>161</v>
      </c>
      <c r="F799" s="208">
        <v>20</v>
      </c>
      <c r="G799" t="s">
        <v>98</v>
      </c>
      <c r="H799" t="s">
        <v>56</v>
      </c>
    </row>
    <row r="800" spans="1:8" x14ac:dyDescent="0.25">
      <c r="A800" s="208">
        <v>26</v>
      </c>
      <c r="B800" t="s">
        <v>97</v>
      </c>
      <c r="C800" t="s">
        <v>161</v>
      </c>
      <c r="F800" s="208">
        <v>22</v>
      </c>
      <c r="G800" t="s">
        <v>98</v>
      </c>
      <c r="H800" t="s">
        <v>56</v>
      </c>
    </row>
    <row r="801" spans="1:8" x14ac:dyDescent="0.25">
      <c r="A801" s="208">
        <v>83</v>
      </c>
      <c r="B801" t="s">
        <v>98</v>
      </c>
      <c r="C801" t="s">
        <v>161</v>
      </c>
      <c r="F801" s="208">
        <v>19</v>
      </c>
      <c r="G801" t="s">
        <v>98</v>
      </c>
      <c r="H801" t="s">
        <v>56</v>
      </c>
    </row>
    <row r="802" spans="1:8" x14ac:dyDescent="0.25">
      <c r="A802" s="208">
        <v>22</v>
      </c>
      <c r="B802" t="s">
        <v>98</v>
      </c>
      <c r="C802" t="s">
        <v>161</v>
      </c>
      <c r="F802" s="208">
        <v>27</v>
      </c>
      <c r="G802" t="s">
        <v>98</v>
      </c>
      <c r="H802" t="s">
        <v>56</v>
      </c>
    </row>
    <row r="803" spans="1:8" x14ac:dyDescent="0.25">
      <c r="A803" s="208">
        <v>48</v>
      </c>
      <c r="B803" t="s">
        <v>98</v>
      </c>
      <c r="C803" t="s">
        <v>161</v>
      </c>
      <c r="F803" s="208">
        <v>20</v>
      </c>
      <c r="G803" t="s">
        <v>98</v>
      </c>
      <c r="H803" t="s">
        <v>56</v>
      </c>
    </row>
    <row r="804" spans="1:8" x14ac:dyDescent="0.25">
      <c r="A804" s="208">
        <v>35</v>
      </c>
      <c r="B804" t="s">
        <v>97</v>
      </c>
      <c r="C804" t="s">
        <v>161</v>
      </c>
      <c r="F804" s="208">
        <v>30</v>
      </c>
      <c r="G804" t="s">
        <v>98</v>
      </c>
      <c r="H804" t="s">
        <v>56</v>
      </c>
    </row>
    <row r="805" spans="1:8" x14ac:dyDescent="0.25">
      <c r="A805" s="208">
        <v>15</v>
      </c>
      <c r="B805" t="s">
        <v>98</v>
      </c>
      <c r="C805" t="s">
        <v>161</v>
      </c>
      <c r="F805" s="208">
        <v>18</v>
      </c>
      <c r="G805" t="s">
        <v>98</v>
      </c>
      <c r="H805" t="s">
        <v>56</v>
      </c>
    </row>
    <row r="806" spans="1:8" x14ac:dyDescent="0.25">
      <c r="A806" s="208">
        <v>37</v>
      </c>
      <c r="B806" t="s">
        <v>97</v>
      </c>
      <c r="C806" t="s">
        <v>161</v>
      </c>
      <c r="F806" s="208">
        <v>18</v>
      </c>
      <c r="G806" t="s">
        <v>98</v>
      </c>
      <c r="H806" t="s">
        <v>56</v>
      </c>
    </row>
    <row r="807" spans="1:8" x14ac:dyDescent="0.25">
      <c r="A807" s="208">
        <v>70</v>
      </c>
      <c r="B807" t="s">
        <v>98</v>
      </c>
      <c r="C807" t="s">
        <v>161</v>
      </c>
      <c r="F807" s="208">
        <v>18</v>
      </c>
      <c r="G807" t="s">
        <v>98</v>
      </c>
      <c r="H807" t="s">
        <v>56</v>
      </c>
    </row>
    <row r="808" spans="1:8" x14ac:dyDescent="0.25">
      <c r="A808" s="208">
        <v>23</v>
      </c>
      <c r="B808" t="s">
        <v>97</v>
      </c>
      <c r="C808" t="s">
        <v>161</v>
      </c>
      <c r="F808" s="208">
        <v>31</v>
      </c>
      <c r="G808" t="s">
        <v>98</v>
      </c>
      <c r="H808" t="s">
        <v>56</v>
      </c>
    </row>
    <row r="809" spans="1:8" x14ac:dyDescent="0.25">
      <c r="A809" s="208">
        <v>73</v>
      </c>
      <c r="B809" t="s">
        <v>98</v>
      </c>
      <c r="C809" t="s">
        <v>161</v>
      </c>
      <c r="F809" s="208">
        <v>22</v>
      </c>
      <c r="G809" t="s">
        <v>98</v>
      </c>
      <c r="H809" t="s">
        <v>56</v>
      </c>
    </row>
    <row r="810" spans="1:8" x14ac:dyDescent="0.25">
      <c r="A810" s="208">
        <v>34</v>
      </c>
      <c r="B810" t="s">
        <v>98</v>
      </c>
      <c r="C810" t="s">
        <v>161</v>
      </c>
      <c r="F810" s="208">
        <v>31</v>
      </c>
      <c r="G810" t="s">
        <v>98</v>
      </c>
      <c r="H810" t="s">
        <v>56</v>
      </c>
    </row>
    <row r="811" spans="1:8" x14ac:dyDescent="0.25">
      <c r="A811" s="208">
        <v>38</v>
      </c>
      <c r="B811" t="s">
        <v>97</v>
      </c>
      <c r="C811" t="s">
        <v>161</v>
      </c>
      <c r="F811" s="208">
        <v>27</v>
      </c>
      <c r="G811" t="s">
        <v>98</v>
      </c>
      <c r="H811" t="s">
        <v>56</v>
      </c>
    </row>
    <row r="812" spans="1:8" x14ac:dyDescent="0.25">
      <c r="A812" s="208">
        <v>2</v>
      </c>
      <c r="B812" t="s">
        <v>98</v>
      </c>
      <c r="C812" t="s">
        <v>161</v>
      </c>
      <c r="F812" s="208">
        <v>29</v>
      </c>
      <c r="G812" t="s">
        <v>98</v>
      </c>
      <c r="H812" t="s">
        <v>38</v>
      </c>
    </row>
    <row r="813" spans="1:8" x14ac:dyDescent="0.25">
      <c r="A813" s="208">
        <v>2</v>
      </c>
      <c r="B813" t="s">
        <v>98</v>
      </c>
      <c r="C813" t="s">
        <v>161</v>
      </c>
      <c r="F813" s="208">
        <v>31</v>
      </c>
      <c r="G813" t="s">
        <v>98</v>
      </c>
      <c r="H813" t="s">
        <v>38</v>
      </c>
    </row>
    <row r="814" spans="1:8" x14ac:dyDescent="0.25">
      <c r="A814" s="208">
        <v>49</v>
      </c>
      <c r="B814" t="s">
        <v>97</v>
      </c>
      <c r="C814" t="s">
        <v>161</v>
      </c>
      <c r="F814" s="208">
        <v>32</v>
      </c>
      <c r="G814" t="s">
        <v>98</v>
      </c>
      <c r="H814" t="s">
        <v>38</v>
      </c>
    </row>
    <row r="815" spans="1:8" x14ac:dyDescent="0.25">
      <c r="A815" s="208">
        <v>40</v>
      </c>
      <c r="B815" t="s">
        <v>98</v>
      </c>
      <c r="C815" t="s">
        <v>161</v>
      </c>
      <c r="F815" s="208">
        <v>4</v>
      </c>
      <c r="G815" t="s">
        <v>97</v>
      </c>
      <c r="H815" t="s">
        <v>134</v>
      </c>
    </row>
    <row r="816" spans="1:8" x14ac:dyDescent="0.25">
      <c r="A816" s="208">
        <v>45</v>
      </c>
      <c r="B816" t="s">
        <v>97</v>
      </c>
      <c r="C816" t="s">
        <v>161</v>
      </c>
      <c r="F816" s="208">
        <v>5</v>
      </c>
      <c r="G816" t="s">
        <v>98</v>
      </c>
      <c r="H816" t="s">
        <v>134</v>
      </c>
    </row>
    <row r="817" spans="1:8" x14ac:dyDescent="0.25">
      <c r="A817" s="208">
        <v>40</v>
      </c>
      <c r="B817" t="s">
        <v>98</v>
      </c>
      <c r="C817" t="s">
        <v>161</v>
      </c>
      <c r="F817" s="208">
        <v>6</v>
      </c>
      <c r="G817" t="s">
        <v>98</v>
      </c>
      <c r="H817" t="s">
        <v>134</v>
      </c>
    </row>
    <row r="818" spans="1:8" x14ac:dyDescent="0.25">
      <c r="A818" s="208">
        <v>23</v>
      </c>
      <c r="B818" t="s">
        <v>97</v>
      </c>
      <c r="C818" t="s">
        <v>161</v>
      </c>
      <c r="F818" s="208">
        <v>54</v>
      </c>
      <c r="G818" t="s">
        <v>98</v>
      </c>
      <c r="H818" t="s">
        <v>123</v>
      </c>
    </row>
    <row r="819" spans="1:8" x14ac:dyDescent="0.25">
      <c r="A819" s="208">
        <v>80</v>
      </c>
      <c r="B819" t="s">
        <v>97</v>
      </c>
      <c r="C819" t="s">
        <v>161</v>
      </c>
      <c r="F819" s="208">
        <v>46</v>
      </c>
      <c r="G819" t="s">
        <v>98</v>
      </c>
      <c r="H819" t="s">
        <v>123</v>
      </c>
    </row>
    <row r="820" spans="1:8" x14ac:dyDescent="0.25">
      <c r="A820" s="208">
        <v>61</v>
      </c>
      <c r="B820" t="s">
        <v>97</v>
      </c>
      <c r="C820" t="s">
        <v>161</v>
      </c>
      <c r="F820" s="208">
        <v>60</v>
      </c>
      <c r="G820" t="s">
        <v>98</v>
      </c>
      <c r="H820" t="s">
        <v>123</v>
      </c>
    </row>
    <row r="821" spans="1:8" x14ac:dyDescent="0.25">
      <c r="A821" s="208">
        <v>30</v>
      </c>
      <c r="B821" t="s">
        <v>97</v>
      </c>
      <c r="C821" t="s">
        <v>161</v>
      </c>
      <c r="F821" s="208">
        <v>69</v>
      </c>
      <c r="G821" t="s">
        <v>98</v>
      </c>
      <c r="H821" t="s">
        <v>123</v>
      </c>
    </row>
    <row r="822" spans="1:8" x14ac:dyDescent="0.25">
      <c r="A822" s="208">
        <v>43</v>
      </c>
      <c r="B822" t="s">
        <v>98</v>
      </c>
      <c r="C822" t="s">
        <v>161</v>
      </c>
      <c r="F822" s="208">
        <v>39</v>
      </c>
      <c r="G822" t="s">
        <v>98</v>
      </c>
      <c r="H822" t="s">
        <v>123</v>
      </c>
    </row>
    <row r="823" spans="1:8" x14ac:dyDescent="0.25">
      <c r="A823" s="208">
        <v>24</v>
      </c>
      <c r="B823" t="s">
        <v>98</v>
      </c>
      <c r="C823" t="s">
        <v>161</v>
      </c>
      <c r="F823" s="208">
        <v>37</v>
      </c>
      <c r="G823" t="s">
        <v>98</v>
      </c>
      <c r="H823" t="s">
        <v>123</v>
      </c>
    </row>
    <row r="824" spans="1:8" x14ac:dyDescent="0.25">
      <c r="A824" s="208">
        <v>9</v>
      </c>
      <c r="B824" t="s">
        <v>98</v>
      </c>
      <c r="C824" t="s">
        <v>161</v>
      </c>
      <c r="F824" s="208">
        <v>64</v>
      </c>
      <c r="G824" t="s">
        <v>98</v>
      </c>
      <c r="H824" t="s">
        <v>123</v>
      </c>
    </row>
    <row r="825" spans="1:8" x14ac:dyDescent="0.25">
      <c r="A825" s="208">
        <v>42</v>
      </c>
      <c r="B825" t="s">
        <v>97</v>
      </c>
      <c r="C825" t="s">
        <v>161</v>
      </c>
      <c r="F825" s="208">
        <v>65</v>
      </c>
      <c r="G825" t="s">
        <v>98</v>
      </c>
      <c r="H825" t="s">
        <v>123</v>
      </c>
    </row>
    <row r="826" spans="1:8" x14ac:dyDescent="0.25">
      <c r="A826" s="208">
        <v>62</v>
      </c>
      <c r="B826" t="s">
        <v>97</v>
      </c>
      <c r="C826" t="s">
        <v>161</v>
      </c>
      <c r="F826" s="208">
        <v>64</v>
      </c>
      <c r="G826" t="s">
        <v>98</v>
      </c>
      <c r="H826" t="s">
        <v>123</v>
      </c>
    </row>
    <row r="827" spans="1:8" x14ac:dyDescent="0.25">
      <c r="A827" s="208">
        <v>23</v>
      </c>
      <c r="B827" t="s">
        <v>98</v>
      </c>
      <c r="C827" t="s">
        <v>161</v>
      </c>
      <c r="F827" s="208">
        <v>51</v>
      </c>
      <c r="G827" t="s">
        <v>98</v>
      </c>
      <c r="H827" t="s">
        <v>123</v>
      </c>
    </row>
    <row r="828" spans="1:8" x14ac:dyDescent="0.25">
      <c r="A828" s="208">
        <v>4</v>
      </c>
      <c r="B828" t="s">
        <v>97</v>
      </c>
      <c r="C828" t="s">
        <v>161</v>
      </c>
      <c r="F828" s="208">
        <v>69</v>
      </c>
      <c r="G828" t="s">
        <v>97</v>
      </c>
      <c r="H828" t="s">
        <v>122</v>
      </c>
    </row>
    <row r="829" spans="1:8" x14ac:dyDescent="0.25">
      <c r="A829" s="208">
        <v>27</v>
      </c>
      <c r="B829" t="s">
        <v>97</v>
      </c>
      <c r="C829" t="s">
        <v>161</v>
      </c>
      <c r="F829" s="208">
        <v>28</v>
      </c>
      <c r="G829" t="s">
        <v>97</v>
      </c>
      <c r="H829" t="s">
        <v>122</v>
      </c>
    </row>
    <row r="830" spans="1:8" x14ac:dyDescent="0.25">
      <c r="A830" s="208">
        <v>46</v>
      </c>
      <c r="B830" t="s">
        <v>98</v>
      </c>
      <c r="C830" t="s">
        <v>161</v>
      </c>
      <c r="F830" s="208">
        <v>50</v>
      </c>
      <c r="G830" t="s">
        <v>97</v>
      </c>
      <c r="H830" t="s">
        <v>122</v>
      </c>
    </row>
    <row r="831" spans="1:8" x14ac:dyDescent="0.25">
      <c r="A831" s="208">
        <v>16</v>
      </c>
      <c r="B831" t="s">
        <v>98</v>
      </c>
      <c r="C831" t="s">
        <v>161</v>
      </c>
      <c r="F831" s="208">
        <v>37</v>
      </c>
      <c r="G831" t="s">
        <v>97</v>
      </c>
      <c r="H831" t="s">
        <v>122</v>
      </c>
    </row>
    <row r="832" spans="1:8" x14ac:dyDescent="0.25">
      <c r="A832" s="208">
        <v>66</v>
      </c>
      <c r="B832" t="s">
        <v>98</v>
      </c>
      <c r="C832" t="s">
        <v>161</v>
      </c>
    </row>
    <row r="833" spans="1:3" x14ac:dyDescent="0.25">
      <c r="A833" s="208">
        <v>35</v>
      </c>
      <c r="B833" t="s">
        <v>98</v>
      </c>
      <c r="C833" t="s">
        <v>161</v>
      </c>
    </row>
    <row r="834" spans="1:3" x14ac:dyDescent="0.25">
      <c r="A834" s="208">
        <v>76</v>
      </c>
      <c r="B834" t="s">
        <v>98</v>
      </c>
      <c r="C834" t="s">
        <v>161</v>
      </c>
    </row>
    <row r="835" spans="1:3" x14ac:dyDescent="0.25">
      <c r="A835" s="208">
        <v>24</v>
      </c>
      <c r="B835" t="s">
        <v>97</v>
      </c>
      <c r="C835" t="s">
        <v>161</v>
      </c>
    </row>
    <row r="836" spans="1:3" x14ac:dyDescent="0.25">
      <c r="A836" s="208">
        <v>30</v>
      </c>
      <c r="B836" t="s">
        <v>97</v>
      </c>
      <c r="C836" t="s">
        <v>161</v>
      </c>
    </row>
    <row r="837" spans="1:3" x14ac:dyDescent="0.25">
      <c r="A837" s="208">
        <v>1</v>
      </c>
      <c r="B837" t="s">
        <v>97</v>
      </c>
      <c r="C837" t="s">
        <v>161</v>
      </c>
    </row>
    <row r="838" spans="1:3" x14ac:dyDescent="0.25">
      <c r="A838" s="208">
        <v>87</v>
      </c>
      <c r="B838" t="s">
        <v>98</v>
      </c>
      <c r="C838" t="s">
        <v>161</v>
      </c>
    </row>
    <row r="839" spans="1:3" x14ac:dyDescent="0.25">
      <c r="A839" s="208">
        <v>39</v>
      </c>
      <c r="B839" t="s">
        <v>97</v>
      </c>
      <c r="C839" t="s">
        <v>161</v>
      </c>
    </row>
    <row r="840" spans="1:3" x14ac:dyDescent="0.25">
      <c r="A840" s="208">
        <v>28</v>
      </c>
      <c r="B840" t="s">
        <v>97</v>
      </c>
      <c r="C840" t="s">
        <v>161</v>
      </c>
    </row>
    <row r="841" spans="1:3" x14ac:dyDescent="0.25">
      <c r="A841" s="208">
        <v>66</v>
      </c>
      <c r="B841" t="s">
        <v>97</v>
      </c>
      <c r="C841" t="s">
        <v>161</v>
      </c>
    </row>
    <row r="842" spans="1:3" x14ac:dyDescent="0.25">
      <c r="A842" s="208">
        <v>19</v>
      </c>
      <c r="B842" t="s">
        <v>98</v>
      </c>
      <c r="C842" t="s">
        <v>161</v>
      </c>
    </row>
    <row r="843" spans="1:3" x14ac:dyDescent="0.25">
      <c r="A843" s="208">
        <v>18</v>
      </c>
      <c r="B843" t="s">
        <v>97</v>
      </c>
      <c r="C843" t="s">
        <v>161</v>
      </c>
    </row>
    <row r="844" spans="1:3" x14ac:dyDescent="0.25">
      <c r="A844" s="208">
        <v>53</v>
      </c>
      <c r="B844" t="s">
        <v>97</v>
      </c>
      <c r="C844" t="s">
        <v>161</v>
      </c>
    </row>
    <row r="845" spans="1:3" x14ac:dyDescent="0.25">
      <c r="A845" s="208">
        <v>33</v>
      </c>
      <c r="B845" t="s">
        <v>97</v>
      </c>
      <c r="C845" t="s">
        <v>161</v>
      </c>
    </row>
    <row r="846" spans="1:3" x14ac:dyDescent="0.25">
      <c r="A846" s="208">
        <v>4</v>
      </c>
      <c r="B846" t="s">
        <v>97</v>
      </c>
      <c r="C846" t="s">
        <v>161</v>
      </c>
    </row>
    <row r="847" spans="1:3" x14ac:dyDescent="0.25">
      <c r="A847" s="208">
        <v>40</v>
      </c>
      <c r="B847" t="s">
        <v>98</v>
      </c>
      <c r="C847" t="s">
        <v>161</v>
      </c>
    </row>
    <row r="848" spans="1:3" x14ac:dyDescent="0.25">
      <c r="A848" s="208">
        <v>48</v>
      </c>
      <c r="B848" t="s">
        <v>98</v>
      </c>
      <c r="C848" t="s">
        <v>161</v>
      </c>
    </row>
    <row r="849" spans="1:3" x14ac:dyDescent="0.25">
      <c r="A849" s="208">
        <v>20</v>
      </c>
      <c r="B849" t="s">
        <v>98</v>
      </c>
      <c r="C849" t="s">
        <v>161</v>
      </c>
    </row>
    <row r="850" spans="1:3" x14ac:dyDescent="0.25">
      <c r="A850" s="208">
        <v>28</v>
      </c>
      <c r="B850" t="s">
        <v>97</v>
      </c>
      <c r="C850" t="s">
        <v>161</v>
      </c>
    </row>
    <row r="851" spans="1:3" x14ac:dyDescent="0.25">
      <c r="A851" s="208">
        <v>90</v>
      </c>
      <c r="B851" t="s">
        <v>97</v>
      </c>
      <c r="C851" t="s">
        <v>161</v>
      </c>
    </row>
    <row r="852" spans="1:3" x14ac:dyDescent="0.25">
      <c r="A852" s="208">
        <v>77</v>
      </c>
      <c r="B852" t="s">
        <v>98</v>
      </c>
      <c r="C852" t="s">
        <v>161</v>
      </c>
    </row>
    <row r="853" spans="1:3" x14ac:dyDescent="0.25">
      <c r="A853" s="208">
        <v>58</v>
      </c>
      <c r="B853" t="s">
        <v>97</v>
      </c>
      <c r="C853" t="s">
        <v>161</v>
      </c>
    </row>
    <row r="854" spans="1:3" x14ac:dyDescent="0.25">
      <c r="A854" s="208">
        <v>18</v>
      </c>
      <c r="B854" t="s">
        <v>97</v>
      </c>
      <c r="C854" t="s">
        <v>161</v>
      </c>
    </row>
    <row r="855" spans="1:3" x14ac:dyDescent="0.25">
      <c r="A855" s="208">
        <v>30</v>
      </c>
      <c r="B855" t="s">
        <v>97</v>
      </c>
      <c r="C855" t="s">
        <v>161</v>
      </c>
    </row>
    <row r="856" spans="1:3" x14ac:dyDescent="0.25">
      <c r="A856" s="208">
        <v>53</v>
      </c>
      <c r="B856" t="s">
        <v>98</v>
      </c>
      <c r="C856" t="s">
        <v>161</v>
      </c>
    </row>
    <row r="857" spans="1:3" x14ac:dyDescent="0.25">
      <c r="A857" s="208">
        <v>11</v>
      </c>
      <c r="B857" t="s">
        <v>98</v>
      </c>
      <c r="C857" t="s">
        <v>161</v>
      </c>
    </row>
    <row r="858" spans="1:3" x14ac:dyDescent="0.25">
      <c r="A858" s="208">
        <v>39</v>
      </c>
      <c r="B858" t="s">
        <v>98</v>
      </c>
      <c r="C858" t="s">
        <v>161</v>
      </c>
    </row>
    <row r="859" spans="1:3" x14ac:dyDescent="0.25">
      <c r="A859" s="208">
        <v>66</v>
      </c>
      <c r="B859" t="s">
        <v>97</v>
      </c>
      <c r="C859" t="s">
        <v>161</v>
      </c>
    </row>
    <row r="860" spans="1:3" x14ac:dyDescent="0.25">
      <c r="A860" s="208">
        <v>32</v>
      </c>
      <c r="B860" t="s">
        <v>98</v>
      </c>
      <c r="C860" t="s">
        <v>161</v>
      </c>
    </row>
    <row r="861" spans="1:3" x14ac:dyDescent="0.25">
      <c r="A861" s="208">
        <v>101</v>
      </c>
      <c r="B861" t="s">
        <v>98</v>
      </c>
      <c r="C861" t="s">
        <v>161</v>
      </c>
    </row>
    <row r="862" spans="1:3" x14ac:dyDescent="0.25">
      <c r="A862" s="208" t="s">
        <v>159</v>
      </c>
      <c r="B862" t="s">
        <v>97</v>
      </c>
      <c r="C862" t="s">
        <v>161</v>
      </c>
    </row>
    <row r="863" spans="1:3" x14ac:dyDescent="0.25">
      <c r="A863" s="208">
        <v>44</v>
      </c>
      <c r="B863" t="s">
        <v>98</v>
      </c>
      <c r="C863" t="s">
        <v>161</v>
      </c>
    </row>
    <row r="864" spans="1:3" x14ac:dyDescent="0.25">
      <c r="A864" s="208">
        <v>83</v>
      </c>
      <c r="B864" t="s">
        <v>98</v>
      </c>
      <c r="C864" t="s">
        <v>161</v>
      </c>
    </row>
    <row r="865" spans="1:3" x14ac:dyDescent="0.25">
      <c r="A865" s="208">
        <v>50</v>
      </c>
      <c r="B865" t="s">
        <v>98</v>
      </c>
      <c r="C865" t="s">
        <v>161</v>
      </c>
    </row>
    <row r="866" spans="1:3" x14ac:dyDescent="0.25">
      <c r="A866" s="208">
        <v>40</v>
      </c>
      <c r="B866" t="s">
        <v>97</v>
      </c>
      <c r="C866" t="s">
        <v>161</v>
      </c>
    </row>
    <row r="867" spans="1:3" x14ac:dyDescent="0.25">
      <c r="A867" s="208">
        <v>29</v>
      </c>
      <c r="B867" t="s">
        <v>97</v>
      </c>
      <c r="C867" t="s">
        <v>161</v>
      </c>
    </row>
    <row r="868" spans="1:3" x14ac:dyDescent="0.25">
      <c r="A868" s="208">
        <v>76</v>
      </c>
      <c r="B868" t="s">
        <v>97</v>
      </c>
      <c r="C868" t="s">
        <v>161</v>
      </c>
    </row>
    <row r="869" spans="1:3" x14ac:dyDescent="0.25">
      <c r="A869" s="208">
        <v>2</v>
      </c>
      <c r="B869" t="s">
        <v>98</v>
      </c>
      <c r="C869" t="s">
        <v>161</v>
      </c>
    </row>
    <row r="870" spans="1:3" x14ac:dyDescent="0.25">
      <c r="A870" s="208">
        <v>58</v>
      </c>
      <c r="B870" t="s">
        <v>97</v>
      </c>
      <c r="C870" t="s">
        <v>161</v>
      </c>
    </row>
    <row r="871" spans="1:3" x14ac:dyDescent="0.25">
      <c r="A871" s="208">
        <v>53</v>
      </c>
      <c r="B871" t="s">
        <v>97</v>
      </c>
      <c r="C871" t="s">
        <v>161</v>
      </c>
    </row>
    <row r="872" spans="1:3" x14ac:dyDescent="0.25">
      <c r="A872" s="208">
        <v>10</v>
      </c>
      <c r="B872" t="s">
        <v>98</v>
      </c>
      <c r="C872" t="s">
        <v>161</v>
      </c>
    </row>
    <row r="873" spans="1:3" x14ac:dyDescent="0.25">
      <c r="A873" s="208">
        <v>81</v>
      </c>
      <c r="B873" t="s">
        <v>98</v>
      </c>
      <c r="C873" t="s">
        <v>161</v>
      </c>
    </row>
    <row r="874" spans="1:3" x14ac:dyDescent="0.25">
      <c r="A874" s="208">
        <v>66</v>
      </c>
      <c r="B874" t="s">
        <v>97</v>
      </c>
      <c r="C874" t="s">
        <v>161</v>
      </c>
    </row>
    <row r="875" spans="1:3" x14ac:dyDescent="0.25">
      <c r="A875" s="208">
        <v>21</v>
      </c>
      <c r="B875" t="s">
        <v>98</v>
      </c>
      <c r="C875" t="s">
        <v>161</v>
      </c>
    </row>
    <row r="876" spans="1:3" x14ac:dyDescent="0.25">
      <c r="A876" s="208">
        <v>17</v>
      </c>
      <c r="B876" t="s">
        <v>98</v>
      </c>
      <c r="C876" t="s">
        <v>161</v>
      </c>
    </row>
    <row r="877" spans="1:3" x14ac:dyDescent="0.25">
      <c r="A877" s="208">
        <v>69</v>
      </c>
      <c r="B877" t="s">
        <v>98</v>
      </c>
      <c r="C877" t="s">
        <v>161</v>
      </c>
    </row>
    <row r="878" spans="1:3" x14ac:dyDescent="0.25">
      <c r="A878" s="208">
        <v>1</v>
      </c>
      <c r="B878" t="s">
        <v>98</v>
      </c>
      <c r="C878" t="s">
        <v>161</v>
      </c>
    </row>
    <row r="879" spans="1:3" x14ac:dyDescent="0.25">
      <c r="A879" s="208">
        <v>64</v>
      </c>
      <c r="B879" t="s">
        <v>97</v>
      </c>
      <c r="C879" t="s">
        <v>161</v>
      </c>
    </row>
    <row r="880" spans="1:3" x14ac:dyDescent="0.25">
      <c r="A880" s="208">
        <v>28</v>
      </c>
      <c r="B880" t="s">
        <v>97</v>
      </c>
      <c r="C880" t="s">
        <v>161</v>
      </c>
    </row>
    <row r="881" spans="1:3" x14ac:dyDescent="0.25">
      <c r="A881" s="208">
        <v>53</v>
      </c>
      <c r="B881" t="s">
        <v>97</v>
      </c>
      <c r="C881" t="s">
        <v>161</v>
      </c>
    </row>
    <row r="882" spans="1:3" x14ac:dyDescent="0.25">
      <c r="A882" s="208">
        <v>1</v>
      </c>
      <c r="B882" t="s">
        <v>97</v>
      </c>
      <c r="C882" t="s">
        <v>161</v>
      </c>
    </row>
    <row r="883" spans="1:3" x14ac:dyDescent="0.25">
      <c r="A883" s="208">
        <v>21</v>
      </c>
      <c r="B883" t="s">
        <v>98</v>
      </c>
      <c r="C883" t="s">
        <v>161</v>
      </c>
    </row>
    <row r="884" spans="1:3" x14ac:dyDescent="0.25">
      <c r="A884" s="208">
        <v>25</v>
      </c>
      <c r="B884" t="s">
        <v>98</v>
      </c>
      <c r="C884" t="s">
        <v>161</v>
      </c>
    </row>
    <row r="885" spans="1:3" x14ac:dyDescent="0.25">
      <c r="A885" s="208">
        <v>43</v>
      </c>
      <c r="B885" t="s">
        <v>97</v>
      </c>
      <c r="C885" t="s">
        <v>161</v>
      </c>
    </row>
    <row r="886" spans="1:3" x14ac:dyDescent="0.25">
      <c r="A886" s="208">
        <v>59</v>
      </c>
      <c r="B886" t="s">
        <v>98</v>
      </c>
      <c r="C886" t="s">
        <v>161</v>
      </c>
    </row>
    <row r="887" spans="1:3" x14ac:dyDescent="0.25">
      <c r="A887" s="208">
        <v>31</v>
      </c>
      <c r="B887" t="s">
        <v>98</v>
      </c>
      <c r="C887" t="s">
        <v>161</v>
      </c>
    </row>
    <row r="888" spans="1:3" x14ac:dyDescent="0.25">
      <c r="A888" s="208">
        <v>20</v>
      </c>
      <c r="B888" t="s">
        <v>97</v>
      </c>
      <c r="C888" t="s">
        <v>161</v>
      </c>
    </row>
    <row r="889" spans="1:3" x14ac:dyDescent="0.25">
      <c r="A889" s="208">
        <v>54</v>
      </c>
      <c r="B889" t="s">
        <v>97</v>
      </c>
      <c r="C889" t="s">
        <v>161</v>
      </c>
    </row>
    <row r="890" spans="1:3" x14ac:dyDescent="0.25">
      <c r="A890" s="208">
        <v>50</v>
      </c>
      <c r="B890" t="s">
        <v>98</v>
      </c>
      <c r="C890" t="s">
        <v>161</v>
      </c>
    </row>
    <row r="891" spans="1:3" x14ac:dyDescent="0.25">
      <c r="A891" s="208">
        <v>47</v>
      </c>
      <c r="B891" t="s">
        <v>97</v>
      </c>
      <c r="C891" t="s">
        <v>161</v>
      </c>
    </row>
    <row r="892" spans="1:3" x14ac:dyDescent="0.25">
      <c r="A892" s="208">
        <v>59</v>
      </c>
      <c r="B892" t="s">
        <v>98</v>
      </c>
      <c r="C892" t="s">
        <v>161</v>
      </c>
    </row>
    <row r="893" spans="1:3" x14ac:dyDescent="0.25">
      <c r="A893" s="208">
        <v>54</v>
      </c>
      <c r="B893" t="s">
        <v>97</v>
      </c>
      <c r="C893" t="s">
        <v>161</v>
      </c>
    </row>
    <row r="894" spans="1:3" x14ac:dyDescent="0.25">
      <c r="A894" s="208">
        <v>35</v>
      </c>
      <c r="B894" t="s">
        <v>97</v>
      </c>
      <c r="C894" t="s">
        <v>161</v>
      </c>
    </row>
    <row r="895" spans="1:3" x14ac:dyDescent="0.25">
      <c r="A895" s="208">
        <v>34</v>
      </c>
      <c r="B895" t="s">
        <v>97</v>
      </c>
      <c r="C895" t="s">
        <v>161</v>
      </c>
    </row>
    <row r="896" spans="1:3" x14ac:dyDescent="0.25">
      <c r="A896" s="208">
        <v>35</v>
      </c>
      <c r="B896" t="s">
        <v>98</v>
      </c>
      <c r="C896" t="s">
        <v>161</v>
      </c>
    </row>
    <row r="897" spans="1:3" x14ac:dyDescent="0.25">
      <c r="A897" s="208">
        <v>35</v>
      </c>
      <c r="B897" t="s">
        <v>98</v>
      </c>
      <c r="C897" t="s">
        <v>161</v>
      </c>
    </row>
    <row r="898" spans="1:3" x14ac:dyDescent="0.25">
      <c r="A898" s="208">
        <v>65</v>
      </c>
      <c r="B898" t="s">
        <v>97</v>
      </c>
      <c r="C898" t="s">
        <v>161</v>
      </c>
    </row>
    <row r="899" spans="1:3" x14ac:dyDescent="0.25">
      <c r="A899" s="208">
        <v>44</v>
      </c>
      <c r="B899" t="s">
        <v>97</v>
      </c>
      <c r="C899" t="s">
        <v>161</v>
      </c>
    </row>
    <row r="900" spans="1:3" x14ac:dyDescent="0.25">
      <c r="A900" s="208">
        <v>3</v>
      </c>
      <c r="B900" t="s">
        <v>97</v>
      </c>
      <c r="C900" t="s">
        <v>161</v>
      </c>
    </row>
    <row r="901" spans="1:3" x14ac:dyDescent="0.25">
      <c r="A901" s="208">
        <v>47</v>
      </c>
      <c r="B901" t="s">
        <v>98</v>
      </c>
      <c r="C901" t="s">
        <v>161</v>
      </c>
    </row>
    <row r="902" spans="1:3" x14ac:dyDescent="0.25">
      <c r="A902" s="208">
        <v>25</v>
      </c>
      <c r="B902" t="s">
        <v>98</v>
      </c>
      <c r="C902" t="s">
        <v>161</v>
      </c>
    </row>
    <row r="903" spans="1:3" x14ac:dyDescent="0.25">
      <c r="A903" s="208">
        <v>5</v>
      </c>
      <c r="B903" t="s">
        <v>98</v>
      </c>
      <c r="C903" t="s">
        <v>161</v>
      </c>
    </row>
    <row r="904" spans="1:3" x14ac:dyDescent="0.25">
      <c r="A904" s="208">
        <v>15</v>
      </c>
      <c r="B904" t="s">
        <v>97</v>
      </c>
      <c r="C904" t="s">
        <v>161</v>
      </c>
    </row>
    <row r="905" spans="1:3" x14ac:dyDescent="0.25">
      <c r="A905" s="208">
        <v>8</v>
      </c>
      <c r="B905" t="s">
        <v>98</v>
      </c>
      <c r="C905" t="s">
        <v>161</v>
      </c>
    </row>
    <row r="906" spans="1:3" x14ac:dyDescent="0.25">
      <c r="A906" s="208">
        <v>33</v>
      </c>
      <c r="B906" t="s">
        <v>98</v>
      </c>
      <c r="C906" t="s">
        <v>161</v>
      </c>
    </row>
    <row r="907" spans="1:3" x14ac:dyDescent="0.25">
      <c r="A907" s="208">
        <v>60</v>
      </c>
      <c r="B907" t="s">
        <v>98</v>
      </c>
      <c r="C907" t="s">
        <v>161</v>
      </c>
    </row>
    <row r="908" spans="1:3" x14ac:dyDescent="0.25">
      <c r="A908" s="208">
        <v>25</v>
      </c>
      <c r="B908" t="s">
        <v>97</v>
      </c>
      <c r="C908" t="s">
        <v>161</v>
      </c>
    </row>
    <row r="909" spans="1:3" x14ac:dyDescent="0.25">
      <c r="A909" s="208">
        <v>25</v>
      </c>
      <c r="B909" t="s">
        <v>98</v>
      </c>
      <c r="C909" t="s">
        <v>161</v>
      </c>
    </row>
    <row r="910" spans="1:3" x14ac:dyDescent="0.25">
      <c r="A910" s="208">
        <v>48</v>
      </c>
      <c r="B910" t="s">
        <v>97</v>
      </c>
      <c r="C910" t="s">
        <v>161</v>
      </c>
    </row>
    <row r="911" spans="1:3" x14ac:dyDescent="0.25">
      <c r="A911" s="208">
        <v>40</v>
      </c>
      <c r="B911" t="s">
        <v>98</v>
      </c>
      <c r="C911" t="s">
        <v>161</v>
      </c>
    </row>
    <row r="912" spans="1:3" x14ac:dyDescent="0.25">
      <c r="A912" s="208">
        <v>45</v>
      </c>
      <c r="B912" t="s">
        <v>97</v>
      </c>
      <c r="C912" t="s">
        <v>161</v>
      </c>
    </row>
    <row r="913" spans="1:3" x14ac:dyDescent="0.25">
      <c r="A913" s="208">
        <v>20</v>
      </c>
      <c r="B913" t="s">
        <v>97</v>
      </c>
      <c r="C913" t="s">
        <v>161</v>
      </c>
    </row>
    <row r="914" spans="1:3" x14ac:dyDescent="0.25">
      <c r="A914" s="208">
        <v>2</v>
      </c>
      <c r="B914" t="s">
        <v>98</v>
      </c>
      <c r="C914" t="s">
        <v>161</v>
      </c>
    </row>
    <row r="915" spans="1:3" x14ac:dyDescent="0.25">
      <c r="A915" s="208">
        <v>1</v>
      </c>
      <c r="B915" t="s">
        <v>98</v>
      </c>
      <c r="C915" t="s">
        <v>161</v>
      </c>
    </row>
    <row r="916" spans="1:3" x14ac:dyDescent="0.25">
      <c r="A916" s="208">
        <v>37</v>
      </c>
      <c r="B916" t="s">
        <v>98</v>
      </c>
      <c r="C916" t="s">
        <v>161</v>
      </c>
    </row>
    <row r="917" spans="1:3" x14ac:dyDescent="0.25">
      <c r="A917" s="208">
        <v>71</v>
      </c>
      <c r="B917" t="s">
        <v>98</v>
      </c>
      <c r="C917" t="s">
        <v>161</v>
      </c>
    </row>
    <row r="918" spans="1:3" x14ac:dyDescent="0.25">
      <c r="A918" s="208">
        <v>15</v>
      </c>
      <c r="B918" t="s">
        <v>98</v>
      </c>
      <c r="C918" t="s">
        <v>161</v>
      </c>
    </row>
    <row r="919" spans="1:3" x14ac:dyDescent="0.25">
      <c r="A919" s="208">
        <v>77</v>
      </c>
      <c r="B919" t="s">
        <v>98</v>
      </c>
      <c r="C919" t="s">
        <v>161</v>
      </c>
    </row>
    <row r="920" spans="1:3" x14ac:dyDescent="0.25">
      <c r="A920" s="208">
        <v>33</v>
      </c>
      <c r="B920" t="s">
        <v>97</v>
      </c>
      <c r="C920" t="s">
        <v>161</v>
      </c>
    </row>
    <row r="921" spans="1:3" x14ac:dyDescent="0.25">
      <c r="A921" s="208">
        <v>17</v>
      </c>
      <c r="B921" t="s">
        <v>97</v>
      </c>
      <c r="C921" t="s">
        <v>161</v>
      </c>
    </row>
    <row r="922" spans="1:3" x14ac:dyDescent="0.25">
      <c r="A922" s="208">
        <v>43</v>
      </c>
      <c r="B922" t="s">
        <v>98</v>
      </c>
      <c r="C922" t="s">
        <v>161</v>
      </c>
    </row>
    <row r="923" spans="1:3" x14ac:dyDescent="0.25">
      <c r="A923" s="208">
        <v>2</v>
      </c>
      <c r="B923" t="s">
        <v>97</v>
      </c>
      <c r="C923" t="s">
        <v>161</v>
      </c>
    </row>
    <row r="924" spans="1:3" x14ac:dyDescent="0.25">
      <c r="A924" s="208">
        <v>18</v>
      </c>
      <c r="B924" t="s">
        <v>97</v>
      </c>
      <c r="C924" t="s">
        <v>161</v>
      </c>
    </row>
    <row r="925" spans="1:3" x14ac:dyDescent="0.25">
      <c r="A925" s="208">
        <v>21</v>
      </c>
      <c r="B925" t="s">
        <v>97</v>
      </c>
      <c r="C925" t="s">
        <v>161</v>
      </c>
    </row>
    <row r="926" spans="1:3" x14ac:dyDescent="0.25">
      <c r="A926" s="208">
        <v>5</v>
      </c>
      <c r="B926" t="s">
        <v>97</v>
      </c>
      <c r="C926" t="s">
        <v>161</v>
      </c>
    </row>
    <row r="927" spans="1:3" x14ac:dyDescent="0.25">
      <c r="A927" s="208">
        <v>30</v>
      </c>
      <c r="B927" t="s">
        <v>98</v>
      </c>
      <c r="C927" t="s">
        <v>161</v>
      </c>
    </row>
    <row r="928" spans="1:3" x14ac:dyDescent="0.25">
      <c r="A928" s="208">
        <v>5</v>
      </c>
      <c r="B928" t="s">
        <v>98</v>
      </c>
      <c r="C928" t="s">
        <v>161</v>
      </c>
    </row>
    <row r="929" spans="1:3" x14ac:dyDescent="0.25">
      <c r="A929" s="208">
        <v>45</v>
      </c>
      <c r="B929" t="s">
        <v>97</v>
      </c>
      <c r="C929" t="s">
        <v>161</v>
      </c>
    </row>
    <row r="930" spans="1:3" x14ac:dyDescent="0.25">
      <c r="A930" s="208">
        <v>58</v>
      </c>
      <c r="B930" t="s">
        <v>98</v>
      </c>
      <c r="C930" t="s">
        <v>161</v>
      </c>
    </row>
    <row r="931" spans="1:3" x14ac:dyDescent="0.25">
      <c r="A931" s="208">
        <v>42</v>
      </c>
      <c r="B931" t="s">
        <v>97</v>
      </c>
      <c r="C931" t="s">
        <v>161</v>
      </c>
    </row>
    <row r="932" spans="1:3" x14ac:dyDescent="0.25">
      <c r="A932" s="208">
        <v>36</v>
      </c>
      <c r="B932" t="s">
        <v>97</v>
      </c>
      <c r="C932" t="s">
        <v>161</v>
      </c>
    </row>
    <row r="933" spans="1:3" x14ac:dyDescent="0.25">
      <c r="A933" s="208">
        <v>32</v>
      </c>
      <c r="B933" t="s">
        <v>98</v>
      </c>
      <c r="C933" t="s">
        <v>161</v>
      </c>
    </row>
    <row r="934" spans="1:3" x14ac:dyDescent="0.25">
      <c r="A934" s="208">
        <v>56</v>
      </c>
      <c r="B934" t="s">
        <v>97</v>
      </c>
      <c r="C934" t="s">
        <v>161</v>
      </c>
    </row>
    <row r="935" spans="1:3" x14ac:dyDescent="0.25">
      <c r="A935" s="208">
        <v>61</v>
      </c>
      <c r="B935" t="s">
        <v>98</v>
      </c>
      <c r="C935" t="s">
        <v>161</v>
      </c>
    </row>
    <row r="936" spans="1:3" x14ac:dyDescent="0.25">
      <c r="A936" s="208">
        <v>35</v>
      </c>
      <c r="B936" t="s">
        <v>97</v>
      </c>
      <c r="C936" t="s">
        <v>161</v>
      </c>
    </row>
    <row r="937" spans="1:3" x14ac:dyDescent="0.25">
      <c r="A937" s="208">
        <v>30</v>
      </c>
      <c r="B937" t="s">
        <v>98</v>
      </c>
      <c r="C937" t="s">
        <v>161</v>
      </c>
    </row>
    <row r="938" spans="1:3" x14ac:dyDescent="0.25">
      <c r="A938" s="208">
        <v>42</v>
      </c>
      <c r="B938" t="s">
        <v>97</v>
      </c>
      <c r="C938" t="s">
        <v>161</v>
      </c>
    </row>
    <row r="939" spans="1:3" x14ac:dyDescent="0.25">
      <c r="A939" s="208">
        <v>5</v>
      </c>
      <c r="B939" t="s">
        <v>97</v>
      </c>
      <c r="C939" t="s">
        <v>161</v>
      </c>
    </row>
    <row r="940" spans="1:3" x14ac:dyDescent="0.25">
      <c r="A940" s="208">
        <v>27</v>
      </c>
      <c r="B940" t="s">
        <v>97</v>
      </c>
      <c r="C940" t="s">
        <v>161</v>
      </c>
    </row>
    <row r="941" spans="1:3" x14ac:dyDescent="0.25">
      <c r="A941" s="208">
        <v>17</v>
      </c>
      <c r="B941" t="s">
        <v>98</v>
      </c>
      <c r="C941" t="s">
        <v>161</v>
      </c>
    </row>
    <row r="942" spans="1:3" x14ac:dyDescent="0.25">
      <c r="A942" s="208">
        <v>35</v>
      </c>
      <c r="B942" t="s">
        <v>97</v>
      </c>
      <c r="C942" t="s">
        <v>161</v>
      </c>
    </row>
    <row r="943" spans="1:3" x14ac:dyDescent="0.25">
      <c r="A943" s="208">
        <v>36</v>
      </c>
      <c r="B943" t="s">
        <v>97</v>
      </c>
      <c r="C943" t="s">
        <v>161</v>
      </c>
    </row>
    <row r="944" spans="1:3" x14ac:dyDescent="0.25">
      <c r="A944" s="208">
        <v>25</v>
      </c>
      <c r="B944" t="s">
        <v>98</v>
      </c>
      <c r="C944" t="s">
        <v>161</v>
      </c>
    </row>
    <row r="945" spans="1:3" x14ac:dyDescent="0.25">
      <c r="A945" s="208">
        <v>25</v>
      </c>
      <c r="B945" t="s">
        <v>97</v>
      </c>
      <c r="C945" t="s">
        <v>161</v>
      </c>
    </row>
    <row r="946" spans="1:3" x14ac:dyDescent="0.25">
      <c r="A946" s="208">
        <v>49</v>
      </c>
      <c r="B946" t="s">
        <v>98</v>
      </c>
      <c r="C946" t="s">
        <v>161</v>
      </c>
    </row>
    <row r="947" spans="1:3" x14ac:dyDescent="0.25">
      <c r="A947" s="208">
        <v>54</v>
      </c>
      <c r="B947" t="s">
        <v>97</v>
      </c>
      <c r="C947" t="s">
        <v>161</v>
      </c>
    </row>
    <row r="948" spans="1:3" x14ac:dyDescent="0.25">
      <c r="A948" s="208">
        <v>36</v>
      </c>
      <c r="B948" t="s">
        <v>98</v>
      </c>
      <c r="C948" t="s">
        <v>161</v>
      </c>
    </row>
    <row r="949" spans="1:3" x14ac:dyDescent="0.25">
      <c r="A949" s="208">
        <v>36</v>
      </c>
      <c r="B949" t="s">
        <v>98</v>
      </c>
      <c r="C949" t="s">
        <v>161</v>
      </c>
    </row>
    <row r="950" spans="1:3" x14ac:dyDescent="0.25">
      <c r="A950" s="208">
        <v>70</v>
      </c>
      <c r="B950" t="s">
        <v>98</v>
      </c>
      <c r="C950" t="s">
        <v>161</v>
      </c>
    </row>
    <row r="951" spans="1:3" x14ac:dyDescent="0.25">
      <c r="A951" s="208">
        <v>20</v>
      </c>
      <c r="B951" t="s">
        <v>98</v>
      </c>
      <c r="C951" t="s">
        <v>161</v>
      </c>
    </row>
    <row r="952" spans="1:3" x14ac:dyDescent="0.25">
      <c r="A952" s="208">
        <v>45</v>
      </c>
      <c r="B952" t="s">
        <v>98</v>
      </c>
      <c r="C952" t="s">
        <v>161</v>
      </c>
    </row>
    <row r="953" spans="1:3" x14ac:dyDescent="0.25">
      <c r="A953" s="208">
        <v>51</v>
      </c>
      <c r="B953" t="s">
        <v>98</v>
      </c>
      <c r="C953" t="s">
        <v>161</v>
      </c>
    </row>
    <row r="954" spans="1:3" x14ac:dyDescent="0.25">
      <c r="A954" s="208">
        <v>40</v>
      </c>
      <c r="B954" t="s">
        <v>98</v>
      </c>
      <c r="C954" t="s">
        <v>161</v>
      </c>
    </row>
    <row r="955" spans="1:3" x14ac:dyDescent="0.25">
      <c r="A955" s="208">
        <v>57</v>
      </c>
      <c r="B955" t="s">
        <v>97</v>
      </c>
      <c r="C955" t="s">
        <v>161</v>
      </c>
    </row>
    <row r="956" spans="1:3" x14ac:dyDescent="0.25">
      <c r="A956" s="208">
        <v>48</v>
      </c>
      <c r="B956" t="s">
        <v>97</v>
      </c>
      <c r="C956" t="s">
        <v>161</v>
      </c>
    </row>
    <row r="957" spans="1:3" x14ac:dyDescent="0.25">
      <c r="A957" s="208">
        <v>19</v>
      </c>
      <c r="B957" t="s">
        <v>97</v>
      </c>
      <c r="C957" t="s">
        <v>161</v>
      </c>
    </row>
    <row r="958" spans="1:3" x14ac:dyDescent="0.25">
      <c r="A958" s="208">
        <v>40</v>
      </c>
      <c r="B958" t="s">
        <v>98</v>
      </c>
      <c r="C958" t="s">
        <v>161</v>
      </c>
    </row>
    <row r="959" spans="1:3" x14ac:dyDescent="0.25">
      <c r="A959" s="208">
        <v>55</v>
      </c>
      <c r="B959" t="s">
        <v>97</v>
      </c>
      <c r="C959" t="s">
        <v>161</v>
      </c>
    </row>
    <row r="960" spans="1:3" x14ac:dyDescent="0.25">
      <c r="A960" s="208">
        <v>44</v>
      </c>
      <c r="B960" t="s">
        <v>97</v>
      </c>
      <c r="C960" t="s">
        <v>161</v>
      </c>
    </row>
    <row r="961" spans="1:3" x14ac:dyDescent="0.25">
      <c r="A961" s="208">
        <v>72</v>
      </c>
      <c r="B961" t="s">
        <v>97</v>
      </c>
      <c r="C961" t="s">
        <v>161</v>
      </c>
    </row>
    <row r="962" spans="1:3" x14ac:dyDescent="0.25">
      <c r="A962" s="208">
        <v>63</v>
      </c>
      <c r="B962" t="s">
        <v>97</v>
      </c>
      <c r="C962" t="s">
        <v>161</v>
      </c>
    </row>
    <row r="963" spans="1:3" x14ac:dyDescent="0.25">
      <c r="A963" s="208">
        <v>1</v>
      </c>
      <c r="B963" t="s">
        <v>98</v>
      </c>
      <c r="C963" t="s">
        <v>161</v>
      </c>
    </row>
  </sheetData>
  <mergeCells count="1">
    <mergeCell ref="F1:H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theme="5"/>
  </sheetPr>
  <dimension ref="A1:AU1828"/>
  <sheetViews>
    <sheetView topLeftCell="AE1" zoomScale="85" zoomScaleNormal="85" workbookViewId="0">
      <pane ySplit="1" topLeftCell="A2" activePane="bottomLeft" state="frozen"/>
      <selection pane="bottomLeft" activeCell="AS3" sqref="AS3"/>
    </sheetView>
  </sheetViews>
  <sheetFormatPr defaultRowHeight="15" x14ac:dyDescent="0.25"/>
  <cols>
    <col min="5" max="5" width="9.140625" style="72"/>
    <col min="9" max="9" width="9.140625" style="171"/>
    <col min="12" max="12" width="8.42578125" customWidth="1"/>
    <col min="13" max="15" width="9.140625" style="171"/>
    <col min="17" max="19" width="9.140625" style="171"/>
    <col min="21" max="23" width="9.140625" style="171"/>
    <col min="25" max="27" width="9.140625" style="171"/>
    <col min="29" max="29" width="10.85546875" bestFit="1" customWidth="1"/>
    <col min="34" max="34" width="11.7109375" customWidth="1"/>
    <col min="35" max="35" width="8.85546875" bestFit="1" customWidth="1"/>
    <col min="36" max="36" width="13.7109375" customWidth="1"/>
    <col min="41" max="41" width="8.85546875" style="171"/>
    <col min="42" max="42" width="11.140625" style="312" bestFit="1" customWidth="1"/>
  </cols>
  <sheetData>
    <row r="1" spans="1:47" x14ac:dyDescent="0.25">
      <c r="A1">
        <v>2025</v>
      </c>
      <c r="B1" t="s">
        <v>203</v>
      </c>
      <c r="E1" s="72">
        <v>2025</v>
      </c>
      <c r="F1" t="s">
        <v>198</v>
      </c>
      <c r="I1" s="171">
        <v>2025</v>
      </c>
      <c r="J1" t="s">
        <v>42</v>
      </c>
      <c r="M1" s="171">
        <v>2025</v>
      </c>
      <c r="N1" s="171" t="s">
        <v>50</v>
      </c>
      <c r="Q1" s="171">
        <v>2025</v>
      </c>
      <c r="R1" s="171" t="s">
        <v>58</v>
      </c>
      <c r="U1" s="171">
        <v>2025</v>
      </c>
      <c r="V1" s="171" t="s">
        <v>60</v>
      </c>
      <c r="Y1" s="635" t="s">
        <v>1095</v>
      </c>
      <c r="Z1" s="635"/>
      <c r="AA1" s="635"/>
      <c r="AC1">
        <v>2025</v>
      </c>
      <c r="AD1" t="s">
        <v>62</v>
      </c>
      <c r="AG1">
        <v>2025</v>
      </c>
      <c r="AH1" t="s">
        <v>63</v>
      </c>
      <c r="AK1">
        <v>2025</v>
      </c>
      <c r="AL1" t="s">
        <v>64</v>
      </c>
      <c r="AO1" s="634">
        <v>45962</v>
      </c>
      <c r="AP1" s="635"/>
      <c r="AQ1" s="635"/>
      <c r="AS1" s="634">
        <v>45992</v>
      </c>
      <c r="AT1" s="635"/>
      <c r="AU1" s="635"/>
    </row>
    <row r="2" spans="1:47" x14ac:dyDescent="0.25">
      <c r="A2" t="s">
        <v>73</v>
      </c>
      <c r="B2" t="s">
        <v>72</v>
      </c>
      <c r="C2" t="s">
        <v>204</v>
      </c>
      <c r="E2" s="72" t="s">
        <v>73</v>
      </c>
      <c r="F2" t="s">
        <v>72</v>
      </c>
      <c r="G2" t="s">
        <v>18</v>
      </c>
      <c r="I2" s="171" t="s">
        <v>73</v>
      </c>
      <c r="J2" t="s">
        <v>72</v>
      </c>
      <c r="K2" t="s">
        <v>18</v>
      </c>
      <c r="M2" s="171" t="s">
        <v>73</v>
      </c>
      <c r="N2" s="171" t="s">
        <v>72</v>
      </c>
      <c r="O2" s="171" t="s">
        <v>18</v>
      </c>
      <c r="Q2" s="171" t="s">
        <v>73</v>
      </c>
      <c r="R2" s="171" t="s">
        <v>72</v>
      </c>
      <c r="S2" s="171" t="s">
        <v>18</v>
      </c>
      <c r="U2" s="171" t="s">
        <v>73</v>
      </c>
      <c r="V2" s="171" t="s">
        <v>72</v>
      </c>
      <c r="W2" s="171" t="s">
        <v>18</v>
      </c>
      <c r="Y2" s="171" t="s">
        <v>103</v>
      </c>
      <c r="Z2" s="171" t="s">
        <v>104</v>
      </c>
      <c r="AA2" s="171" t="s">
        <v>20</v>
      </c>
      <c r="AC2" t="s">
        <v>103</v>
      </c>
      <c r="AD2" t="s">
        <v>104</v>
      </c>
      <c r="AE2" t="s">
        <v>20</v>
      </c>
      <c r="AG2" t="s">
        <v>103</v>
      </c>
      <c r="AH2" t="s">
        <v>104</v>
      </c>
      <c r="AI2" t="s">
        <v>20</v>
      </c>
      <c r="AK2" s="171" t="s">
        <v>73</v>
      </c>
      <c r="AL2" s="171" t="s">
        <v>72</v>
      </c>
      <c r="AM2" s="171" t="s">
        <v>18</v>
      </c>
      <c r="AO2" s="171" t="s">
        <v>73</v>
      </c>
      <c r="AP2" s="544" t="s">
        <v>72</v>
      </c>
      <c r="AQ2" s="171" t="s">
        <v>18</v>
      </c>
      <c r="AS2" s="171" t="s">
        <v>73</v>
      </c>
      <c r="AT2" s="171" t="s">
        <v>72</v>
      </c>
      <c r="AU2" s="171" t="s">
        <v>18</v>
      </c>
    </row>
    <row r="3" spans="1:47" ht="15" customHeight="1" x14ac:dyDescent="0.25">
      <c r="A3">
        <v>2</v>
      </c>
      <c r="B3" t="s">
        <v>97</v>
      </c>
      <c r="C3" t="s">
        <v>688</v>
      </c>
      <c r="E3" s="72" t="s">
        <v>693</v>
      </c>
      <c r="F3" t="s">
        <v>97</v>
      </c>
      <c r="G3" t="s">
        <v>134</v>
      </c>
      <c r="I3" s="171">
        <v>50</v>
      </c>
      <c r="J3" s="171" t="s">
        <v>98</v>
      </c>
      <c r="K3" s="171" t="s">
        <v>688</v>
      </c>
      <c r="M3" s="171">
        <v>74</v>
      </c>
      <c r="N3" s="171" t="s">
        <v>97</v>
      </c>
      <c r="O3" s="171" t="s">
        <v>122</v>
      </c>
      <c r="Q3" s="396">
        <v>41</v>
      </c>
      <c r="R3" s="171" t="s">
        <v>97</v>
      </c>
      <c r="S3" s="398" t="s">
        <v>122</v>
      </c>
      <c r="U3" s="423">
        <v>36</v>
      </c>
      <c r="V3" s="171" t="s">
        <v>97</v>
      </c>
      <c r="W3" s="171" t="s">
        <v>688</v>
      </c>
      <c r="Y3" s="171">
        <v>13</v>
      </c>
      <c r="Z3" s="171" t="s">
        <v>97</v>
      </c>
      <c r="AA3" s="171" t="s">
        <v>122</v>
      </c>
      <c r="AC3" s="505">
        <v>18</v>
      </c>
      <c r="AD3" s="505" t="s">
        <v>97</v>
      </c>
      <c r="AE3" s="505" t="s">
        <v>122</v>
      </c>
      <c r="AG3" s="171">
        <v>72</v>
      </c>
      <c r="AH3" s="171" t="s">
        <v>97</v>
      </c>
      <c r="AI3" s="171" t="s">
        <v>122</v>
      </c>
      <c r="AK3" s="299">
        <v>67</v>
      </c>
      <c r="AL3" s="299" t="s">
        <v>82</v>
      </c>
      <c r="AM3" s="299" t="s">
        <v>105</v>
      </c>
      <c r="AO3" s="299">
        <v>18</v>
      </c>
      <c r="AP3" s="299" t="s">
        <v>82</v>
      </c>
      <c r="AQ3" s="299" t="s">
        <v>122</v>
      </c>
    </row>
    <row r="4" spans="1:47" ht="15" customHeight="1" x14ac:dyDescent="0.25">
      <c r="A4">
        <v>2</v>
      </c>
      <c r="B4" t="s">
        <v>97</v>
      </c>
      <c r="C4" t="s">
        <v>688</v>
      </c>
      <c r="E4" s="72" t="s">
        <v>693</v>
      </c>
      <c r="F4" t="s">
        <v>97</v>
      </c>
      <c r="G4" t="s">
        <v>134</v>
      </c>
      <c r="I4" s="171">
        <v>3</v>
      </c>
      <c r="J4" s="171" t="s">
        <v>97</v>
      </c>
      <c r="K4" s="171" t="s">
        <v>688</v>
      </c>
      <c r="M4" s="171">
        <v>17</v>
      </c>
      <c r="N4" s="171" t="s">
        <v>97</v>
      </c>
      <c r="O4" s="171" t="s">
        <v>122</v>
      </c>
      <c r="Q4" s="399">
        <v>20</v>
      </c>
      <c r="R4" s="171" t="s">
        <v>97</v>
      </c>
      <c r="S4" s="398" t="s">
        <v>122</v>
      </c>
      <c r="U4" s="423">
        <v>7</v>
      </c>
      <c r="V4" s="171" t="s">
        <v>98</v>
      </c>
      <c r="W4" s="171" t="s">
        <v>688</v>
      </c>
      <c r="Y4" s="171">
        <v>50</v>
      </c>
      <c r="Z4" s="171" t="s">
        <v>97</v>
      </c>
      <c r="AA4" s="171" t="s">
        <v>122</v>
      </c>
      <c r="AC4" s="505">
        <v>74</v>
      </c>
      <c r="AD4" s="505" t="s">
        <v>97</v>
      </c>
      <c r="AE4" s="505" t="s">
        <v>122</v>
      </c>
      <c r="AG4" s="171">
        <v>16</v>
      </c>
      <c r="AH4" s="171" t="s">
        <v>97</v>
      </c>
      <c r="AI4" s="171" t="s">
        <v>122</v>
      </c>
      <c r="AK4" s="299">
        <v>61</v>
      </c>
      <c r="AL4" s="299" t="s">
        <v>82</v>
      </c>
      <c r="AM4" s="299" t="s">
        <v>105</v>
      </c>
      <c r="AO4" s="299">
        <v>22</v>
      </c>
      <c r="AP4" s="299" t="s">
        <v>82</v>
      </c>
      <c r="AQ4" s="299" t="s">
        <v>122</v>
      </c>
    </row>
    <row r="5" spans="1:47" ht="15" customHeight="1" x14ac:dyDescent="0.25">
      <c r="A5">
        <v>3</v>
      </c>
      <c r="B5" t="s">
        <v>97</v>
      </c>
      <c r="C5" t="s">
        <v>688</v>
      </c>
      <c r="E5" s="72" t="s">
        <v>691</v>
      </c>
      <c r="F5" t="s">
        <v>98</v>
      </c>
      <c r="G5" t="s">
        <v>134</v>
      </c>
      <c r="I5" s="171">
        <v>23</v>
      </c>
      <c r="J5" s="171" t="s">
        <v>97</v>
      </c>
      <c r="K5" s="171" t="s">
        <v>688</v>
      </c>
      <c r="M5" s="171">
        <v>65</v>
      </c>
      <c r="N5" s="171" t="s">
        <v>97</v>
      </c>
      <c r="O5" s="171" t="s">
        <v>122</v>
      </c>
      <c r="Q5" s="399">
        <v>16</v>
      </c>
      <c r="R5" s="171" t="s">
        <v>97</v>
      </c>
      <c r="S5" s="398" t="s">
        <v>122</v>
      </c>
      <c r="U5" s="423">
        <v>64</v>
      </c>
      <c r="V5" s="171" t="s">
        <v>98</v>
      </c>
      <c r="W5" s="171" t="s">
        <v>688</v>
      </c>
      <c r="Y5" s="171">
        <v>62</v>
      </c>
      <c r="Z5" s="171" t="s">
        <v>97</v>
      </c>
      <c r="AA5" s="171" t="s">
        <v>122</v>
      </c>
      <c r="AC5" s="505">
        <v>20</v>
      </c>
      <c r="AD5" s="505" t="s">
        <v>97</v>
      </c>
      <c r="AE5" s="505" t="s">
        <v>122</v>
      </c>
      <c r="AG5" s="171">
        <v>16</v>
      </c>
      <c r="AH5" s="171" t="s">
        <v>97</v>
      </c>
      <c r="AI5" s="171" t="s">
        <v>122</v>
      </c>
      <c r="AK5" s="299">
        <v>83</v>
      </c>
      <c r="AL5" s="299" t="s">
        <v>82</v>
      </c>
      <c r="AM5" s="299" t="s">
        <v>105</v>
      </c>
      <c r="AO5" s="299">
        <v>18</v>
      </c>
      <c r="AP5" s="299" t="s">
        <v>82</v>
      </c>
      <c r="AQ5" s="299" t="s">
        <v>122</v>
      </c>
    </row>
    <row r="6" spans="1:47" ht="15" customHeight="1" x14ac:dyDescent="0.25">
      <c r="A6">
        <v>15</v>
      </c>
      <c r="B6" t="s">
        <v>98</v>
      </c>
      <c r="C6" t="s">
        <v>688</v>
      </c>
      <c r="E6" s="72" t="s">
        <v>691</v>
      </c>
      <c r="F6" t="s">
        <v>97</v>
      </c>
      <c r="G6" t="s">
        <v>134</v>
      </c>
      <c r="I6" s="171">
        <v>17</v>
      </c>
      <c r="J6" s="171" t="s">
        <v>98</v>
      </c>
      <c r="K6" s="171" t="s">
        <v>688</v>
      </c>
      <c r="M6" s="171">
        <v>61</v>
      </c>
      <c r="N6" s="171" t="s">
        <v>97</v>
      </c>
      <c r="O6" s="171" t="s">
        <v>122</v>
      </c>
      <c r="Q6" s="399">
        <v>16</v>
      </c>
      <c r="R6" s="171" t="s">
        <v>97</v>
      </c>
      <c r="S6" s="398" t="s">
        <v>122</v>
      </c>
      <c r="U6" s="423">
        <v>29</v>
      </c>
      <c r="V6" s="171" t="s">
        <v>97</v>
      </c>
      <c r="W6" s="171" t="s">
        <v>688</v>
      </c>
      <c r="Y6" s="171">
        <v>40</v>
      </c>
      <c r="Z6" s="171" t="s">
        <v>97</v>
      </c>
      <c r="AA6" s="171" t="s">
        <v>122</v>
      </c>
      <c r="AC6" s="505">
        <v>30</v>
      </c>
      <c r="AD6" s="505" t="s">
        <v>97</v>
      </c>
      <c r="AE6" s="505" t="s">
        <v>122</v>
      </c>
      <c r="AG6" s="171">
        <v>37</v>
      </c>
      <c r="AH6" s="171" t="s">
        <v>97</v>
      </c>
      <c r="AI6" s="171" t="s">
        <v>122</v>
      </c>
      <c r="AK6" s="299">
        <v>74</v>
      </c>
      <c r="AL6" s="299" t="s">
        <v>82</v>
      </c>
      <c r="AM6" s="299" t="s">
        <v>105</v>
      </c>
      <c r="AO6" s="299">
        <v>48</v>
      </c>
      <c r="AP6" s="299" t="s">
        <v>82</v>
      </c>
      <c r="AQ6" s="299" t="s">
        <v>122</v>
      </c>
    </row>
    <row r="7" spans="1:47" ht="15" customHeight="1" x14ac:dyDescent="0.25">
      <c r="A7">
        <v>19</v>
      </c>
      <c r="B7" t="s">
        <v>98</v>
      </c>
      <c r="C7" t="s">
        <v>688</v>
      </c>
      <c r="E7" s="72" t="s">
        <v>697</v>
      </c>
      <c r="F7" t="s">
        <v>97</v>
      </c>
      <c r="G7" t="s">
        <v>79</v>
      </c>
      <c r="I7" s="171">
        <v>44</v>
      </c>
      <c r="J7" s="171" t="s">
        <v>97</v>
      </c>
      <c r="K7" s="171" t="s">
        <v>688</v>
      </c>
      <c r="M7" s="171">
        <v>57</v>
      </c>
      <c r="N7" s="171" t="s">
        <v>97</v>
      </c>
      <c r="O7" s="171" t="s">
        <v>122</v>
      </c>
      <c r="Q7" s="399">
        <v>49</v>
      </c>
      <c r="R7" s="171" t="s">
        <v>97</v>
      </c>
      <c r="S7" s="398" t="s">
        <v>122</v>
      </c>
      <c r="U7" s="423">
        <v>65</v>
      </c>
      <c r="V7" s="171" t="s">
        <v>97</v>
      </c>
      <c r="W7" s="171" t="s">
        <v>688</v>
      </c>
      <c r="Y7" s="171">
        <v>70</v>
      </c>
      <c r="Z7" s="171" t="s">
        <v>97</v>
      </c>
      <c r="AA7" s="171" t="s">
        <v>122</v>
      </c>
      <c r="AC7" s="505">
        <v>19</v>
      </c>
      <c r="AD7" s="505" t="s">
        <v>97</v>
      </c>
      <c r="AE7" s="505" t="s">
        <v>122</v>
      </c>
      <c r="AG7" s="171">
        <v>17</v>
      </c>
      <c r="AH7" s="171" t="s">
        <v>97</v>
      </c>
      <c r="AI7" s="171" t="s">
        <v>122</v>
      </c>
      <c r="AK7" s="299">
        <v>17</v>
      </c>
      <c r="AL7" s="299" t="s">
        <v>82</v>
      </c>
      <c r="AM7" s="299" t="s">
        <v>105</v>
      </c>
      <c r="AO7" s="299">
        <v>95</v>
      </c>
      <c r="AP7" s="299" t="s">
        <v>82</v>
      </c>
      <c r="AQ7" s="299" t="s">
        <v>122</v>
      </c>
    </row>
    <row r="8" spans="1:47" ht="15" customHeight="1" x14ac:dyDescent="0.25">
      <c r="A8">
        <v>20</v>
      </c>
      <c r="B8" t="s">
        <v>98</v>
      </c>
      <c r="C8" t="s">
        <v>688</v>
      </c>
      <c r="E8" s="72" t="s">
        <v>697</v>
      </c>
      <c r="F8" t="s">
        <v>98</v>
      </c>
      <c r="G8" t="s">
        <v>79</v>
      </c>
      <c r="I8" s="171">
        <v>69</v>
      </c>
      <c r="J8" s="171" t="s">
        <v>98</v>
      </c>
      <c r="K8" s="171" t="s">
        <v>688</v>
      </c>
      <c r="M8" s="171">
        <v>25</v>
      </c>
      <c r="N8" s="171" t="s">
        <v>97</v>
      </c>
      <c r="O8" s="171" t="s">
        <v>122</v>
      </c>
      <c r="Q8" s="399">
        <v>39</v>
      </c>
      <c r="R8" s="171" t="s">
        <v>97</v>
      </c>
      <c r="S8" s="398" t="s">
        <v>122</v>
      </c>
      <c r="U8" s="423">
        <v>10</v>
      </c>
      <c r="V8" s="171" t="s">
        <v>98</v>
      </c>
      <c r="W8" s="171" t="s">
        <v>688</v>
      </c>
      <c r="Y8" s="171">
        <v>17</v>
      </c>
      <c r="Z8" s="171" t="s">
        <v>97</v>
      </c>
      <c r="AA8" s="171" t="s">
        <v>122</v>
      </c>
      <c r="AC8" s="505">
        <v>18</v>
      </c>
      <c r="AD8" s="505" t="s">
        <v>97</v>
      </c>
      <c r="AE8" s="505" t="s">
        <v>122</v>
      </c>
      <c r="AG8" s="171">
        <v>50</v>
      </c>
      <c r="AH8" s="171" t="s">
        <v>97</v>
      </c>
      <c r="AI8" s="171" t="s">
        <v>122</v>
      </c>
      <c r="AK8" s="299">
        <v>70</v>
      </c>
      <c r="AL8" s="299" t="s">
        <v>82</v>
      </c>
      <c r="AM8" s="299" t="s">
        <v>105</v>
      </c>
      <c r="AO8" s="299">
        <v>62</v>
      </c>
      <c r="AP8" s="299" t="s">
        <v>82</v>
      </c>
      <c r="AQ8" s="299" t="s">
        <v>122</v>
      </c>
    </row>
    <row r="9" spans="1:47" ht="15" customHeight="1" x14ac:dyDescent="0.25">
      <c r="A9">
        <v>3</v>
      </c>
      <c r="B9" t="s">
        <v>97</v>
      </c>
      <c r="C9" t="s">
        <v>688</v>
      </c>
      <c r="E9" s="72" t="s">
        <v>697</v>
      </c>
      <c r="F9" t="s">
        <v>98</v>
      </c>
      <c r="G9" t="s">
        <v>79</v>
      </c>
      <c r="I9" s="171">
        <v>2</v>
      </c>
      <c r="J9" s="171" t="s">
        <v>98</v>
      </c>
      <c r="K9" s="171" t="s">
        <v>688</v>
      </c>
      <c r="M9" s="171">
        <v>73</v>
      </c>
      <c r="N9" s="171" t="s">
        <v>97</v>
      </c>
      <c r="O9" s="171" t="s">
        <v>122</v>
      </c>
      <c r="Q9" s="399">
        <v>18</v>
      </c>
      <c r="R9" s="171" t="s">
        <v>97</v>
      </c>
      <c r="S9" s="398" t="s">
        <v>122</v>
      </c>
      <c r="U9" s="423">
        <v>39</v>
      </c>
      <c r="V9" s="171" t="s">
        <v>98</v>
      </c>
      <c r="W9" s="171" t="s">
        <v>688</v>
      </c>
      <c r="Y9" s="171">
        <v>16</v>
      </c>
      <c r="Z9" s="171" t="s">
        <v>97</v>
      </c>
      <c r="AA9" s="171" t="s">
        <v>122</v>
      </c>
      <c r="AC9" s="505">
        <v>15</v>
      </c>
      <c r="AD9" s="505" t="s">
        <v>97</v>
      </c>
      <c r="AE9" s="505" t="s">
        <v>122</v>
      </c>
      <c r="AG9" s="171">
        <v>54</v>
      </c>
      <c r="AH9" s="171" t="s">
        <v>97</v>
      </c>
      <c r="AI9" s="171" t="s">
        <v>122</v>
      </c>
      <c r="AK9" s="299">
        <v>73</v>
      </c>
      <c r="AL9" s="299" t="s">
        <v>82</v>
      </c>
      <c r="AM9" s="299" t="s">
        <v>105</v>
      </c>
      <c r="AO9" s="299">
        <v>20</v>
      </c>
      <c r="AP9" s="299" t="s">
        <v>82</v>
      </c>
      <c r="AQ9" s="299" t="s">
        <v>122</v>
      </c>
    </row>
    <row r="10" spans="1:47" ht="15" customHeight="1" x14ac:dyDescent="0.25">
      <c r="A10">
        <v>4</v>
      </c>
      <c r="B10" t="s">
        <v>97</v>
      </c>
      <c r="C10" t="s">
        <v>688</v>
      </c>
      <c r="E10" s="72" t="s">
        <v>712</v>
      </c>
      <c r="F10" t="s">
        <v>97</v>
      </c>
      <c r="G10" t="s">
        <v>79</v>
      </c>
      <c r="I10" s="171">
        <v>23</v>
      </c>
      <c r="J10" s="171" t="s">
        <v>97</v>
      </c>
      <c r="K10" s="171" t="s">
        <v>688</v>
      </c>
      <c r="M10" s="171">
        <v>92</v>
      </c>
      <c r="N10" s="171" t="s">
        <v>97</v>
      </c>
      <c r="O10" s="171" t="s">
        <v>122</v>
      </c>
      <c r="Q10" s="399">
        <v>40</v>
      </c>
      <c r="R10" s="171" t="s">
        <v>97</v>
      </c>
      <c r="S10" s="398" t="s">
        <v>122</v>
      </c>
      <c r="U10" s="423">
        <v>65</v>
      </c>
      <c r="V10" s="171" t="s">
        <v>97</v>
      </c>
      <c r="W10" s="171" t="s">
        <v>688</v>
      </c>
      <c r="Y10" s="171">
        <v>48</v>
      </c>
      <c r="Z10" s="171" t="s">
        <v>97</v>
      </c>
      <c r="AA10" s="171" t="s">
        <v>122</v>
      </c>
      <c r="AC10" s="505">
        <v>19</v>
      </c>
      <c r="AD10" s="505" t="s">
        <v>97</v>
      </c>
      <c r="AE10" s="505" t="s">
        <v>122</v>
      </c>
      <c r="AG10" s="171">
        <v>34</v>
      </c>
      <c r="AH10" s="171" t="s">
        <v>97</v>
      </c>
      <c r="AI10" s="171" t="s">
        <v>122</v>
      </c>
      <c r="AK10" s="299">
        <v>62</v>
      </c>
      <c r="AL10" s="299" t="s">
        <v>82</v>
      </c>
      <c r="AM10" s="299" t="s">
        <v>105</v>
      </c>
      <c r="AO10" s="299">
        <v>56</v>
      </c>
      <c r="AP10" s="299" t="s">
        <v>82</v>
      </c>
      <c r="AQ10" s="299" t="s">
        <v>122</v>
      </c>
    </row>
    <row r="11" spans="1:47" ht="15" customHeight="1" x14ac:dyDescent="0.25">
      <c r="A11">
        <v>7</v>
      </c>
      <c r="B11" t="s">
        <v>97</v>
      </c>
      <c r="C11" t="s">
        <v>688</v>
      </c>
      <c r="E11" s="72" t="s">
        <v>712</v>
      </c>
      <c r="F11" t="s">
        <v>97</v>
      </c>
      <c r="G11" t="s">
        <v>79</v>
      </c>
      <c r="I11" s="171">
        <v>42</v>
      </c>
      <c r="J11" s="171" t="s">
        <v>98</v>
      </c>
      <c r="K11" s="171" t="s">
        <v>688</v>
      </c>
      <c r="M11" s="171">
        <v>30</v>
      </c>
      <c r="N11" s="171" t="s">
        <v>97</v>
      </c>
      <c r="O11" s="171" t="s">
        <v>122</v>
      </c>
      <c r="Q11" s="399">
        <v>30</v>
      </c>
      <c r="R11" s="171" t="s">
        <v>97</v>
      </c>
      <c r="S11" s="398" t="s">
        <v>122</v>
      </c>
      <c r="U11" s="423">
        <v>61</v>
      </c>
      <c r="V11" s="171" t="s">
        <v>98</v>
      </c>
      <c r="W11" s="171" t="s">
        <v>688</v>
      </c>
      <c r="Y11" s="171">
        <v>83</v>
      </c>
      <c r="Z11" s="171" t="s">
        <v>97</v>
      </c>
      <c r="AA11" s="171" t="s">
        <v>122</v>
      </c>
      <c r="AC11" s="505">
        <v>74</v>
      </c>
      <c r="AD11" s="505" t="s">
        <v>97</v>
      </c>
      <c r="AE11" s="505" t="s">
        <v>122</v>
      </c>
      <c r="AG11" s="171">
        <v>33</v>
      </c>
      <c r="AH11" s="171" t="s">
        <v>97</v>
      </c>
      <c r="AI11" s="171" t="s">
        <v>122</v>
      </c>
      <c r="AK11" s="299">
        <v>40</v>
      </c>
      <c r="AL11" s="299" t="s">
        <v>82</v>
      </c>
      <c r="AM11" s="299" t="s">
        <v>105</v>
      </c>
      <c r="AO11" s="299">
        <v>54</v>
      </c>
      <c r="AP11" s="299" t="s">
        <v>82</v>
      </c>
      <c r="AQ11" s="299" t="s">
        <v>122</v>
      </c>
    </row>
    <row r="12" spans="1:47" ht="15" customHeight="1" x14ac:dyDescent="0.25">
      <c r="A12">
        <v>13</v>
      </c>
      <c r="B12" t="s">
        <v>97</v>
      </c>
      <c r="C12" t="s">
        <v>688</v>
      </c>
      <c r="E12" s="72" t="s">
        <v>712</v>
      </c>
      <c r="F12" t="s">
        <v>97</v>
      </c>
      <c r="G12" t="s">
        <v>79</v>
      </c>
      <c r="I12" s="171">
        <v>19</v>
      </c>
      <c r="J12" s="171" t="s">
        <v>97</v>
      </c>
      <c r="K12" s="171" t="s">
        <v>688</v>
      </c>
      <c r="M12" s="171">
        <v>58</v>
      </c>
      <c r="N12" s="171" t="s">
        <v>97</v>
      </c>
      <c r="O12" s="171" t="s">
        <v>122</v>
      </c>
      <c r="Q12" s="399">
        <v>62</v>
      </c>
      <c r="R12" s="171" t="s">
        <v>97</v>
      </c>
      <c r="S12" s="398" t="s">
        <v>122</v>
      </c>
      <c r="U12" s="423">
        <v>41</v>
      </c>
      <c r="V12" s="171" t="s">
        <v>97</v>
      </c>
      <c r="W12" s="171" t="s">
        <v>688</v>
      </c>
      <c r="Y12" s="171">
        <v>49</v>
      </c>
      <c r="Z12" s="171" t="s">
        <v>97</v>
      </c>
      <c r="AA12" s="171" t="s">
        <v>122</v>
      </c>
      <c r="AC12" s="505">
        <v>24</v>
      </c>
      <c r="AD12" s="505" t="s">
        <v>97</v>
      </c>
      <c r="AE12" s="505" t="s">
        <v>122</v>
      </c>
      <c r="AG12" s="171">
        <v>13</v>
      </c>
      <c r="AH12" s="171" t="s">
        <v>97</v>
      </c>
      <c r="AI12" s="171" t="s">
        <v>122</v>
      </c>
      <c r="AK12" s="299">
        <v>23</v>
      </c>
      <c r="AL12" s="299" t="s">
        <v>82</v>
      </c>
      <c r="AM12" s="299" t="s">
        <v>105</v>
      </c>
      <c r="AO12" s="299">
        <v>49</v>
      </c>
      <c r="AP12" s="299" t="s">
        <v>82</v>
      </c>
      <c r="AQ12" s="299" t="s">
        <v>122</v>
      </c>
    </row>
    <row r="13" spans="1:47" ht="15" customHeight="1" x14ac:dyDescent="0.25">
      <c r="A13">
        <v>21</v>
      </c>
      <c r="B13" t="s">
        <v>98</v>
      </c>
      <c r="C13" t="s">
        <v>688</v>
      </c>
      <c r="E13" s="72" t="s">
        <v>689</v>
      </c>
      <c r="F13" t="s">
        <v>97</v>
      </c>
      <c r="G13" t="s">
        <v>134</v>
      </c>
      <c r="I13" s="171">
        <v>56</v>
      </c>
      <c r="J13" s="171" t="s">
        <v>97</v>
      </c>
      <c r="K13" s="171" t="s">
        <v>688</v>
      </c>
      <c r="M13" s="171">
        <v>77</v>
      </c>
      <c r="N13" s="171" t="s">
        <v>97</v>
      </c>
      <c r="O13" s="171" t="s">
        <v>122</v>
      </c>
      <c r="Q13" s="399">
        <v>37</v>
      </c>
      <c r="R13" s="171" t="s">
        <v>97</v>
      </c>
      <c r="S13" s="398" t="s">
        <v>122</v>
      </c>
      <c r="U13" s="423">
        <v>31</v>
      </c>
      <c r="V13" s="171" t="s">
        <v>97</v>
      </c>
      <c r="W13" s="171" t="s">
        <v>688</v>
      </c>
      <c r="Y13" s="171">
        <v>79</v>
      </c>
      <c r="Z13" s="171" t="s">
        <v>97</v>
      </c>
      <c r="AA13" s="171" t="s">
        <v>122</v>
      </c>
      <c r="AC13" s="505">
        <v>17</v>
      </c>
      <c r="AD13" s="505" t="s">
        <v>97</v>
      </c>
      <c r="AE13" s="505" t="s">
        <v>122</v>
      </c>
      <c r="AG13" s="171">
        <v>78</v>
      </c>
      <c r="AH13" s="171" t="s">
        <v>97</v>
      </c>
      <c r="AI13" s="171" t="s">
        <v>122</v>
      </c>
      <c r="AK13" s="299">
        <v>42</v>
      </c>
      <c r="AL13" s="299" t="s">
        <v>82</v>
      </c>
      <c r="AM13" s="299" t="s">
        <v>105</v>
      </c>
      <c r="AO13" s="299">
        <v>55</v>
      </c>
      <c r="AP13" s="299" t="s">
        <v>82</v>
      </c>
      <c r="AQ13" s="299" t="s">
        <v>122</v>
      </c>
    </row>
    <row r="14" spans="1:47" ht="15" customHeight="1" x14ac:dyDescent="0.25">
      <c r="A14">
        <v>23</v>
      </c>
      <c r="B14" t="s">
        <v>98</v>
      </c>
      <c r="C14" t="s">
        <v>688</v>
      </c>
      <c r="E14" s="72" t="s">
        <v>689</v>
      </c>
      <c r="F14" t="s">
        <v>97</v>
      </c>
      <c r="G14" t="s">
        <v>134</v>
      </c>
      <c r="I14" s="171">
        <v>31</v>
      </c>
      <c r="J14" s="171" t="s">
        <v>97</v>
      </c>
      <c r="K14" s="171" t="s">
        <v>688</v>
      </c>
      <c r="M14" s="171">
        <v>74</v>
      </c>
      <c r="N14" s="171" t="s">
        <v>97</v>
      </c>
      <c r="O14" s="171" t="s">
        <v>122</v>
      </c>
      <c r="Q14" s="399">
        <v>62</v>
      </c>
      <c r="R14" s="171" t="s">
        <v>97</v>
      </c>
      <c r="S14" s="398" t="s">
        <v>122</v>
      </c>
      <c r="U14" s="423">
        <v>55</v>
      </c>
      <c r="V14" s="171" t="s">
        <v>97</v>
      </c>
      <c r="W14" s="171" t="s">
        <v>688</v>
      </c>
      <c r="Y14" s="171">
        <v>60</v>
      </c>
      <c r="Z14" s="171" t="s">
        <v>97</v>
      </c>
      <c r="AA14" s="171" t="s">
        <v>122</v>
      </c>
      <c r="AC14" s="505">
        <v>88</v>
      </c>
      <c r="AD14" s="505" t="s">
        <v>97</v>
      </c>
      <c r="AE14" s="505" t="s">
        <v>122</v>
      </c>
      <c r="AG14" s="171">
        <v>51</v>
      </c>
      <c r="AH14" s="171" t="s">
        <v>97</v>
      </c>
      <c r="AI14" s="171" t="s">
        <v>122</v>
      </c>
      <c r="AK14" s="299">
        <v>23</v>
      </c>
      <c r="AL14" s="299" t="s">
        <v>82</v>
      </c>
      <c r="AM14" s="299" t="s">
        <v>105</v>
      </c>
      <c r="AO14" s="299">
        <v>83</v>
      </c>
      <c r="AP14" s="299" t="s">
        <v>82</v>
      </c>
      <c r="AQ14" s="299" t="s">
        <v>122</v>
      </c>
    </row>
    <row r="15" spans="1:47" ht="15" customHeight="1" x14ac:dyDescent="0.25">
      <c r="A15">
        <v>17</v>
      </c>
      <c r="B15" t="s">
        <v>97</v>
      </c>
      <c r="C15" t="s">
        <v>688</v>
      </c>
      <c r="E15" s="72" t="s">
        <v>698</v>
      </c>
      <c r="F15" t="s">
        <v>97</v>
      </c>
      <c r="G15" t="s">
        <v>79</v>
      </c>
      <c r="I15" s="171">
        <v>46</v>
      </c>
      <c r="J15" s="171" t="s">
        <v>97</v>
      </c>
      <c r="K15" s="171" t="s">
        <v>688</v>
      </c>
      <c r="M15" s="171">
        <v>21</v>
      </c>
      <c r="N15" s="171" t="s">
        <v>97</v>
      </c>
      <c r="O15" s="171" t="s">
        <v>122</v>
      </c>
      <c r="Q15" s="399">
        <v>43</v>
      </c>
      <c r="R15" s="171" t="s">
        <v>97</v>
      </c>
      <c r="S15" s="398" t="s">
        <v>122</v>
      </c>
      <c r="U15" s="423">
        <v>25</v>
      </c>
      <c r="V15" s="171" t="s">
        <v>97</v>
      </c>
      <c r="W15" s="171" t="s">
        <v>688</v>
      </c>
      <c r="Y15" s="171">
        <v>29</v>
      </c>
      <c r="Z15" s="171" t="s">
        <v>97</v>
      </c>
      <c r="AA15" s="171" t="s">
        <v>122</v>
      </c>
      <c r="AC15" s="505">
        <v>63</v>
      </c>
      <c r="AD15" s="505" t="s">
        <v>97</v>
      </c>
      <c r="AE15" s="505" t="s">
        <v>122</v>
      </c>
      <c r="AG15" s="171">
        <v>40</v>
      </c>
      <c r="AH15" s="171" t="s">
        <v>97</v>
      </c>
      <c r="AI15" s="171" t="s">
        <v>122</v>
      </c>
      <c r="AK15" s="299">
        <v>36</v>
      </c>
      <c r="AL15" s="299" t="s">
        <v>82</v>
      </c>
      <c r="AM15" s="299" t="s">
        <v>105</v>
      </c>
      <c r="AO15" s="299">
        <v>70</v>
      </c>
      <c r="AP15" s="299" t="s">
        <v>82</v>
      </c>
      <c r="AQ15" s="299" t="s">
        <v>122</v>
      </c>
    </row>
    <row r="16" spans="1:47" ht="15" customHeight="1" x14ac:dyDescent="0.25">
      <c r="A16">
        <v>17</v>
      </c>
      <c r="B16" t="s">
        <v>97</v>
      </c>
      <c r="C16" t="s">
        <v>688</v>
      </c>
      <c r="E16" s="72" t="s">
        <v>709</v>
      </c>
      <c r="F16" t="s">
        <v>97</v>
      </c>
      <c r="G16" t="s">
        <v>134</v>
      </c>
      <c r="I16" s="171">
        <v>77</v>
      </c>
      <c r="J16" s="171" t="s">
        <v>98</v>
      </c>
      <c r="K16" s="171" t="s">
        <v>688</v>
      </c>
      <c r="M16" s="171">
        <v>72</v>
      </c>
      <c r="N16" s="171" t="s">
        <v>97</v>
      </c>
      <c r="O16" s="171" t="s">
        <v>122</v>
      </c>
      <c r="Q16" s="399">
        <v>60</v>
      </c>
      <c r="R16" s="171" t="s">
        <v>97</v>
      </c>
      <c r="S16" s="398" t="s">
        <v>122</v>
      </c>
      <c r="U16" s="423">
        <v>60</v>
      </c>
      <c r="V16" s="171" t="s">
        <v>97</v>
      </c>
      <c r="W16" s="171" t="s">
        <v>688</v>
      </c>
      <c r="Y16" s="171">
        <v>44</v>
      </c>
      <c r="Z16" s="171" t="s">
        <v>97</v>
      </c>
      <c r="AA16" s="171" t="s">
        <v>122</v>
      </c>
      <c r="AC16" s="505">
        <v>32</v>
      </c>
      <c r="AD16" s="505" t="s">
        <v>97</v>
      </c>
      <c r="AE16" s="505" t="s">
        <v>122</v>
      </c>
      <c r="AG16" s="171">
        <v>75</v>
      </c>
      <c r="AH16" s="171" t="s">
        <v>97</v>
      </c>
      <c r="AI16" s="171" t="s">
        <v>122</v>
      </c>
      <c r="AK16" s="299">
        <v>61</v>
      </c>
      <c r="AL16" s="299" t="s">
        <v>82</v>
      </c>
      <c r="AM16" s="299" t="s">
        <v>105</v>
      </c>
      <c r="AO16" s="299">
        <v>67</v>
      </c>
      <c r="AP16" s="299" t="s">
        <v>82</v>
      </c>
      <c r="AQ16" s="299" t="s">
        <v>122</v>
      </c>
    </row>
    <row r="17" spans="1:43" ht="15" customHeight="1" x14ac:dyDescent="0.25">
      <c r="A17">
        <v>18</v>
      </c>
      <c r="B17" t="s">
        <v>97</v>
      </c>
      <c r="C17" t="s">
        <v>688</v>
      </c>
      <c r="E17" s="72" t="s">
        <v>709</v>
      </c>
      <c r="F17" t="s">
        <v>97</v>
      </c>
      <c r="G17" t="s">
        <v>134</v>
      </c>
      <c r="I17" s="171">
        <v>37</v>
      </c>
      <c r="J17" s="171" t="s">
        <v>97</v>
      </c>
      <c r="K17" s="171" t="s">
        <v>688</v>
      </c>
      <c r="M17" s="171">
        <v>42</v>
      </c>
      <c r="N17" s="171" t="s">
        <v>97</v>
      </c>
      <c r="O17" s="171" t="s">
        <v>122</v>
      </c>
      <c r="Q17" s="399">
        <v>82</v>
      </c>
      <c r="R17" s="171" t="s">
        <v>97</v>
      </c>
      <c r="S17" s="398" t="s">
        <v>122</v>
      </c>
      <c r="U17" s="423">
        <v>54</v>
      </c>
      <c r="V17" s="171" t="s">
        <v>98</v>
      </c>
      <c r="W17" s="171" t="s">
        <v>688</v>
      </c>
      <c r="Y17" s="171">
        <v>18</v>
      </c>
      <c r="Z17" s="171" t="s">
        <v>97</v>
      </c>
      <c r="AA17" s="171" t="s">
        <v>122</v>
      </c>
      <c r="AC17" s="505">
        <v>74</v>
      </c>
      <c r="AD17" s="505" t="s">
        <v>97</v>
      </c>
      <c r="AE17" s="505" t="s">
        <v>122</v>
      </c>
      <c r="AG17" s="171">
        <v>51</v>
      </c>
      <c r="AH17" s="171" t="s">
        <v>97</v>
      </c>
      <c r="AI17" s="171" t="s">
        <v>122</v>
      </c>
      <c r="AK17" s="299">
        <v>70</v>
      </c>
      <c r="AL17" s="299" t="s">
        <v>82</v>
      </c>
      <c r="AM17" s="299" t="s">
        <v>105</v>
      </c>
      <c r="AO17" s="299">
        <v>72</v>
      </c>
      <c r="AP17" s="299" t="s">
        <v>82</v>
      </c>
      <c r="AQ17" s="299" t="s">
        <v>122</v>
      </c>
    </row>
    <row r="18" spans="1:43" ht="15" customHeight="1" x14ac:dyDescent="0.25">
      <c r="A18">
        <v>24</v>
      </c>
      <c r="B18" t="s">
        <v>98</v>
      </c>
      <c r="C18" t="s">
        <v>688</v>
      </c>
      <c r="E18" s="72" t="s">
        <v>705</v>
      </c>
      <c r="F18" t="s">
        <v>98</v>
      </c>
      <c r="G18" t="s">
        <v>134</v>
      </c>
      <c r="I18" s="171">
        <v>16</v>
      </c>
      <c r="J18" s="171" t="s">
        <v>98</v>
      </c>
      <c r="K18" s="171" t="s">
        <v>688</v>
      </c>
      <c r="M18" s="171">
        <v>64</v>
      </c>
      <c r="N18" s="171" t="s">
        <v>97</v>
      </c>
      <c r="O18" s="171" t="s">
        <v>122</v>
      </c>
      <c r="Q18" s="399">
        <v>15</v>
      </c>
      <c r="R18" s="171" t="s">
        <v>97</v>
      </c>
      <c r="S18" s="398" t="s">
        <v>122</v>
      </c>
      <c r="U18" s="423">
        <v>59</v>
      </c>
      <c r="V18" s="171" t="s">
        <v>98</v>
      </c>
      <c r="W18" s="171" t="s">
        <v>688</v>
      </c>
      <c r="Y18" s="171">
        <v>43</v>
      </c>
      <c r="Z18" s="171" t="s">
        <v>97</v>
      </c>
      <c r="AA18" s="171" t="s">
        <v>122</v>
      </c>
      <c r="AC18" s="505">
        <v>50</v>
      </c>
      <c r="AD18" s="505" t="s">
        <v>97</v>
      </c>
      <c r="AE18" s="505" t="s">
        <v>122</v>
      </c>
      <c r="AG18" s="171">
        <v>29</v>
      </c>
      <c r="AH18" s="171" t="s">
        <v>97</v>
      </c>
      <c r="AI18" s="171" t="s">
        <v>122</v>
      </c>
      <c r="AK18" s="299">
        <v>20</v>
      </c>
      <c r="AL18" s="299" t="s">
        <v>82</v>
      </c>
      <c r="AM18" s="299" t="s">
        <v>105</v>
      </c>
      <c r="AO18" s="299">
        <v>16</v>
      </c>
      <c r="AP18" s="299" t="s">
        <v>82</v>
      </c>
      <c r="AQ18" s="299" t="s">
        <v>122</v>
      </c>
    </row>
    <row r="19" spans="1:43" ht="15" customHeight="1" x14ac:dyDescent="0.25">
      <c r="A19">
        <v>27</v>
      </c>
      <c r="B19" t="s">
        <v>98</v>
      </c>
      <c r="C19" t="s">
        <v>688</v>
      </c>
      <c r="E19" s="72" t="s">
        <v>696</v>
      </c>
      <c r="F19" t="s">
        <v>97</v>
      </c>
      <c r="G19" t="s">
        <v>79</v>
      </c>
      <c r="I19" s="171">
        <v>60</v>
      </c>
      <c r="J19" s="171" t="s">
        <v>98</v>
      </c>
      <c r="K19" s="171" t="s">
        <v>688</v>
      </c>
      <c r="M19" s="171">
        <v>60</v>
      </c>
      <c r="N19" s="171" t="s">
        <v>97</v>
      </c>
      <c r="O19" s="171" t="s">
        <v>122</v>
      </c>
      <c r="Q19" s="399">
        <v>27</v>
      </c>
      <c r="R19" s="171" t="s">
        <v>97</v>
      </c>
      <c r="S19" s="398" t="s">
        <v>122</v>
      </c>
      <c r="U19" s="423">
        <v>50</v>
      </c>
      <c r="V19" s="171" t="s">
        <v>97</v>
      </c>
      <c r="W19" s="171" t="s">
        <v>688</v>
      </c>
      <c r="Y19" s="171">
        <v>59</v>
      </c>
      <c r="Z19" s="171" t="s">
        <v>97</v>
      </c>
      <c r="AA19" s="171" t="s">
        <v>122</v>
      </c>
      <c r="AC19" s="505">
        <v>85</v>
      </c>
      <c r="AD19" s="505" t="s">
        <v>97</v>
      </c>
      <c r="AE19" s="505" t="s">
        <v>122</v>
      </c>
      <c r="AG19" s="171">
        <v>20</v>
      </c>
      <c r="AH19" s="171" t="s">
        <v>97</v>
      </c>
      <c r="AI19" s="171" t="s">
        <v>122</v>
      </c>
      <c r="AK19" s="299">
        <v>78</v>
      </c>
      <c r="AL19" s="299" t="s">
        <v>82</v>
      </c>
      <c r="AM19" s="299" t="s">
        <v>105</v>
      </c>
      <c r="AO19" s="299">
        <v>15</v>
      </c>
      <c r="AP19" s="299" t="s">
        <v>82</v>
      </c>
      <c r="AQ19" s="299" t="s">
        <v>122</v>
      </c>
    </row>
    <row r="20" spans="1:43" ht="15" customHeight="1" x14ac:dyDescent="0.25">
      <c r="A20">
        <v>18</v>
      </c>
      <c r="B20" t="s">
        <v>97</v>
      </c>
      <c r="C20" t="s">
        <v>688</v>
      </c>
      <c r="E20" s="72" t="s">
        <v>696</v>
      </c>
      <c r="F20" t="s">
        <v>97</v>
      </c>
      <c r="G20" t="s">
        <v>79</v>
      </c>
      <c r="I20" s="171">
        <v>2</v>
      </c>
      <c r="J20" s="171" t="s">
        <v>97</v>
      </c>
      <c r="K20" s="171" t="s">
        <v>688</v>
      </c>
      <c r="M20" s="171">
        <v>71</v>
      </c>
      <c r="N20" s="171" t="s">
        <v>97</v>
      </c>
      <c r="O20" s="171" t="s">
        <v>122</v>
      </c>
      <c r="Q20" s="399">
        <v>68</v>
      </c>
      <c r="R20" s="171" t="s">
        <v>97</v>
      </c>
      <c r="S20" s="398" t="s">
        <v>122</v>
      </c>
      <c r="U20" s="423">
        <v>46</v>
      </c>
      <c r="V20" s="171" t="s">
        <v>97</v>
      </c>
      <c r="W20" s="171" t="s">
        <v>688</v>
      </c>
      <c r="Y20" s="171">
        <v>38</v>
      </c>
      <c r="Z20" s="171" t="s">
        <v>97</v>
      </c>
      <c r="AA20" s="171" t="s">
        <v>122</v>
      </c>
      <c r="AC20" s="505">
        <v>61</v>
      </c>
      <c r="AD20" s="505" t="s">
        <v>97</v>
      </c>
      <c r="AE20" s="505" t="s">
        <v>122</v>
      </c>
      <c r="AG20" s="171">
        <v>57</v>
      </c>
      <c r="AH20" s="171" t="s">
        <v>97</v>
      </c>
      <c r="AI20" s="171" t="s">
        <v>122</v>
      </c>
      <c r="AK20" s="299">
        <v>22</v>
      </c>
      <c r="AL20" s="299" t="s">
        <v>82</v>
      </c>
      <c r="AM20" s="299" t="s">
        <v>105</v>
      </c>
      <c r="AO20" s="299">
        <v>37</v>
      </c>
      <c r="AP20" s="299" t="s">
        <v>82</v>
      </c>
      <c r="AQ20" s="299" t="s">
        <v>122</v>
      </c>
    </row>
    <row r="21" spans="1:43" ht="15" customHeight="1" x14ac:dyDescent="0.25">
      <c r="A21">
        <v>19</v>
      </c>
      <c r="B21" t="s">
        <v>97</v>
      </c>
      <c r="C21" t="s">
        <v>688</v>
      </c>
      <c r="E21" s="72" t="s">
        <v>696</v>
      </c>
      <c r="F21" t="s">
        <v>97</v>
      </c>
      <c r="G21" t="s">
        <v>79</v>
      </c>
      <c r="I21" s="171">
        <v>9</v>
      </c>
      <c r="J21" s="171" t="s">
        <v>97</v>
      </c>
      <c r="K21" s="171" t="s">
        <v>688</v>
      </c>
      <c r="M21" s="171">
        <v>56</v>
      </c>
      <c r="N21" s="171" t="s">
        <v>97</v>
      </c>
      <c r="O21" s="171" t="s">
        <v>122</v>
      </c>
      <c r="Q21" s="399">
        <v>64</v>
      </c>
      <c r="R21" s="171" t="s">
        <v>97</v>
      </c>
      <c r="S21" s="398" t="s">
        <v>122</v>
      </c>
      <c r="U21" s="423">
        <v>69</v>
      </c>
      <c r="V21" s="171" t="s">
        <v>98</v>
      </c>
      <c r="W21" s="171" t="s">
        <v>688</v>
      </c>
      <c r="Y21" s="171">
        <v>78</v>
      </c>
      <c r="Z21" s="171" t="s">
        <v>97</v>
      </c>
      <c r="AA21" s="171" t="s">
        <v>122</v>
      </c>
      <c r="AC21" s="505">
        <v>49</v>
      </c>
      <c r="AD21" s="505" t="s">
        <v>97</v>
      </c>
      <c r="AE21" s="505" t="s">
        <v>122</v>
      </c>
      <c r="AG21" s="171">
        <v>52</v>
      </c>
      <c r="AH21" s="171" t="s">
        <v>97</v>
      </c>
      <c r="AI21" s="171" t="s">
        <v>122</v>
      </c>
      <c r="AK21" s="299">
        <v>60</v>
      </c>
      <c r="AL21" s="299" t="s">
        <v>82</v>
      </c>
      <c r="AM21" s="299" t="s">
        <v>105</v>
      </c>
      <c r="AO21" s="299">
        <v>14</v>
      </c>
      <c r="AP21" s="299" t="s">
        <v>82</v>
      </c>
      <c r="AQ21" s="299" t="s">
        <v>122</v>
      </c>
    </row>
    <row r="22" spans="1:43" ht="15" customHeight="1" x14ac:dyDescent="0.25">
      <c r="A22">
        <v>34</v>
      </c>
      <c r="B22" t="s">
        <v>98</v>
      </c>
      <c r="C22" t="s">
        <v>688</v>
      </c>
      <c r="E22" s="72" t="s">
        <v>696</v>
      </c>
      <c r="F22" t="s">
        <v>97</v>
      </c>
      <c r="G22" t="s">
        <v>79</v>
      </c>
      <c r="I22" s="171">
        <v>49</v>
      </c>
      <c r="J22" s="171" t="s">
        <v>97</v>
      </c>
      <c r="K22" s="171" t="s">
        <v>688</v>
      </c>
      <c r="M22" s="171">
        <v>17</v>
      </c>
      <c r="N22" s="171" t="s">
        <v>97</v>
      </c>
      <c r="O22" s="171" t="s">
        <v>122</v>
      </c>
      <c r="Q22" s="399">
        <v>38</v>
      </c>
      <c r="R22" s="171" t="s">
        <v>97</v>
      </c>
      <c r="S22" s="398" t="s">
        <v>122</v>
      </c>
      <c r="U22" s="423">
        <v>27</v>
      </c>
      <c r="V22" s="171" t="s">
        <v>98</v>
      </c>
      <c r="W22" s="171" t="s">
        <v>688</v>
      </c>
      <c r="Y22" s="171">
        <v>59</v>
      </c>
      <c r="Z22" s="171" t="s">
        <v>97</v>
      </c>
      <c r="AA22" s="171" t="s">
        <v>122</v>
      </c>
      <c r="AC22" s="505">
        <v>15</v>
      </c>
      <c r="AD22" s="505" t="s">
        <v>97</v>
      </c>
      <c r="AE22" s="505" t="s">
        <v>122</v>
      </c>
      <c r="AG22" s="171">
        <v>65</v>
      </c>
      <c r="AH22" s="171" t="s">
        <v>97</v>
      </c>
      <c r="AI22" s="171" t="s">
        <v>122</v>
      </c>
      <c r="AK22" s="299">
        <v>57</v>
      </c>
      <c r="AL22" s="299" t="s">
        <v>82</v>
      </c>
      <c r="AM22" s="299" t="s">
        <v>105</v>
      </c>
      <c r="AO22" s="299">
        <v>27</v>
      </c>
      <c r="AP22" s="299" t="s">
        <v>82</v>
      </c>
      <c r="AQ22" s="299" t="s">
        <v>122</v>
      </c>
    </row>
    <row r="23" spans="1:43" ht="15" customHeight="1" x14ac:dyDescent="0.25">
      <c r="A23">
        <v>35</v>
      </c>
      <c r="B23" t="s">
        <v>98</v>
      </c>
      <c r="C23" t="s">
        <v>688</v>
      </c>
      <c r="E23" s="72" t="s">
        <v>711</v>
      </c>
      <c r="F23" t="s">
        <v>97</v>
      </c>
      <c r="G23" t="s">
        <v>79</v>
      </c>
      <c r="I23" s="171">
        <v>58</v>
      </c>
      <c r="J23" s="171" t="s">
        <v>97</v>
      </c>
      <c r="K23" s="171" t="s">
        <v>688</v>
      </c>
      <c r="M23" s="171">
        <v>39</v>
      </c>
      <c r="N23" s="171" t="s">
        <v>97</v>
      </c>
      <c r="O23" s="171" t="s">
        <v>122</v>
      </c>
      <c r="Q23" s="399">
        <v>26</v>
      </c>
      <c r="R23" s="171" t="s">
        <v>97</v>
      </c>
      <c r="S23" s="398" t="s">
        <v>122</v>
      </c>
      <c r="U23" s="423">
        <v>7</v>
      </c>
      <c r="V23" s="171" t="s">
        <v>97</v>
      </c>
      <c r="W23" s="171" t="s">
        <v>688</v>
      </c>
      <c r="Y23" s="171">
        <v>59</v>
      </c>
      <c r="Z23" s="171" t="s">
        <v>97</v>
      </c>
      <c r="AA23" s="171" t="s">
        <v>122</v>
      </c>
      <c r="AC23" s="505">
        <v>23</v>
      </c>
      <c r="AD23" s="505" t="s">
        <v>97</v>
      </c>
      <c r="AE23" s="505" t="s">
        <v>122</v>
      </c>
      <c r="AG23" s="171">
        <v>55</v>
      </c>
      <c r="AH23" s="171" t="s">
        <v>97</v>
      </c>
      <c r="AI23" s="171" t="s">
        <v>122</v>
      </c>
      <c r="AK23" s="299">
        <v>16</v>
      </c>
      <c r="AL23" s="299" t="s">
        <v>82</v>
      </c>
      <c r="AM23" s="299" t="s">
        <v>105</v>
      </c>
      <c r="AO23" s="299">
        <v>70</v>
      </c>
      <c r="AP23" s="299" t="s">
        <v>82</v>
      </c>
      <c r="AQ23" s="299" t="s">
        <v>122</v>
      </c>
    </row>
    <row r="24" spans="1:43" ht="15" customHeight="1" x14ac:dyDescent="0.25">
      <c r="A24">
        <v>20</v>
      </c>
      <c r="B24" t="s">
        <v>97</v>
      </c>
      <c r="C24" t="s">
        <v>688</v>
      </c>
      <c r="E24" s="72" t="s">
        <v>713</v>
      </c>
      <c r="F24" t="s">
        <v>97</v>
      </c>
      <c r="G24" t="s">
        <v>79</v>
      </c>
      <c r="I24" s="171">
        <v>73</v>
      </c>
      <c r="J24" s="171" t="s">
        <v>97</v>
      </c>
      <c r="K24" s="171" t="s">
        <v>688</v>
      </c>
      <c r="M24" s="171">
        <v>29</v>
      </c>
      <c r="N24" s="171" t="s">
        <v>97</v>
      </c>
      <c r="O24" s="171" t="s">
        <v>122</v>
      </c>
      <c r="Q24" s="399">
        <v>17</v>
      </c>
      <c r="R24" s="171" t="s">
        <v>97</v>
      </c>
      <c r="S24" s="398" t="s">
        <v>122</v>
      </c>
      <c r="U24" s="423">
        <v>85</v>
      </c>
      <c r="V24" s="171" t="s">
        <v>97</v>
      </c>
      <c r="W24" s="171" t="s">
        <v>688</v>
      </c>
      <c r="Y24" s="171">
        <v>37</v>
      </c>
      <c r="Z24" s="171" t="s">
        <v>97</v>
      </c>
      <c r="AA24" s="171" t="s">
        <v>122</v>
      </c>
      <c r="AC24" s="505">
        <v>13</v>
      </c>
      <c r="AD24" s="505" t="s">
        <v>97</v>
      </c>
      <c r="AE24" s="505" t="s">
        <v>122</v>
      </c>
      <c r="AG24" s="171">
        <v>42</v>
      </c>
      <c r="AH24" s="171" t="s">
        <v>97</v>
      </c>
      <c r="AI24" s="171" t="s">
        <v>122</v>
      </c>
      <c r="AK24" s="299">
        <v>36</v>
      </c>
      <c r="AL24" s="299" t="s">
        <v>82</v>
      </c>
      <c r="AM24" s="299" t="s">
        <v>105</v>
      </c>
      <c r="AO24" s="299">
        <v>90</v>
      </c>
      <c r="AP24" s="299" t="s">
        <v>82</v>
      </c>
      <c r="AQ24" s="299" t="s">
        <v>122</v>
      </c>
    </row>
    <row r="25" spans="1:43" ht="15" customHeight="1" x14ac:dyDescent="0.25">
      <c r="A25">
        <v>22</v>
      </c>
      <c r="B25" t="s">
        <v>97</v>
      </c>
      <c r="C25" t="s">
        <v>688</v>
      </c>
      <c r="E25" s="72" t="s">
        <v>713</v>
      </c>
      <c r="F25" t="s">
        <v>98</v>
      </c>
      <c r="G25" t="s">
        <v>79</v>
      </c>
      <c r="I25" s="171">
        <v>44</v>
      </c>
      <c r="J25" s="171" t="s">
        <v>98</v>
      </c>
      <c r="K25" s="171" t="s">
        <v>688</v>
      </c>
      <c r="M25" s="171">
        <v>17</v>
      </c>
      <c r="N25" s="171" t="s">
        <v>97</v>
      </c>
      <c r="O25" s="171" t="s">
        <v>122</v>
      </c>
      <c r="Q25" s="399">
        <v>40</v>
      </c>
      <c r="R25" s="171" t="s">
        <v>97</v>
      </c>
      <c r="S25" s="398" t="s">
        <v>122</v>
      </c>
      <c r="U25" s="423">
        <v>61</v>
      </c>
      <c r="V25" s="171" t="s">
        <v>98</v>
      </c>
      <c r="W25" s="171" t="s">
        <v>688</v>
      </c>
      <c r="Y25" s="171">
        <v>82</v>
      </c>
      <c r="Z25" s="171" t="s">
        <v>97</v>
      </c>
      <c r="AA25" s="171" t="s">
        <v>122</v>
      </c>
      <c r="AC25" s="505">
        <v>51</v>
      </c>
      <c r="AD25" s="505" t="s">
        <v>97</v>
      </c>
      <c r="AE25" s="505" t="s">
        <v>122</v>
      </c>
      <c r="AG25" s="171">
        <v>17</v>
      </c>
      <c r="AH25" s="171" t="s">
        <v>97</v>
      </c>
      <c r="AI25" s="171" t="s">
        <v>122</v>
      </c>
      <c r="AK25" s="299">
        <v>40</v>
      </c>
      <c r="AL25" s="299" t="s">
        <v>82</v>
      </c>
      <c r="AM25" s="299" t="s">
        <v>105</v>
      </c>
      <c r="AO25" s="299">
        <v>55</v>
      </c>
      <c r="AP25" s="299" t="s">
        <v>82</v>
      </c>
      <c r="AQ25" s="299" t="s">
        <v>122</v>
      </c>
    </row>
    <row r="26" spans="1:43" ht="15" customHeight="1" x14ac:dyDescent="0.25">
      <c r="A26">
        <v>37</v>
      </c>
      <c r="B26" t="s">
        <v>98</v>
      </c>
      <c r="C26" t="s">
        <v>688</v>
      </c>
      <c r="E26" s="72" t="s">
        <v>706</v>
      </c>
      <c r="F26" t="s">
        <v>97</v>
      </c>
      <c r="G26" t="s">
        <v>134</v>
      </c>
      <c r="I26" s="171">
        <v>32</v>
      </c>
      <c r="J26" s="171" t="s">
        <v>98</v>
      </c>
      <c r="K26" s="171" t="s">
        <v>688</v>
      </c>
      <c r="M26" s="171">
        <v>82</v>
      </c>
      <c r="N26" s="171" t="s">
        <v>97</v>
      </c>
      <c r="O26" s="171" t="s">
        <v>122</v>
      </c>
      <c r="Q26" s="399">
        <v>14</v>
      </c>
      <c r="R26" s="171" t="s">
        <v>97</v>
      </c>
      <c r="S26" s="398" t="s">
        <v>122</v>
      </c>
      <c r="U26" s="423">
        <v>79</v>
      </c>
      <c r="V26" s="171" t="s">
        <v>98</v>
      </c>
      <c r="W26" s="171" t="s">
        <v>688</v>
      </c>
      <c r="Y26" s="171">
        <v>20</v>
      </c>
      <c r="Z26" s="171" t="s">
        <v>97</v>
      </c>
      <c r="AA26" s="171" t="s">
        <v>122</v>
      </c>
      <c r="AC26" s="505">
        <v>20</v>
      </c>
      <c r="AD26" s="505" t="s">
        <v>97</v>
      </c>
      <c r="AE26" s="505" t="s">
        <v>122</v>
      </c>
      <c r="AG26" s="171">
        <v>27</v>
      </c>
      <c r="AH26" s="171" t="s">
        <v>97</v>
      </c>
      <c r="AI26" s="171" t="s">
        <v>122</v>
      </c>
      <c r="AK26" s="299">
        <v>37</v>
      </c>
      <c r="AL26" s="299" t="s">
        <v>82</v>
      </c>
      <c r="AM26" s="299" t="s">
        <v>105</v>
      </c>
      <c r="AO26" s="299">
        <v>57</v>
      </c>
      <c r="AP26" s="299" t="s">
        <v>82</v>
      </c>
      <c r="AQ26" s="299" t="s">
        <v>122</v>
      </c>
    </row>
    <row r="27" spans="1:43" ht="15" customHeight="1" x14ac:dyDescent="0.25">
      <c r="A27">
        <v>23</v>
      </c>
      <c r="B27" t="s">
        <v>97</v>
      </c>
      <c r="C27" t="s">
        <v>688</v>
      </c>
      <c r="E27" s="72" t="s">
        <v>684</v>
      </c>
      <c r="F27" t="s">
        <v>98</v>
      </c>
      <c r="G27" t="s">
        <v>79</v>
      </c>
      <c r="I27" s="171">
        <v>69</v>
      </c>
      <c r="J27" s="171" t="s">
        <v>97</v>
      </c>
      <c r="K27" s="171" t="s">
        <v>688</v>
      </c>
      <c r="M27" s="171">
        <v>47</v>
      </c>
      <c r="N27" s="171" t="s">
        <v>97</v>
      </c>
      <c r="O27" s="171" t="s">
        <v>122</v>
      </c>
      <c r="Q27" s="399">
        <v>26</v>
      </c>
      <c r="R27" s="171" t="s">
        <v>97</v>
      </c>
      <c r="S27" s="398" t="s">
        <v>122</v>
      </c>
      <c r="U27" s="423">
        <v>68</v>
      </c>
      <c r="V27" s="171" t="s">
        <v>98</v>
      </c>
      <c r="W27" s="171" t="s">
        <v>688</v>
      </c>
      <c r="Y27" s="171">
        <v>20</v>
      </c>
      <c r="Z27" s="171" t="s">
        <v>97</v>
      </c>
      <c r="AA27" s="171" t="s">
        <v>122</v>
      </c>
      <c r="AC27" s="505">
        <v>25</v>
      </c>
      <c r="AD27" s="505" t="s">
        <v>97</v>
      </c>
      <c r="AE27" s="505" t="s">
        <v>122</v>
      </c>
      <c r="AG27" s="171">
        <v>65</v>
      </c>
      <c r="AH27" s="171" t="s">
        <v>97</v>
      </c>
      <c r="AI27" s="171" t="s">
        <v>122</v>
      </c>
      <c r="AK27" s="299">
        <v>72</v>
      </c>
      <c r="AL27" s="299" t="s">
        <v>82</v>
      </c>
      <c r="AM27" s="299" t="s">
        <v>105</v>
      </c>
      <c r="AO27" s="299">
        <v>60</v>
      </c>
      <c r="AP27" s="299" t="s">
        <v>82</v>
      </c>
      <c r="AQ27" s="299" t="s">
        <v>122</v>
      </c>
    </row>
    <row r="28" spans="1:43" ht="15" customHeight="1" x14ac:dyDescent="0.25">
      <c r="A28">
        <v>39</v>
      </c>
      <c r="B28" t="s">
        <v>98</v>
      </c>
      <c r="C28" t="s">
        <v>688</v>
      </c>
      <c r="E28" s="72" t="s">
        <v>714</v>
      </c>
      <c r="F28" t="s">
        <v>98</v>
      </c>
      <c r="G28" t="s">
        <v>79</v>
      </c>
      <c r="I28" s="171">
        <v>50</v>
      </c>
      <c r="J28" s="171" t="s">
        <v>98</v>
      </c>
      <c r="K28" s="171" t="s">
        <v>688</v>
      </c>
      <c r="M28" s="171">
        <v>13</v>
      </c>
      <c r="N28" s="171" t="s">
        <v>97</v>
      </c>
      <c r="O28" s="171" t="s">
        <v>122</v>
      </c>
      <c r="Q28" s="399">
        <v>57</v>
      </c>
      <c r="R28" s="171" t="s">
        <v>97</v>
      </c>
      <c r="S28" s="398" t="s">
        <v>122</v>
      </c>
      <c r="U28" s="423">
        <v>69</v>
      </c>
      <c r="V28" s="171" t="s">
        <v>98</v>
      </c>
      <c r="W28" s="171" t="s">
        <v>688</v>
      </c>
      <c r="Y28" s="171">
        <v>66</v>
      </c>
      <c r="Z28" s="171" t="s">
        <v>97</v>
      </c>
      <c r="AA28" s="171" t="s">
        <v>122</v>
      </c>
      <c r="AC28" s="505">
        <v>38</v>
      </c>
      <c r="AD28" s="505" t="s">
        <v>97</v>
      </c>
      <c r="AE28" s="505" t="s">
        <v>122</v>
      </c>
      <c r="AG28" s="171">
        <v>38</v>
      </c>
      <c r="AH28" s="171" t="s">
        <v>97</v>
      </c>
      <c r="AI28" s="171" t="s">
        <v>122</v>
      </c>
      <c r="AK28" s="299">
        <v>16</v>
      </c>
      <c r="AL28" s="299" t="s">
        <v>82</v>
      </c>
      <c r="AM28" s="299" t="s">
        <v>105</v>
      </c>
      <c r="AO28" s="299">
        <v>15</v>
      </c>
      <c r="AP28" s="299" t="s">
        <v>82</v>
      </c>
      <c r="AQ28" s="299" t="s">
        <v>122</v>
      </c>
    </row>
    <row r="29" spans="1:43" ht="15" customHeight="1" x14ac:dyDescent="0.25">
      <c r="A29">
        <v>32</v>
      </c>
      <c r="B29" t="s">
        <v>97</v>
      </c>
      <c r="C29" t="s">
        <v>688</v>
      </c>
      <c r="E29" s="72" t="s">
        <v>692</v>
      </c>
      <c r="F29" t="s">
        <v>97</v>
      </c>
      <c r="G29" t="s">
        <v>134</v>
      </c>
      <c r="I29" s="171">
        <v>56</v>
      </c>
      <c r="J29" s="171" t="s">
        <v>97</v>
      </c>
      <c r="K29" s="171" t="s">
        <v>688</v>
      </c>
      <c r="M29" s="171">
        <v>13</v>
      </c>
      <c r="N29" s="171" t="s">
        <v>97</v>
      </c>
      <c r="O29" s="171" t="s">
        <v>122</v>
      </c>
      <c r="Q29" s="399">
        <v>34</v>
      </c>
      <c r="R29" s="171" t="s">
        <v>97</v>
      </c>
      <c r="S29" s="398" t="s">
        <v>122</v>
      </c>
      <c r="U29" s="423">
        <v>34</v>
      </c>
      <c r="V29" s="171" t="s">
        <v>97</v>
      </c>
      <c r="W29" s="171" t="s">
        <v>688</v>
      </c>
      <c r="Y29" s="171">
        <v>16</v>
      </c>
      <c r="Z29" s="171" t="s">
        <v>97</v>
      </c>
      <c r="AA29" s="171" t="s">
        <v>122</v>
      </c>
      <c r="AC29" s="505">
        <v>64</v>
      </c>
      <c r="AD29" s="505" t="s">
        <v>97</v>
      </c>
      <c r="AE29" s="505" t="s">
        <v>122</v>
      </c>
      <c r="AG29" s="171">
        <v>19</v>
      </c>
      <c r="AH29" s="171" t="s">
        <v>97</v>
      </c>
      <c r="AI29" s="171" t="s">
        <v>122</v>
      </c>
      <c r="AK29" s="299">
        <v>34</v>
      </c>
      <c r="AL29" s="299" t="s">
        <v>82</v>
      </c>
      <c r="AM29" s="299" t="s">
        <v>105</v>
      </c>
      <c r="AO29" s="299">
        <v>92</v>
      </c>
      <c r="AP29" s="299" t="s">
        <v>82</v>
      </c>
      <c r="AQ29" s="299" t="s">
        <v>122</v>
      </c>
    </row>
    <row r="30" spans="1:43" ht="15" customHeight="1" x14ac:dyDescent="0.25">
      <c r="A30">
        <v>32</v>
      </c>
      <c r="B30" t="s">
        <v>97</v>
      </c>
      <c r="C30" t="s">
        <v>688</v>
      </c>
      <c r="E30" s="72" t="s">
        <v>692</v>
      </c>
      <c r="F30" t="s">
        <v>97</v>
      </c>
      <c r="G30" t="s">
        <v>134</v>
      </c>
      <c r="I30" s="171">
        <v>70</v>
      </c>
      <c r="J30" s="171" t="s">
        <v>97</v>
      </c>
      <c r="K30" s="171" t="s">
        <v>688</v>
      </c>
      <c r="M30" s="171">
        <v>76</v>
      </c>
      <c r="N30" s="171" t="s">
        <v>97</v>
      </c>
      <c r="O30" s="171" t="s">
        <v>122</v>
      </c>
      <c r="Q30" s="399">
        <v>61</v>
      </c>
      <c r="R30" s="171" t="s">
        <v>97</v>
      </c>
      <c r="S30" s="398" t="s">
        <v>122</v>
      </c>
      <c r="U30" s="423">
        <v>17</v>
      </c>
      <c r="V30" s="171" t="s">
        <v>97</v>
      </c>
      <c r="W30" s="171" t="s">
        <v>688</v>
      </c>
      <c r="Y30" s="171">
        <v>13</v>
      </c>
      <c r="Z30" s="171" t="s">
        <v>97</v>
      </c>
      <c r="AA30" s="171" t="s">
        <v>122</v>
      </c>
      <c r="AC30" s="505">
        <v>17</v>
      </c>
      <c r="AD30" s="505" t="s">
        <v>97</v>
      </c>
      <c r="AE30" s="505" t="s">
        <v>122</v>
      </c>
      <c r="AG30" s="171">
        <v>17</v>
      </c>
      <c r="AH30" s="171" t="s">
        <v>97</v>
      </c>
      <c r="AI30" s="171" t="s">
        <v>122</v>
      </c>
      <c r="AK30" s="299">
        <v>93</v>
      </c>
      <c r="AL30" s="299" t="s">
        <v>82</v>
      </c>
      <c r="AM30" s="299" t="s">
        <v>105</v>
      </c>
      <c r="AO30" s="299">
        <v>15</v>
      </c>
      <c r="AP30" s="299" t="s">
        <v>82</v>
      </c>
      <c r="AQ30" s="299" t="s">
        <v>122</v>
      </c>
    </row>
    <row r="31" spans="1:43" ht="15" customHeight="1" x14ac:dyDescent="0.25">
      <c r="A31">
        <v>40</v>
      </c>
      <c r="B31" t="s">
        <v>98</v>
      </c>
      <c r="C31" t="s">
        <v>688</v>
      </c>
      <c r="E31" s="72" t="s">
        <v>692</v>
      </c>
      <c r="F31" t="s">
        <v>98</v>
      </c>
      <c r="G31" t="s">
        <v>134</v>
      </c>
      <c r="I31" s="171">
        <v>75</v>
      </c>
      <c r="J31" s="171" t="s">
        <v>98</v>
      </c>
      <c r="K31" s="171" t="s">
        <v>688</v>
      </c>
      <c r="M31" s="171">
        <v>62</v>
      </c>
      <c r="N31" s="171" t="s">
        <v>97</v>
      </c>
      <c r="O31" s="171" t="s">
        <v>122</v>
      </c>
      <c r="Q31" s="399">
        <v>20</v>
      </c>
      <c r="R31" s="171" t="s">
        <v>97</v>
      </c>
      <c r="S31" s="398" t="s">
        <v>122</v>
      </c>
      <c r="U31" s="423">
        <v>58</v>
      </c>
      <c r="V31" s="171" t="s">
        <v>97</v>
      </c>
      <c r="W31" s="171" t="s">
        <v>688</v>
      </c>
      <c r="Y31" s="171">
        <v>16</v>
      </c>
      <c r="Z31" s="171" t="s">
        <v>97</v>
      </c>
      <c r="AA31" s="171" t="s">
        <v>122</v>
      </c>
      <c r="AC31" s="505">
        <v>59</v>
      </c>
      <c r="AD31" s="505" t="s">
        <v>97</v>
      </c>
      <c r="AE31" s="505" t="s">
        <v>122</v>
      </c>
      <c r="AG31" s="171">
        <v>23</v>
      </c>
      <c r="AH31" s="171" t="s">
        <v>97</v>
      </c>
      <c r="AI31" s="171" t="s">
        <v>122</v>
      </c>
      <c r="AK31" s="299">
        <v>77</v>
      </c>
      <c r="AL31" s="299" t="s">
        <v>82</v>
      </c>
      <c r="AM31" s="299" t="s">
        <v>105</v>
      </c>
      <c r="AO31" s="299">
        <v>23</v>
      </c>
      <c r="AP31" s="299" t="s">
        <v>82</v>
      </c>
      <c r="AQ31" s="299" t="s">
        <v>122</v>
      </c>
    </row>
    <row r="32" spans="1:43" ht="15" customHeight="1" x14ac:dyDescent="0.25">
      <c r="A32">
        <v>42</v>
      </c>
      <c r="B32" t="s">
        <v>98</v>
      </c>
      <c r="C32" t="s">
        <v>688</v>
      </c>
      <c r="E32" s="72" t="s">
        <v>710</v>
      </c>
      <c r="F32" t="s">
        <v>98</v>
      </c>
      <c r="G32" t="s">
        <v>79</v>
      </c>
      <c r="I32" s="171">
        <v>32</v>
      </c>
      <c r="J32" s="171" t="s">
        <v>98</v>
      </c>
      <c r="K32" s="171" t="s">
        <v>688</v>
      </c>
      <c r="M32" s="171">
        <v>46</v>
      </c>
      <c r="N32" s="171" t="s">
        <v>97</v>
      </c>
      <c r="O32" s="171" t="s">
        <v>122</v>
      </c>
      <c r="Q32" s="399">
        <v>16</v>
      </c>
      <c r="R32" s="171" t="s">
        <v>97</v>
      </c>
      <c r="S32" s="398" t="s">
        <v>122</v>
      </c>
      <c r="U32" s="423">
        <v>85</v>
      </c>
      <c r="V32" s="171" t="s">
        <v>98</v>
      </c>
      <c r="W32" s="171" t="s">
        <v>688</v>
      </c>
      <c r="Y32" s="171">
        <v>19</v>
      </c>
      <c r="Z32" s="171" t="s">
        <v>97</v>
      </c>
      <c r="AA32" s="171" t="s">
        <v>122</v>
      </c>
      <c r="AC32" s="505">
        <v>76</v>
      </c>
      <c r="AD32" s="505" t="s">
        <v>97</v>
      </c>
      <c r="AE32" s="505" t="s">
        <v>122</v>
      </c>
      <c r="AG32" s="171">
        <v>43</v>
      </c>
      <c r="AH32" s="171" t="s">
        <v>97</v>
      </c>
      <c r="AI32" s="171" t="s">
        <v>122</v>
      </c>
      <c r="AK32" s="299">
        <v>53</v>
      </c>
      <c r="AL32" s="299" t="s">
        <v>82</v>
      </c>
      <c r="AM32" s="299" t="s">
        <v>105</v>
      </c>
      <c r="AO32" s="299">
        <v>61</v>
      </c>
      <c r="AP32" s="299" t="s">
        <v>82</v>
      </c>
      <c r="AQ32" s="299" t="s">
        <v>122</v>
      </c>
    </row>
    <row r="33" spans="1:43" ht="15" customHeight="1" x14ac:dyDescent="0.25">
      <c r="A33">
        <v>43</v>
      </c>
      <c r="B33" t="s">
        <v>98</v>
      </c>
      <c r="C33" t="s">
        <v>688</v>
      </c>
      <c r="E33" s="72" t="s">
        <v>708</v>
      </c>
      <c r="F33" t="s">
        <v>97</v>
      </c>
      <c r="G33" t="s">
        <v>134</v>
      </c>
      <c r="I33" s="171">
        <v>78</v>
      </c>
      <c r="J33" s="171" t="s">
        <v>98</v>
      </c>
      <c r="K33" s="171" t="s">
        <v>688</v>
      </c>
      <c r="M33" s="171">
        <v>55</v>
      </c>
      <c r="N33" s="171" t="s">
        <v>97</v>
      </c>
      <c r="O33" s="171" t="s">
        <v>122</v>
      </c>
      <c r="Q33" s="399">
        <v>47</v>
      </c>
      <c r="R33" s="171" t="s">
        <v>97</v>
      </c>
      <c r="S33" s="398" t="s">
        <v>122</v>
      </c>
      <c r="U33" s="423">
        <v>75</v>
      </c>
      <c r="V33" s="171" t="s">
        <v>97</v>
      </c>
      <c r="W33" s="171" t="s">
        <v>688</v>
      </c>
      <c r="Y33" s="171">
        <v>21</v>
      </c>
      <c r="Z33" s="171" t="s">
        <v>97</v>
      </c>
      <c r="AA33" s="171" t="s">
        <v>122</v>
      </c>
      <c r="AC33" s="505">
        <v>35</v>
      </c>
      <c r="AD33" s="505" t="s">
        <v>97</v>
      </c>
      <c r="AE33" s="505" t="s">
        <v>122</v>
      </c>
      <c r="AG33" s="171">
        <v>16</v>
      </c>
      <c r="AH33" s="171" t="s">
        <v>97</v>
      </c>
      <c r="AI33" s="171" t="s">
        <v>122</v>
      </c>
      <c r="AK33" s="299">
        <v>13</v>
      </c>
      <c r="AL33" s="299" t="s">
        <v>82</v>
      </c>
      <c r="AM33" s="299" t="s">
        <v>105</v>
      </c>
      <c r="AO33" s="299">
        <v>60</v>
      </c>
      <c r="AP33" s="299" t="s">
        <v>82</v>
      </c>
      <c r="AQ33" s="299" t="s">
        <v>122</v>
      </c>
    </row>
    <row r="34" spans="1:43" ht="15" customHeight="1" x14ac:dyDescent="0.25">
      <c r="A34">
        <v>33</v>
      </c>
      <c r="B34" t="s">
        <v>97</v>
      </c>
      <c r="C34" t="s">
        <v>688</v>
      </c>
      <c r="E34" s="72" t="s">
        <v>708</v>
      </c>
      <c r="F34" t="s">
        <v>97</v>
      </c>
      <c r="G34" t="s">
        <v>134</v>
      </c>
      <c r="I34" s="171">
        <v>45</v>
      </c>
      <c r="J34" s="171" t="s">
        <v>97</v>
      </c>
      <c r="K34" s="171" t="s">
        <v>688</v>
      </c>
      <c r="M34" s="171">
        <v>35</v>
      </c>
      <c r="N34" s="171" t="s">
        <v>97</v>
      </c>
      <c r="O34" s="171" t="s">
        <v>122</v>
      </c>
      <c r="Q34" s="399">
        <v>17</v>
      </c>
      <c r="R34" s="171" t="s">
        <v>97</v>
      </c>
      <c r="S34" s="398" t="s">
        <v>122</v>
      </c>
      <c r="U34" s="423">
        <v>35</v>
      </c>
      <c r="V34" s="171" t="s">
        <v>97</v>
      </c>
      <c r="W34" s="171" t="s">
        <v>688</v>
      </c>
      <c r="Y34" s="171">
        <v>13</v>
      </c>
      <c r="Z34" s="171" t="s">
        <v>97</v>
      </c>
      <c r="AA34" s="171" t="s">
        <v>122</v>
      </c>
      <c r="AC34" s="505">
        <v>34</v>
      </c>
      <c r="AD34" s="505" t="s">
        <v>97</v>
      </c>
      <c r="AE34" s="505" t="s">
        <v>122</v>
      </c>
      <c r="AG34" s="171">
        <v>44</v>
      </c>
      <c r="AH34" s="171" t="s">
        <v>97</v>
      </c>
      <c r="AI34" s="171" t="s">
        <v>122</v>
      </c>
      <c r="AK34" s="299">
        <v>57</v>
      </c>
      <c r="AL34" s="299" t="s">
        <v>82</v>
      </c>
      <c r="AM34" s="299" t="s">
        <v>105</v>
      </c>
      <c r="AO34" s="299">
        <v>60</v>
      </c>
      <c r="AP34" s="299" t="s">
        <v>82</v>
      </c>
      <c r="AQ34" s="299" t="s">
        <v>122</v>
      </c>
    </row>
    <row r="35" spans="1:43" ht="15" customHeight="1" x14ac:dyDescent="0.25">
      <c r="A35">
        <v>34</v>
      </c>
      <c r="B35" t="s">
        <v>97</v>
      </c>
      <c r="C35" t="s">
        <v>688</v>
      </c>
      <c r="E35" s="72" t="s">
        <v>708</v>
      </c>
      <c r="F35" t="s">
        <v>97</v>
      </c>
      <c r="G35" t="s">
        <v>134</v>
      </c>
      <c r="I35" s="171">
        <v>34</v>
      </c>
      <c r="J35" s="171" t="s">
        <v>97</v>
      </c>
      <c r="K35" s="171" t="s">
        <v>688</v>
      </c>
      <c r="M35" s="171">
        <v>68</v>
      </c>
      <c r="N35" s="171" t="s">
        <v>97</v>
      </c>
      <c r="O35" s="171" t="s">
        <v>122</v>
      </c>
      <c r="Q35" s="399">
        <v>39</v>
      </c>
      <c r="R35" s="171" t="s">
        <v>97</v>
      </c>
      <c r="S35" s="398" t="s">
        <v>122</v>
      </c>
      <c r="U35" s="423">
        <v>19</v>
      </c>
      <c r="V35" s="171" t="s">
        <v>97</v>
      </c>
      <c r="W35" s="171" t="s">
        <v>688</v>
      </c>
      <c r="Y35" s="171">
        <v>40</v>
      </c>
      <c r="Z35" s="171" t="s">
        <v>97</v>
      </c>
      <c r="AA35" s="171" t="s">
        <v>122</v>
      </c>
      <c r="AC35" s="505">
        <v>70</v>
      </c>
      <c r="AD35" s="505" t="s">
        <v>97</v>
      </c>
      <c r="AE35" s="505" t="s">
        <v>122</v>
      </c>
      <c r="AG35" s="171">
        <v>76</v>
      </c>
      <c r="AH35" s="171" t="s">
        <v>97</v>
      </c>
      <c r="AI35" s="171" t="s">
        <v>122</v>
      </c>
      <c r="AK35" s="299">
        <v>13</v>
      </c>
      <c r="AL35" s="299" t="s">
        <v>82</v>
      </c>
      <c r="AM35" s="299" t="s">
        <v>105</v>
      </c>
      <c r="AO35" s="299">
        <v>15</v>
      </c>
      <c r="AP35" s="299" t="s">
        <v>82</v>
      </c>
      <c r="AQ35" s="299" t="s">
        <v>122</v>
      </c>
    </row>
    <row r="36" spans="1:43" ht="15" customHeight="1" x14ac:dyDescent="0.25">
      <c r="A36">
        <v>38</v>
      </c>
      <c r="B36" t="s">
        <v>97</v>
      </c>
      <c r="C36" t="s">
        <v>688</v>
      </c>
      <c r="E36" s="72" t="s">
        <v>707</v>
      </c>
      <c r="F36" t="s">
        <v>97</v>
      </c>
      <c r="G36" t="s">
        <v>134</v>
      </c>
      <c r="I36" s="171">
        <v>68</v>
      </c>
      <c r="J36" s="171" t="s">
        <v>97</v>
      </c>
      <c r="K36" s="171" t="s">
        <v>688</v>
      </c>
      <c r="M36" s="171">
        <v>88</v>
      </c>
      <c r="N36" s="171" t="s">
        <v>97</v>
      </c>
      <c r="O36" s="171" t="s">
        <v>122</v>
      </c>
      <c r="Q36" s="399">
        <v>72</v>
      </c>
      <c r="R36" s="171" t="s">
        <v>97</v>
      </c>
      <c r="S36" s="398" t="s">
        <v>122</v>
      </c>
      <c r="U36" s="423">
        <v>23</v>
      </c>
      <c r="V36" s="171" t="s">
        <v>98</v>
      </c>
      <c r="W36" s="171" t="s">
        <v>688</v>
      </c>
      <c r="Y36" s="171">
        <v>82</v>
      </c>
      <c r="Z36" s="171" t="s">
        <v>97</v>
      </c>
      <c r="AA36" s="171" t="s">
        <v>122</v>
      </c>
      <c r="AC36" s="505">
        <v>14</v>
      </c>
      <c r="AD36" s="505" t="s">
        <v>97</v>
      </c>
      <c r="AE36" s="505" t="s">
        <v>122</v>
      </c>
      <c r="AG36" s="171">
        <v>26</v>
      </c>
      <c r="AH36" s="171" t="s">
        <v>97</v>
      </c>
      <c r="AI36" s="171" t="s">
        <v>122</v>
      </c>
      <c r="AK36" s="299">
        <v>29</v>
      </c>
      <c r="AL36" s="299" t="s">
        <v>82</v>
      </c>
      <c r="AM36" s="299" t="s">
        <v>105</v>
      </c>
      <c r="AO36" s="299">
        <v>67</v>
      </c>
      <c r="AP36" s="299" t="s">
        <v>82</v>
      </c>
      <c r="AQ36" s="299" t="s">
        <v>122</v>
      </c>
    </row>
    <row r="37" spans="1:43" ht="15" customHeight="1" x14ac:dyDescent="0.25">
      <c r="A37">
        <v>43</v>
      </c>
      <c r="B37" t="s">
        <v>98</v>
      </c>
      <c r="C37" t="s">
        <v>688</v>
      </c>
      <c r="E37" s="72" t="s">
        <v>707</v>
      </c>
      <c r="F37" t="s">
        <v>98</v>
      </c>
      <c r="G37" t="s">
        <v>134</v>
      </c>
      <c r="I37" s="171">
        <v>50</v>
      </c>
      <c r="J37" s="171" t="s">
        <v>97</v>
      </c>
      <c r="K37" s="171" t="s">
        <v>688</v>
      </c>
      <c r="M37" s="171">
        <v>78</v>
      </c>
      <c r="N37" s="171" t="s">
        <v>97</v>
      </c>
      <c r="O37" s="171" t="s">
        <v>122</v>
      </c>
      <c r="Q37" s="399">
        <v>41</v>
      </c>
      <c r="R37" s="171" t="s">
        <v>97</v>
      </c>
      <c r="S37" s="398" t="s">
        <v>122</v>
      </c>
      <c r="U37" s="423">
        <v>14</v>
      </c>
      <c r="V37" s="171" t="s">
        <v>98</v>
      </c>
      <c r="W37" s="171" t="s">
        <v>688</v>
      </c>
      <c r="Y37" s="171">
        <v>47</v>
      </c>
      <c r="Z37" s="171" t="s">
        <v>97</v>
      </c>
      <c r="AA37" s="171" t="s">
        <v>122</v>
      </c>
      <c r="AC37" s="505">
        <v>89</v>
      </c>
      <c r="AD37" s="505" t="s">
        <v>97</v>
      </c>
      <c r="AE37" s="505" t="s">
        <v>122</v>
      </c>
      <c r="AG37" s="171">
        <v>13</v>
      </c>
      <c r="AH37" s="171" t="s">
        <v>97</v>
      </c>
      <c r="AI37" s="171" t="s">
        <v>122</v>
      </c>
      <c r="AK37" s="299">
        <v>27</v>
      </c>
      <c r="AL37" s="299" t="s">
        <v>82</v>
      </c>
      <c r="AM37" s="299" t="s">
        <v>105</v>
      </c>
      <c r="AO37" s="299">
        <v>57</v>
      </c>
      <c r="AP37" s="299" t="s">
        <v>82</v>
      </c>
      <c r="AQ37" s="299" t="s">
        <v>122</v>
      </c>
    </row>
    <row r="38" spans="1:43" ht="15" customHeight="1" x14ac:dyDescent="0.25">
      <c r="A38">
        <v>40</v>
      </c>
      <c r="B38" t="s">
        <v>97</v>
      </c>
      <c r="C38" t="s">
        <v>688</v>
      </c>
      <c r="E38" s="72" t="s">
        <v>707</v>
      </c>
      <c r="F38" t="s">
        <v>97</v>
      </c>
      <c r="G38" t="s">
        <v>134</v>
      </c>
      <c r="I38" s="171">
        <v>71</v>
      </c>
      <c r="J38" s="171" t="s">
        <v>98</v>
      </c>
      <c r="K38" s="171" t="s">
        <v>688</v>
      </c>
      <c r="M38" s="171">
        <v>56</v>
      </c>
      <c r="N38" s="171" t="s">
        <v>97</v>
      </c>
      <c r="O38" s="171" t="s">
        <v>122</v>
      </c>
      <c r="Q38" s="399">
        <v>60</v>
      </c>
      <c r="R38" s="171" t="s">
        <v>97</v>
      </c>
      <c r="S38" s="398" t="s">
        <v>122</v>
      </c>
      <c r="U38" s="423">
        <v>49</v>
      </c>
      <c r="V38" s="171" t="s">
        <v>98</v>
      </c>
      <c r="W38" s="171" t="s">
        <v>688</v>
      </c>
      <c r="Y38" s="171">
        <v>69</v>
      </c>
      <c r="Z38" s="171" t="s">
        <v>97</v>
      </c>
      <c r="AA38" s="171" t="s">
        <v>122</v>
      </c>
      <c r="AC38" s="505">
        <v>76</v>
      </c>
      <c r="AD38" s="505" t="s">
        <v>97</v>
      </c>
      <c r="AE38" s="505" t="s">
        <v>122</v>
      </c>
      <c r="AG38" s="171">
        <v>26</v>
      </c>
      <c r="AH38" s="171" t="s">
        <v>97</v>
      </c>
      <c r="AI38" s="171" t="s">
        <v>122</v>
      </c>
      <c r="AK38" s="299">
        <v>53</v>
      </c>
      <c r="AL38" s="299" t="s">
        <v>82</v>
      </c>
      <c r="AM38" s="299" t="s">
        <v>105</v>
      </c>
      <c r="AO38" s="299">
        <v>54</v>
      </c>
      <c r="AP38" s="299" t="s">
        <v>82</v>
      </c>
      <c r="AQ38" s="299" t="s">
        <v>122</v>
      </c>
    </row>
    <row r="39" spans="1:43" ht="15" customHeight="1" x14ac:dyDescent="0.25">
      <c r="A39">
        <v>41</v>
      </c>
      <c r="B39" t="s">
        <v>97</v>
      </c>
      <c r="C39" t="s">
        <v>688</v>
      </c>
      <c r="E39" s="72" t="s">
        <v>707</v>
      </c>
      <c r="F39" t="s">
        <v>98</v>
      </c>
      <c r="G39" t="s">
        <v>134</v>
      </c>
      <c r="I39" s="171">
        <v>27</v>
      </c>
      <c r="J39" s="171" t="s">
        <v>98</v>
      </c>
      <c r="K39" s="171" t="s">
        <v>688</v>
      </c>
      <c r="M39" s="171">
        <v>38</v>
      </c>
      <c r="N39" s="171" t="s">
        <v>97</v>
      </c>
      <c r="O39" s="171" t="s">
        <v>122</v>
      </c>
      <c r="Q39" s="399">
        <v>63</v>
      </c>
      <c r="R39" s="171" t="s">
        <v>97</v>
      </c>
      <c r="S39" s="398" t="s">
        <v>122</v>
      </c>
      <c r="U39" s="423">
        <v>48</v>
      </c>
      <c r="V39" s="171" t="s">
        <v>97</v>
      </c>
      <c r="W39" s="171" t="s">
        <v>688</v>
      </c>
      <c r="Y39" s="171">
        <v>36</v>
      </c>
      <c r="Z39" s="171" t="s">
        <v>97</v>
      </c>
      <c r="AA39" s="171" t="s">
        <v>122</v>
      </c>
      <c r="AC39" s="505">
        <v>19</v>
      </c>
      <c r="AD39" s="505" t="s">
        <v>97</v>
      </c>
      <c r="AE39" s="505" t="s">
        <v>122</v>
      </c>
      <c r="AG39" s="171">
        <v>14</v>
      </c>
      <c r="AH39" s="171" t="s">
        <v>97</v>
      </c>
      <c r="AI39" s="171" t="s">
        <v>122</v>
      </c>
      <c r="AK39" s="299">
        <v>33</v>
      </c>
      <c r="AL39" s="299" t="s">
        <v>82</v>
      </c>
      <c r="AM39" s="299" t="s">
        <v>105</v>
      </c>
      <c r="AO39" s="299">
        <v>22</v>
      </c>
      <c r="AP39" s="299" t="s">
        <v>82</v>
      </c>
      <c r="AQ39" s="299" t="s">
        <v>122</v>
      </c>
    </row>
    <row r="40" spans="1:43" ht="15" customHeight="1" x14ac:dyDescent="0.25">
      <c r="A40">
        <v>46</v>
      </c>
      <c r="B40" t="s">
        <v>98</v>
      </c>
      <c r="C40" t="s">
        <v>688</v>
      </c>
      <c r="E40" s="72" t="s">
        <v>695</v>
      </c>
      <c r="F40" t="s">
        <v>98</v>
      </c>
      <c r="G40" t="s">
        <v>79</v>
      </c>
      <c r="I40" s="171">
        <v>66</v>
      </c>
      <c r="J40" s="171" t="s">
        <v>98</v>
      </c>
      <c r="K40" s="171" t="s">
        <v>688</v>
      </c>
      <c r="M40" s="171">
        <v>22</v>
      </c>
      <c r="N40" s="171" t="s">
        <v>98</v>
      </c>
      <c r="O40" s="171" t="s">
        <v>123</v>
      </c>
      <c r="Q40" s="399">
        <v>71</v>
      </c>
      <c r="R40" s="171" t="s">
        <v>97</v>
      </c>
      <c r="S40" s="398" t="s">
        <v>122</v>
      </c>
      <c r="U40" s="423">
        <v>96</v>
      </c>
      <c r="V40" s="171" t="s">
        <v>98</v>
      </c>
      <c r="W40" s="171" t="s">
        <v>688</v>
      </c>
      <c r="Y40" s="171">
        <v>80</v>
      </c>
      <c r="Z40" s="171" t="s">
        <v>97</v>
      </c>
      <c r="AA40" s="171" t="s">
        <v>122</v>
      </c>
      <c r="AC40" s="505">
        <v>66</v>
      </c>
      <c r="AD40" s="505" t="s">
        <v>97</v>
      </c>
      <c r="AE40" s="505" t="s">
        <v>122</v>
      </c>
      <c r="AG40" s="171">
        <v>73</v>
      </c>
      <c r="AH40" s="171" t="s">
        <v>97</v>
      </c>
      <c r="AI40" s="171" t="s">
        <v>122</v>
      </c>
      <c r="AK40" s="299">
        <v>15</v>
      </c>
      <c r="AL40" s="299" t="s">
        <v>82</v>
      </c>
      <c r="AM40" s="299" t="s">
        <v>105</v>
      </c>
      <c r="AO40" s="299">
        <v>31</v>
      </c>
      <c r="AP40" s="299" t="s">
        <v>82</v>
      </c>
      <c r="AQ40" s="299" t="s">
        <v>122</v>
      </c>
    </row>
    <row r="41" spans="1:43" ht="15" customHeight="1" x14ac:dyDescent="0.25">
      <c r="A41">
        <v>46</v>
      </c>
      <c r="B41" t="s">
        <v>98</v>
      </c>
      <c r="C41" t="s">
        <v>688</v>
      </c>
      <c r="E41" s="72" t="s">
        <v>695</v>
      </c>
      <c r="F41" t="s">
        <v>97</v>
      </c>
      <c r="G41" t="s">
        <v>79</v>
      </c>
      <c r="I41" s="171">
        <v>57</v>
      </c>
      <c r="J41" s="171" t="s">
        <v>98</v>
      </c>
      <c r="K41" s="171" t="s">
        <v>688</v>
      </c>
      <c r="M41" s="171">
        <v>42</v>
      </c>
      <c r="N41" s="171" t="s">
        <v>98</v>
      </c>
      <c r="O41" s="171" t="s">
        <v>123</v>
      </c>
      <c r="Q41" s="399">
        <v>57</v>
      </c>
      <c r="R41" s="171" t="s">
        <v>97</v>
      </c>
      <c r="S41" s="398" t="s">
        <v>122</v>
      </c>
      <c r="U41" s="423">
        <v>75</v>
      </c>
      <c r="V41" s="171" t="s">
        <v>98</v>
      </c>
      <c r="W41" s="171" t="s">
        <v>688</v>
      </c>
      <c r="Y41" s="171">
        <v>43</v>
      </c>
      <c r="Z41" s="171" t="s">
        <v>97</v>
      </c>
      <c r="AA41" s="171" t="s">
        <v>122</v>
      </c>
      <c r="AC41" s="505">
        <v>18</v>
      </c>
      <c r="AD41" s="505" t="s">
        <v>97</v>
      </c>
      <c r="AE41" s="505" t="s">
        <v>122</v>
      </c>
      <c r="AG41" s="171">
        <v>83</v>
      </c>
      <c r="AH41" s="171" t="s">
        <v>97</v>
      </c>
      <c r="AI41" s="171" t="s">
        <v>122</v>
      </c>
      <c r="AK41" s="299">
        <v>47</v>
      </c>
      <c r="AL41" s="299" t="s">
        <v>82</v>
      </c>
      <c r="AM41" s="299" t="s">
        <v>105</v>
      </c>
      <c r="AO41" s="299">
        <v>22</v>
      </c>
      <c r="AP41" s="299" t="s">
        <v>82</v>
      </c>
      <c r="AQ41" s="299" t="s">
        <v>122</v>
      </c>
    </row>
    <row r="42" spans="1:43" ht="15" customHeight="1" x14ac:dyDescent="0.25">
      <c r="A42">
        <v>50</v>
      </c>
      <c r="B42" t="s">
        <v>98</v>
      </c>
      <c r="C42" t="s">
        <v>688</v>
      </c>
      <c r="E42" s="72" t="s">
        <v>695</v>
      </c>
      <c r="F42" t="s">
        <v>97</v>
      </c>
      <c r="G42" t="s">
        <v>79</v>
      </c>
      <c r="I42" s="171">
        <v>42</v>
      </c>
      <c r="J42" s="171" t="s">
        <v>97</v>
      </c>
      <c r="K42" s="171" t="s">
        <v>688</v>
      </c>
      <c r="M42" s="171">
        <v>65</v>
      </c>
      <c r="N42" s="171" t="s">
        <v>98</v>
      </c>
      <c r="O42" s="171" t="s">
        <v>123</v>
      </c>
      <c r="Q42" s="399">
        <v>78</v>
      </c>
      <c r="R42" s="171" t="s">
        <v>97</v>
      </c>
      <c r="S42" s="398" t="s">
        <v>122</v>
      </c>
      <c r="U42" s="423">
        <v>69</v>
      </c>
      <c r="V42" s="171" t="s">
        <v>98</v>
      </c>
      <c r="W42" s="171" t="s">
        <v>688</v>
      </c>
      <c r="Y42" s="171">
        <v>43</v>
      </c>
      <c r="Z42" s="171" t="s">
        <v>97</v>
      </c>
      <c r="AA42" s="171" t="s">
        <v>122</v>
      </c>
      <c r="AC42" s="505">
        <v>45</v>
      </c>
      <c r="AD42" s="505" t="s">
        <v>97</v>
      </c>
      <c r="AE42" s="505" t="s">
        <v>122</v>
      </c>
      <c r="AG42" s="171">
        <v>53</v>
      </c>
      <c r="AH42" s="171" t="s">
        <v>97</v>
      </c>
      <c r="AI42" s="171" t="s">
        <v>122</v>
      </c>
      <c r="AK42" s="299">
        <v>54</v>
      </c>
      <c r="AL42" s="299" t="s">
        <v>82</v>
      </c>
      <c r="AM42" s="299" t="s">
        <v>105</v>
      </c>
      <c r="AO42" s="299">
        <v>38</v>
      </c>
      <c r="AP42" s="299" t="s">
        <v>82</v>
      </c>
      <c r="AQ42" s="299" t="s">
        <v>122</v>
      </c>
    </row>
    <row r="43" spans="1:43" ht="15" customHeight="1" x14ac:dyDescent="0.25">
      <c r="A43">
        <v>46</v>
      </c>
      <c r="B43" t="s">
        <v>97</v>
      </c>
      <c r="C43" t="s">
        <v>688</v>
      </c>
      <c r="E43" s="72" t="s">
        <v>695</v>
      </c>
      <c r="F43" t="s">
        <v>97</v>
      </c>
      <c r="G43" t="s">
        <v>79</v>
      </c>
      <c r="I43" s="171">
        <v>63</v>
      </c>
      <c r="J43" s="171" t="s">
        <v>97</v>
      </c>
      <c r="K43" s="171" t="s">
        <v>688</v>
      </c>
      <c r="M43" s="171">
        <v>16</v>
      </c>
      <c r="N43" s="171" t="s">
        <v>98</v>
      </c>
      <c r="O43" s="171" t="s">
        <v>123</v>
      </c>
      <c r="Q43" s="399">
        <v>22</v>
      </c>
      <c r="R43" s="171" t="s">
        <v>97</v>
      </c>
      <c r="S43" s="398" t="s">
        <v>122</v>
      </c>
      <c r="U43" s="423">
        <v>7</v>
      </c>
      <c r="V43" s="171" t="s">
        <v>97</v>
      </c>
      <c r="W43" s="171" t="s">
        <v>688</v>
      </c>
      <c r="Y43" s="171">
        <v>51</v>
      </c>
      <c r="Z43" s="171" t="s">
        <v>97</v>
      </c>
      <c r="AA43" s="171" t="s">
        <v>122</v>
      </c>
      <c r="AC43" s="505">
        <v>51</v>
      </c>
      <c r="AD43" s="505" t="s">
        <v>97</v>
      </c>
      <c r="AE43" s="505" t="s">
        <v>122</v>
      </c>
      <c r="AG43" s="171">
        <v>66</v>
      </c>
      <c r="AH43" s="171" t="s">
        <v>98</v>
      </c>
      <c r="AI43" s="171" t="s">
        <v>123</v>
      </c>
      <c r="AK43" s="299">
        <v>77</v>
      </c>
      <c r="AL43" s="299" t="s">
        <v>82</v>
      </c>
      <c r="AM43" s="299" t="s">
        <v>105</v>
      </c>
      <c r="AO43" s="299">
        <v>68</v>
      </c>
      <c r="AP43" s="299" t="s">
        <v>82</v>
      </c>
      <c r="AQ43" s="299" t="s">
        <v>122</v>
      </c>
    </row>
    <row r="44" spans="1:43" ht="15" customHeight="1" x14ac:dyDescent="0.25">
      <c r="A44">
        <v>51</v>
      </c>
      <c r="B44" t="s">
        <v>98</v>
      </c>
      <c r="C44" t="s">
        <v>688</v>
      </c>
      <c r="E44" s="72" t="s">
        <v>695</v>
      </c>
      <c r="F44" t="s">
        <v>98</v>
      </c>
      <c r="G44" t="s">
        <v>79</v>
      </c>
      <c r="I44" s="171">
        <v>46</v>
      </c>
      <c r="J44" s="171" t="s">
        <v>98</v>
      </c>
      <c r="K44" s="171" t="s">
        <v>688</v>
      </c>
      <c r="M44" s="171">
        <v>59</v>
      </c>
      <c r="N44" s="171" t="s">
        <v>98</v>
      </c>
      <c r="O44" s="171" t="s">
        <v>123</v>
      </c>
      <c r="Q44" s="399">
        <v>41</v>
      </c>
      <c r="R44" s="171" t="s">
        <v>97</v>
      </c>
      <c r="S44" s="398" t="s">
        <v>122</v>
      </c>
      <c r="U44" s="423">
        <v>3</v>
      </c>
      <c r="V44" s="171" t="s">
        <v>98</v>
      </c>
      <c r="W44" s="171" t="s">
        <v>688</v>
      </c>
      <c r="Y44" s="171">
        <v>39</v>
      </c>
      <c r="Z44" s="171" t="s">
        <v>97</v>
      </c>
      <c r="AA44" s="171" t="s">
        <v>122</v>
      </c>
      <c r="AC44" s="505">
        <v>33</v>
      </c>
      <c r="AD44" s="505" t="s">
        <v>97</v>
      </c>
      <c r="AE44" s="505" t="s">
        <v>122</v>
      </c>
      <c r="AG44" s="171">
        <v>52</v>
      </c>
      <c r="AH44" s="171" t="s">
        <v>98</v>
      </c>
      <c r="AI44" s="171" t="s">
        <v>123</v>
      </c>
      <c r="AK44" s="299">
        <v>59</v>
      </c>
      <c r="AL44" s="299" t="s">
        <v>82</v>
      </c>
      <c r="AM44" s="299" t="s">
        <v>105</v>
      </c>
      <c r="AO44" s="299">
        <v>66</v>
      </c>
      <c r="AP44" s="299" t="s">
        <v>82</v>
      </c>
      <c r="AQ44" s="299" t="s">
        <v>122</v>
      </c>
    </row>
    <row r="45" spans="1:43" ht="15" customHeight="1" x14ac:dyDescent="0.25">
      <c r="A45">
        <v>46</v>
      </c>
      <c r="B45" t="s">
        <v>97</v>
      </c>
      <c r="C45" t="s">
        <v>688</v>
      </c>
      <c r="E45" s="72" t="s">
        <v>694</v>
      </c>
      <c r="F45" t="s">
        <v>98</v>
      </c>
      <c r="G45" t="s">
        <v>79</v>
      </c>
      <c r="I45" s="171">
        <v>45</v>
      </c>
      <c r="J45" s="171" t="s">
        <v>97</v>
      </c>
      <c r="K45" s="171" t="s">
        <v>688</v>
      </c>
      <c r="M45" s="171">
        <v>17</v>
      </c>
      <c r="N45" s="171" t="s">
        <v>98</v>
      </c>
      <c r="O45" s="171" t="s">
        <v>123</v>
      </c>
      <c r="Q45" s="399">
        <v>17</v>
      </c>
      <c r="R45" s="171" t="s">
        <v>97</v>
      </c>
      <c r="S45" s="398" t="s">
        <v>122</v>
      </c>
      <c r="U45" s="423">
        <v>33</v>
      </c>
      <c r="V45" s="171" t="s">
        <v>98</v>
      </c>
      <c r="W45" s="171" t="s">
        <v>688</v>
      </c>
      <c r="Y45" s="171">
        <v>17</v>
      </c>
      <c r="Z45" s="171" t="s">
        <v>97</v>
      </c>
      <c r="AA45" s="171" t="s">
        <v>122</v>
      </c>
      <c r="AC45" s="505">
        <v>15</v>
      </c>
      <c r="AD45" s="505" t="s">
        <v>97</v>
      </c>
      <c r="AE45" s="505" t="s">
        <v>122</v>
      </c>
      <c r="AG45" s="171">
        <v>40</v>
      </c>
      <c r="AH45" s="171" t="s">
        <v>98</v>
      </c>
      <c r="AI45" s="171" t="s">
        <v>123</v>
      </c>
      <c r="AK45" s="299">
        <v>72</v>
      </c>
      <c r="AL45" s="299" t="s">
        <v>82</v>
      </c>
      <c r="AM45" s="299" t="s">
        <v>105</v>
      </c>
      <c r="AO45" s="299">
        <v>40</v>
      </c>
      <c r="AP45" s="299" t="s">
        <v>82</v>
      </c>
      <c r="AQ45" s="299" t="s">
        <v>122</v>
      </c>
    </row>
    <row r="46" spans="1:43" ht="15" customHeight="1" x14ac:dyDescent="0.25">
      <c r="A46">
        <v>53</v>
      </c>
      <c r="B46" t="s">
        <v>98</v>
      </c>
      <c r="C46" t="s">
        <v>688</v>
      </c>
      <c r="E46" s="72" t="s">
        <v>694</v>
      </c>
      <c r="F46" t="s">
        <v>98</v>
      </c>
      <c r="G46" t="s">
        <v>79</v>
      </c>
      <c r="I46" s="171">
        <v>68</v>
      </c>
      <c r="J46" s="171" t="s">
        <v>97</v>
      </c>
      <c r="K46" s="171" t="s">
        <v>688</v>
      </c>
      <c r="M46" s="171">
        <v>47</v>
      </c>
      <c r="N46" s="171" t="s">
        <v>98</v>
      </c>
      <c r="O46" s="171" t="s">
        <v>123</v>
      </c>
      <c r="Q46" s="399">
        <v>62</v>
      </c>
      <c r="R46" s="171" t="s">
        <v>97</v>
      </c>
      <c r="S46" s="398" t="s">
        <v>122</v>
      </c>
      <c r="U46" s="423">
        <v>30</v>
      </c>
      <c r="V46" s="171" t="s">
        <v>97</v>
      </c>
      <c r="W46" s="171" t="s">
        <v>688</v>
      </c>
      <c r="Y46" s="171">
        <v>73</v>
      </c>
      <c r="Z46" s="171" t="s">
        <v>97</v>
      </c>
      <c r="AA46" s="171" t="s">
        <v>122</v>
      </c>
      <c r="AC46" s="505">
        <v>66</v>
      </c>
      <c r="AD46" s="505" t="s">
        <v>97</v>
      </c>
      <c r="AE46" s="505" t="s">
        <v>122</v>
      </c>
      <c r="AG46" s="171">
        <v>27</v>
      </c>
      <c r="AH46" s="171" t="s">
        <v>98</v>
      </c>
      <c r="AI46" s="171" t="s">
        <v>123</v>
      </c>
      <c r="AK46" s="299">
        <v>85</v>
      </c>
      <c r="AL46" s="299" t="s">
        <v>82</v>
      </c>
      <c r="AM46" s="299" t="s">
        <v>105</v>
      </c>
      <c r="AO46" s="299">
        <v>41</v>
      </c>
      <c r="AP46" s="299" t="s">
        <v>82</v>
      </c>
      <c r="AQ46" s="299" t="s">
        <v>122</v>
      </c>
    </row>
    <row r="47" spans="1:43" ht="15" customHeight="1" x14ac:dyDescent="0.25">
      <c r="A47">
        <v>53</v>
      </c>
      <c r="B47" t="s">
        <v>98</v>
      </c>
      <c r="C47" t="s">
        <v>688</v>
      </c>
      <c r="E47" s="72" t="s">
        <v>694</v>
      </c>
      <c r="F47" t="s">
        <v>98</v>
      </c>
      <c r="G47" t="s">
        <v>79</v>
      </c>
      <c r="I47" s="171">
        <v>26</v>
      </c>
      <c r="J47" s="171" t="s">
        <v>97</v>
      </c>
      <c r="K47" s="171" t="s">
        <v>688</v>
      </c>
      <c r="M47" s="171">
        <v>42</v>
      </c>
      <c r="N47" s="171" t="s">
        <v>98</v>
      </c>
      <c r="O47" s="171" t="s">
        <v>123</v>
      </c>
      <c r="Q47" s="399">
        <v>61</v>
      </c>
      <c r="R47" s="171" t="s">
        <v>97</v>
      </c>
      <c r="S47" s="398" t="s">
        <v>122</v>
      </c>
      <c r="U47" s="423">
        <v>69</v>
      </c>
      <c r="V47" s="171" t="s">
        <v>98</v>
      </c>
      <c r="W47" s="171" t="s">
        <v>688</v>
      </c>
      <c r="Y47" s="171">
        <v>59</v>
      </c>
      <c r="Z47" s="171" t="s">
        <v>97</v>
      </c>
      <c r="AA47" s="171" t="s">
        <v>122</v>
      </c>
      <c r="AC47" s="505">
        <v>44</v>
      </c>
      <c r="AD47" s="505" t="s">
        <v>97</v>
      </c>
      <c r="AE47" s="505" t="s">
        <v>122</v>
      </c>
      <c r="AG47" s="171">
        <v>87</v>
      </c>
      <c r="AH47" s="171" t="s">
        <v>98</v>
      </c>
      <c r="AI47" s="171" t="s">
        <v>123</v>
      </c>
      <c r="AK47" s="299">
        <v>18</v>
      </c>
      <c r="AL47" s="299" t="s">
        <v>82</v>
      </c>
      <c r="AM47" s="299" t="s">
        <v>105</v>
      </c>
      <c r="AO47" s="299">
        <v>22</v>
      </c>
      <c r="AP47" s="299" t="s">
        <v>82</v>
      </c>
      <c r="AQ47" s="299" t="s">
        <v>122</v>
      </c>
    </row>
    <row r="48" spans="1:43" ht="15" customHeight="1" x14ac:dyDescent="0.25">
      <c r="A48">
        <v>55</v>
      </c>
      <c r="B48" t="s">
        <v>98</v>
      </c>
      <c r="C48" t="s">
        <v>688</v>
      </c>
      <c r="E48" s="72" t="s">
        <v>694</v>
      </c>
      <c r="F48" t="s">
        <v>98</v>
      </c>
      <c r="G48" t="s">
        <v>79</v>
      </c>
      <c r="I48" s="171">
        <v>30</v>
      </c>
      <c r="J48" s="171" t="s">
        <v>97</v>
      </c>
      <c r="K48" s="171" t="s">
        <v>688</v>
      </c>
      <c r="M48" s="171">
        <v>68</v>
      </c>
      <c r="N48" s="171" t="s">
        <v>98</v>
      </c>
      <c r="O48" s="171" t="s">
        <v>123</v>
      </c>
      <c r="Q48" s="399">
        <v>45</v>
      </c>
      <c r="R48" s="171" t="s">
        <v>97</v>
      </c>
      <c r="S48" s="398" t="s">
        <v>122</v>
      </c>
      <c r="U48" s="423">
        <v>69</v>
      </c>
      <c r="V48" s="171" t="s">
        <v>97</v>
      </c>
      <c r="W48" s="171" t="s">
        <v>688</v>
      </c>
      <c r="Y48" s="171">
        <v>25</v>
      </c>
      <c r="Z48" s="171" t="s">
        <v>97</v>
      </c>
      <c r="AA48" s="171" t="s">
        <v>122</v>
      </c>
      <c r="AC48" s="505">
        <v>72</v>
      </c>
      <c r="AD48" s="505" t="s">
        <v>97</v>
      </c>
      <c r="AE48" s="505" t="s">
        <v>122</v>
      </c>
      <c r="AG48" s="171">
        <v>81</v>
      </c>
      <c r="AH48" s="171" t="s">
        <v>98</v>
      </c>
      <c r="AI48" s="171" t="s">
        <v>123</v>
      </c>
      <c r="AK48" s="299">
        <v>50</v>
      </c>
      <c r="AL48" s="299" t="s">
        <v>82</v>
      </c>
      <c r="AM48" s="299" t="s">
        <v>105</v>
      </c>
      <c r="AO48" s="299">
        <v>54</v>
      </c>
      <c r="AP48" s="299" t="s">
        <v>82</v>
      </c>
      <c r="AQ48" s="299" t="s">
        <v>122</v>
      </c>
    </row>
    <row r="49" spans="1:43" ht="15" customHeight="1" x14ac:dyDescent="0.25">
      <c r="A49">
        <v>47</v>
      </c>
      <c r="B49" t="s">
        <v>97</v>
      </c>
      <c r="C49" t="s">
        <v>688</v>
      </c>
      <c r="E49" s="72" t="s">
        <v>694</v>
      </c>
      <c r="F49" t="s">
        <v>98</v>
      </c>
      <c r="G49" t="s">
        <v>79</v>
      </c>
      <c r="I49" s="171">
        <v>52</v>
      </c>
      <c r="J49" s="171" t="s">
        <v>97</v>
      </c>
      <c r="K49" s="171" t="s">
        <v>688</v>
      </c>
      <c r="M49" s="171">
        <v>71</v>
      </c>
      <c r="N49" s="171" t="s">
        <v>98</v>
      </c>
      <c r="O49" s="171" t="s">
        <v>123</v>
      </c>
      <c r="Q49" s="399">
        <v>38</v>
      </c>
      <c r="R49" s="171" t="s">
        <v>97</v>
      </c>
      <c r="S49" s="398" t="s">
        <v>122</v>
      </c>
      <c r="U49" s="423">
        <v>52</v>
      </c>
      <c r="V49" s="171" t="s">
        <v>98</v>
      </c>
      <c r="W49" s="171" t="s">
        <v>688</v>
      </c>
      <c r="Y49" s="171">
        <v>46</v>
      </c>
      <c r="Z49" s="171" t="s">
        <v>97</v>
      </c>
      <c r="AA49" s="171" t="s">
        <v>122</v>
      </c>
      <c r="AC49" s="505">
        <v>46</v>
      </c>
      <c r="AD49" s="505" t="s">
        <v>97</v>
      </c>
      <c r="AE49" s="505" t="s">
        <v>122</v>
      </c>
      <c r="AG49" s="171">
        <v>45</v>
      </c>
      <c r="AH49" s="171" t="s">
        <v>98</v>
      </c>
      <c r="AI49" s="171" t="s">
        <v>123</v>
      </c>
      <c r="AK49" s="299">
        <v>29</v>
      </c>
      <c r="AL49" s="299" t="s">
        <v>82</v>
      </c>
      <c r="AM49" s="299" t="s">
        <v>105</v>
      </c>
      <c r="AO49" s="299">
        <v>57</v>
      </c>
      <c r="AP49" s="299" t="s">
        <v>82</v>
      </c>
      <c r="AQ49" s="299" t="s">
        <v>122</v>
      </c>
    </row>
    <row r="50" spans="1:43" ht="15" customHeight="1" x14ac:dyDescent="0.25">
      <c r="A50">
        <v>56</v>
      </c>
      <c r="B50" t="s">
        <v>98</v>
      </c>
      <c r="C50" t="s">
        <v>688</v>
      </c>
      <c r="E50" s="72" t="s">
        <v>694</v>
      </c>
      <c r="F50" t="s">
        <v>98</v>
      </c>
      <c r="G50" t="s">
        <v>79</v>
      </c>
      <c r="I50" s="171">
        <v>27</v>
      </c>
      <c r="J50" s="171" t="s">
        <v>98</v>
      </c>
      <c r="K50" s="171" t="s">
        <v>688</v>
      </c>
      <c r="M50" s="171">
        <v>19</v>
      </c>
      <c r="N50" s="171" t="s">
        <v>98</v>
      </c>
      <c r="O50" s="171" t="s">
        <v>123</v>
      </c>
      <c r="Q50" s="399">
        <v>55</v>
      </c>
      <c r="R50" s="171" t="s">
        <v>97</v>
      </c>
      <c r="S50" s="398" t="s">
        <v>122</v>
      </c>
      <c r="U50" s="423">
        <v>14</v>
      </c>
      <c r="V50" s="171" t="s">
        <v>97</v>
      </c>
      <c r="W50" s="171" t="s">
        <v>688</v>
      </c>
      <c r="Y50" s="171">
        <v>49</v>
      </c>
      <c r="Z50" s="171" t="s">
        <v>97</v>
      </c>
      <c r="AA50" s="171" t="s">
        <v>122</v>
      </c>
      <c r="AC50" s="505">
        <v>25</v>
      </c>
      <c r="AD50" s="505" t="s">
        <v>97</v>
      </c>
      <c r="AE50" s="505" t="s">
        <v>122</v>
      </c>
      <c r="AG50" s="171">
        <v>19</v>
      </c>
      <c r="AH50" s="171" t="s">
        <v>98</v>
      </c>
      <c r="AI50" s="171" t="s">
        <v>123</v>
      </c>
      <c r="AK50" s="299">
        <v>48</v>
      </c>
      <c r="AL50" s="299" t="s">
        <v>82</v>
      </c>
      <c r="AM50" s="299" t="s">
        <v>105</v>
      </c>
      <c r="AO50" s="299">
        <v>20</v>
      </c>
      <c r="AP50" s="299" t="s">
        <v>82</v>
      </c>
      <c r="AQ50" s="299" t="s">
        <v>122</v>
      </c>
    </row>
    <row r="51" spans="1:43" ht="15" customHeight="1" x14ac:dyDescent="0.25">
      <c r="A51">
        <v>57</v>
      </c>
      <c r="B51" t="s">
        <v>98</v>
      </c>
      <c r="C51" t="s">
        <v>688</v>
      </c>
      <c r="E51" s="72" t="s">
        <v>694</v>
      </c>
      <c r="F51" t="s">
        <v>98</v>
      </c>
      <c r="G51" t="s">
        <v>79</v>
      </c>
      <c r="I51" s="171">
        <v>64</v>
      </c>
      <c r="J51" s="171" t="s">
        <v>97</v>
      </c>
      <c r="K51" s="171" t="s">
        <v>688</v>
      </c>
      <c r="M51" s="171">
        <v>19</v>
      </c>
      <c r="N51" s="171" t="s">
        <v>98</v>
      </c>
      <c r="O51" s="171" t="s">
        <v>123</v>
      </c>
      <c r="Q51" s="399">
        <v>17</v>
      </c>
      <c r="R51" s="171" t="s">
        <v>97</v>
      </c>
      <c r="S51" s="398" t="s">
        <v>122</v>
      </c>
      <c r="U51" s="423">
        <v>49</v>
      </c>
      <c r="V51" s="171" t="s">
        <v>97</v>
      </c>
      <c r="W51" s="171" t="s">
        <v>688</v>
      </c>
      <c r="Y51" s="171">
        <v>13</v>
      </c>
      <c r="Z51" s="171" t="s">
        <v>97</v>
      </c>
      <c r="AA51" s="171" t="s">
        <v>122</v>
      </c>
      <c r="AC51" s="505">
        <v>59</v>
      </c>
      <c r="AD51" s="505" t="s">
        <v>97</v>
      </c>
      <c r="AE51" s="505" t="s">
        <v>122</v>
      </c>
      <c r="AG51" s="171">
        <v>50</v>
      </c>
      <c r="AH51" s="171" t="s">
        <v>98</v>
      </c>
      <c r="AI51" s="171" t="s">
        <v>123</v>
      </c>
      <c r="AK51" s="299">
        <v>15</v>
      </c>
      <c r="AL51" s="299" t="s">
        <v>82</v>
      </c>
      <c r="AM51" s="299" t="s">
        <v>105</v>
      </c>
      <c r="AO51" s="299">
        <v>52</v>
      </c>
      <c r="AP51" s="299" t="s">
        <v>82</v>
      </c>
      <c r="AQ51" s="299" t="s">
        <v>122</v>
      </c>
    </row>
    <row r="52" spans="1:43" ht="15" customHeight="1" x14ac:dyDescent="0.25">
      <c r="A52">
        <v>58</v>
      </c>
      <c r="B52" t="s">
        <v>98</v>
      </c>
      <c r="C52" t="s">
        <v>688</v>
      </c>
      <c r="E52" s="72" t="s">
        <v>694</v>
      </c>
      <c r="F52" t="s">
        <v>97</v>
      </c>
      <c r="G52" t="s">
        <v>79</v>
      </c>
      <c r="I52" s="171">
        <v>75</v>
      </c>
      <c r="J52" s="171" t="s">
        <v>98</v>
      </c>
      <c r="K52" s="171" t="s">
        <v>688</v>
      </c>
      <c r="M52" s="171">
        <v>43</v>
      </c>
      <c r="N52" s="171" t="s">
        <v>98</v>
      </c>
      <c r="O52" s="171" t="s">
        <v>123</v>
      </c>
      <c r="Q52" s="399">
        <v>57</v>
      </c>
      <c r="R52" s="171" t="s">
        <v>97</v>
      </c>
      <c r="S52" s="398" t="s">
        <v>122</v>
      </c>
      <c r="U52" s="423">
        <v>74</v>
      </c>
      <c r="V52" s="171" t="s">
        <v>98</v>
      </c>
      <c r="W52" s="171" t="s">
        <v>688</v>
      </c>
      <c r="Y52" s="171">
        <v>22</v>
      </c>
      <c r="Z52" s="171" t="s">
        <v>97</v>
      </c>
      <c r="AA52" s="171" t="s">
        <v>122</v>
      </c>
      <c r="AC52" s="505">
        <v>19</v>
      </c>
      <c r="AD52" s="505" t="s">
        <v>97</v>
      </c>
      <c r="AE52" s="505" t="s">
        <v>122</v>
      </c>
      <c r="AG52" s="171">
        <v>21</v>
      </c>
      <c r="AH52" s="171" t="s">
        <v>98</v>
      </c>
      <c r="AI52" s="171" t="s">
        <v>123</v>
      </c>
      <c r="AK52" s="299">
        <v>55</v>
      </c>
      <c r="AL52" s="299" t="s">
        <v>82</v>
      </c>
      <c r="AM52" s="299" t="s">
        <v>105</v>
      </c>
      <c r="AO52" s="299">
        <v>18</v>
      </c>
      <c r="AP52" s="299" t="s">
        <v>82</v>
      </c>
      <c r="AQ52" s="299" t="s">
        <v>122</v>
      </c>
    </row>
    <row r="53" spans="1:43" ht="15" customHeight="1" x14ac:dyDescent="0.25">
      <c r="A53">
        <v>58</v>
      </c>
      <c r="B53" t="s">
        <v>98</v>
      </c>
      <c r="C53" t="s">
        <v>688</v>
      </c>
      <c r="E53" s="72" t="s">
        <v>694</v>
      </c>
      <c r="F53" t="s">
        <v>97</v>
      </c>
      <c r="G53" t="s">
        <v>79</v>
      </c>
      <c r="I53" s="171">
        <v>44</v>
      </c>
      <c r="J53" s="171" t="s">
        <v>97</v>
      </c>
      <c r="K53" s="171" t="s">
        <v>688</v>
      </c>
      <c r="M53" s="171">
        <v>18</v>
      </c>
      <c r="N53" s="171" t="s">
        <v>98</v>
      </c>
      <c r="O53" s="171" t="s">
        <v>123</v>
      </c>
      <c r="Q53" s="399">
        <v>31</v>
      </c>
      <c r="R53" s="171" t="s">
        <v>97</v>
      </c>
      <c r="S53" s="398" t="s">
        <v>122</v>
      </c>
      <c r="U53" s="423">
        <v>74</v>
      </c>
      <c r="V53" s="171" t="s">
        <v>97</v>
      </c>
      <c r="W53" s="171" t="s">
        <v>688</v>
      </c>
      <c r="Y53" s="171">
        <v>75</v>
      </c>
      <c r="Z53" s="171" t="s">
        <v>97</v>
      </c>
      <c r="AA53" s="171" t="s">
        <v>122</v>
      </c>
      <c r="AC53" s="505">
        <v>41</v>
      </c>
      <c r="AD53" s="505" t="s">
        <v>97</v>
      </c>
      <c r="AE53" s="505" t="s">
        <v>122</v>
      </c>
      <c r="AG53" s="171">
        <v>18</v>
      </c>
      <c r="AH53" s="171" t="s">
        <v>98</v>
      </c>
      <c r="AI53" s="171" t="s">
        <v>123</v>
      </c>
      <c r="AK53" s="299">
        <v>47</v>
      </c>
      <c r="AL53" s="299" t="s">
        <v>82</v>
      </c>
      <c r="AM53" s="299" t="s">
        <v>105</v>
      </c>
      <c r="AO53" s="299">
        <v>30</v>
      </c>
      <c r="AP53" s="299" t="s">
        <v>82</v>
      </c>
      <c r="AQ53" s="299" t="s">
        <v>122</v>
      </c>
    </row>
    <row r="54" spans="1:43" ht="15" customHeight="1" x14ac:dyDescent="0.25">
      <c r="A54">
        <v>60</v>
      </c>
      <c r="B54" t="s">
        <v>98</v>
      </c>
      <c r="C54" t="s">
        <v>688</v>
      </c>
      <c r="E54" s="72" t="s">
        <v>694</v>
      </c>
      <c r="F54" t="s">
        <v>98</v>
      </c>
      <c r="G54" t="s">
        <v>79</v>
      </c>
      <c r="I54" s="171">
        <v>18</v>
      </c>
      <c r="J54" s="171" t="s">
        <v>97</v>
      </c>
      <c r="K54" s="171" t="s">
        <v>688</v>
      </c>
      <c r="M54" s="171">
        <v>48</v>
      </c>
      <c r="N54" s="171" t="s">
        <v>98</v>
      </c>
      <c r="O54" s="171" t="s">
        <v>123</v>
      </c>
      <c r="Q54" s="399">
        <v>75</v>
      </c>
      <c r="R54" s="171" t="s">
        <v>97</v>
      </c>
      <c r="S54" s="398" t="s">
        <v>122</v>
      </c>
      <c r="U54" s="423">
        <v>32</v>
      </c>
      <c r="V54" s="171" t="s">
        <v>98</v>
      </c>
      <c r="W54" s="171" t="s">
        <v>688</v>
      </c>
      <c r="Y54" s="171">
        <v>43</v>
      </c>
      <c r="Z54" s="171" t="s">
        <v>97</v>
      </c>
      <c r="AA54" s="171" t="s">
        <v>122</v>
      </c>
      <c r="AC54" s="505">
        <v>17</v>
      </c>
      <c r="AD54" s="505" t="s">
        <v>97</v>
      </c>
      <c r="AE54" s="505" t="s">
        <v>122</v>
      </c>
      <c r="AG54" s="171">
        <v>68</v>
      </c>
      <c r="AH54" s="171" t="s">
        <v>98</v>
      </c>
      <c r="AI54" s="171" t="s">
        <v>123</v>
      </c>
      <c r="AK54" s="299">
        <v>19</v>
      </c>
      <c r="AL54" s="299" t="s">
        <v>82</v>
      </c>
      <c r="AM54" s="299" t="s">
        <v>105</v>
      </c>
      <c r="AO54" s="299">
        <v>55</v>
      </c>
      <c r="AP54" s="299" t="s">
        <v>82</v>
      </c>
      <c r="AQ54" s="299" t="s">
        <v>122</v>
      </c>
    </row>
    <row r="55" spans="1:43" ht="15" customHeight="1" x14ac:dyDescent="0.25">
      <c r="A55">
        <v>47</v>
      </c>
      <c r="B55" t="s">
        <v>97</v>
      </c>
      <c r="C55" t="s">
        <v>688</v>
      </c>
      <c r="E55" s="72" t="s">
        <v>694</v>
      </c>
      <c r="F55" t="s">
        <v>97</v>
      </c>
      <c r="G55" t="s">
        <v>79</v>
      </c>
      <c r="I55" s="171">
        <v>78</v>
      </c>
      <c r="J55" s="171" t="s">
        <v>97</v>
      </c>
      <c r="K55" s="171" t="s">
        <v>688</v>
      </c>
      <c r="M55" s="171">
        <v>19</v>
      </c>
      <c r="N55" s="171" t="s">
        <v>98</v>
      </c>
      <c r="O55" s="171" t="s">
        <v>123</v>
      </c>
      <c r="Q55" s="399">
        <v>61</v>
      </c>
      <c r="R55" s="171" t="s">
        <v>97</v>
      </c>
      <c r="S55" s="398" t="s">
        <v>122</v>
      </c>
      <c r="U55" s="423">
        <v>18</v>
      </c>
      <c r="V55" s="171" t="s">
        <v>97</v>
      </c>
      <c r="W55" s="171" t="s">
        <v>688</v>
      </c>
      <c r="Y55" s="171">
        <v>65</v>
      </c>
      <c r="Z55" s="171" t="s">
        <v>97</v>
      </c>
      <c r="AA55" s="171" t="s">
        <v>122</v>
      </c>
      <c r="AC55" s="505">
        <v>52</v>
      </c>
      <c r="AD55" s="505" t="s">
        <v>97</v>
      </c>
      <c r="AE55" s="505" t="s">
        <v>122</v>
      </c>
      <c r="AG55" s="171">
        <v>34</v>
      </c>
      <c r="AH55" s="171" t="s">
        <v>98</v>
      </c>
      <c r="AI55" s="171" t="s">
        <v>123</v>
      </c>
      <c r="AK55" s="299">
        <v>70</v>
      </c>
      <c r="AL55" s="299" t="s">
        <v>82</v>
      </c>
      <c r="AM55" s="299" t="s">
        <v>105</v>
      </c>
      <c r="AO55" s="299">
        <v>75</v>
      </c>
      <c r="AP55" s="299" t="s">
        <v>82</v>
      </c>
      <c r="AQ55" s="299" t="s">
        <v>122</v>
      </c>
    </row>
    <row r="56" spans="1:43" ht="15" customHeight="1" x14ac:dyDescent="0.25">
      <c r="A56">
        <v>47</v>
      </c>
      <c r="B56" t="s">
        <v>97</v>
      </c>
      <c r="C56" t="s">
        <v>688</v>
      </c>
      <c r="E56" s="72" t="s">
        <v>694</v>
      </c>
      <c r="F56" t="s">
        <v>97</v>
      </c>
      <c r="G56" t="s">
        <v>79</v>
      </c>
      <c r="I56" s="171">
        <v>31</v>
      </c>
      <c r="J56" s="171" t="s">
        <v>98</v>
      </c>
      <c r="K56" s="171" t="s">
        <v>688</v>
      </c>
      <c r="M56" s="171">
        <v>85</v>
      </c>
      <c r="N56" s="171" t="s">
        <v>98</v>
      </c>
      <c r="O56" s="171" t="s">
        <v>123</v>
      </c>
      <c r="Q56" s="399">
        <v>27</v>
      </c>
      <c r="R56" s="171" t="s">
        <v>97</v>
      </c>
      <c r="S56" s="398" t="s">
        <v>122</v>
      </c>
      <c r="U56" s="423">
        <v>20</v>
      </c>
      <c r="V56" s="171" t="s">
        <v>97</v>
      </c>
      <c r="W56" s="171" t="s">
        <v>688</v>
      </c>
      <c r="Y56" s="171">
        <v>45</v>
      </c>
      <c r="Z56" s="171" t="s">
        <v>97</v>
      </c>
      <c r="AA56" s="171" t="s">
        <v>122</v>
      </c>
      <c r="AC56" s="505">
        <v>20</v>
      </c>
      <c r="AD56" s="505" t="s">
        <v>97</v>
      </c>
      <c r="AE56" s="505" t="s">
        <v>122</v>
      </c>
      <c r="AG56" s="171">
        <v>88</v>
      </c>
      <c r="AH56" s="171" t="s">
        <v>98</v>
      </c>
      <c r="AI56" s="171" t="s">
        <v>123</v>
      </c>
      <c r="AK56" s="299">
        <v>72</v>
      </c>
      <c r="AL56" s="299" t="s">
        <v>82</v>
      </c>
      <c r="AM56" s="299" t="s">
        <v>105</v>
      </c>
      <c r="AO56" s="299">
        <v>16</v>
      </c>
      <c r="AP56" s="299" t="s">
        <v>82</v>
      </c>
      <c r="AQ56" s="299" t="s">
        <v>122</v>
      </c>
    </row>
    <row r="57" spans="1:43" ht="15" customHeight="1" x14ac:dyDescent="0.25">
      <c r="A57">
        <v>61</v>
      </c>
      <c r="B57" t="s">
        <v>98</v>
      </c>
      <c r="C57" t="s">
        <v>688</v>
      </c>
      <c r="E57" s="72" t="s">
        <v>694</v>
      </c>
      <c r="F57" t="s">
        <v>97</v>
      </c>
      <c r="G57" t="s">
        <v>79</v>
      </c>
      <c r="I57" s="171">
        <v>28</v>
      </c>
      <c r="J57" s="171" t="s">
        <v>97</v>
      </c>
      <c r="K57" s="171" t="s">
        <v>688</v>
      </c>
      <c r="M57" s="171">
        <v>57</v>
      </c>
      <c r="N57" s="171" t="s">
        <v>98</v>
      </c>
      <c r="O57" s="171" t="s">
        <v>123</v>
      </c>
      <c r="Q57" s="399">
        <v>58</v>
      </c>
      <c r="R57" s="171" t="s">
        <v>97</v>
      </c>
      <c r="S57" s="398" t="s">
        <v>122</v>
      </c>
      <c r="U57" s="423">
        <v>79</v>
      </c>
      <c r="V57" s="171" t="s">
        <v>97</v>
      </c>
      <c r="W57" s="171" t="s">
        <v>688</v>
      </c>
      <c r="Y57" s="171">
        <v>56</v>
      </c>
      <c r="Z57" s="171" t="s">
        <v>97</v>
      </c>
      <c r="AA57" s="171" t="s">
        <v>122</v>
      </c>
      <c r="AC57" s="505">
        <v>87</v>
      </c>
      <c r="AD57" s="505" t="s">
        <v>97</v>
      </c>
      <c r="AE57" s="505" t="s">
        <v>122</v>
      </c>
      <c r="AG57" s="171">
        <v>22</v>
      </c>
      <c r="AH57" s="171" t="s">
        <v>98</v>
      </c>
      <c r="AI57" s="171" t="s">
        <v>123</v>
      </c>
      <c r="AK57" s="299">
        <v>23</v>
      </c>
      <c r="AL57" s="299" t="s">
        <v>82</v>
      </c>
      <c r="AM57" s="299" t="s">
        <v>105</v>
      </c>
      <c r="AO57" s="299">
        <v>24</v>
      </c>
      <c r="AP57" s="299" t="s">
        <v>82</v>
      </c>
      <c r="AQ57" s="299" t="s">
        <v>122</v>
      </c>
    </row>
    <row r="58" spans="1:43" ht="15" customHeight="1" x14ac:dyDescent="0.25">
      <c r="A58">
        <v>61</v>
      </c>
      <c r="B58" t="s">
        <v>98</v>
      </c>
      <c r="C58" t="s">
        <v>688</v>
      </c>
      <c r="E58" s="72" t="s">
        <v>694</v>
      </c>
      <c r="F58" t="s">
        <v>97</v>
      </c>
      <c r="G58" t="s">
        <v>79</v>
      </c>
      <c r="I58" s="171">
        <v>50</v>
      </c>
      <c r="J58" s="171" t="s">
        <v>98</v>
      </c>
      <c r="K58" s="171" t="s">
        <v>688</v>
      </c>
      <c r="M58" s="171">
        <v>33</v>
      </c>
      <c r="N58" s="171" t="s">
        <v>98</v>
      </c>
      <c r="O58" s="171" t="s">
        <v>123</v>
      </c>
      <c r="Q58" s="399">
        <v>39</v>
      </c>
      <c r="R58" s="171" t="s">
        <v>97</v>
      </c>
      <c r="S58" s="398" t="s">
        <v>122</v>
      </c>
      <c r="U58" s="423">
        <v>32</v>
      </c>
      <c r="V58" s="171" t="s">
        <v>98</v>
      </c>
      <c r="W58" s="171" t="s">
        <v>688</v>
      </c>
      <c r="Y58" s="171">
        <v>60</v>
      </c>
      <c r="Z58" s="171" t="s">
        <v>97</v>
      </c>
      <c r="AA58" s="171" t="s">
        <v>122</v>
      </c>
      <c r="AC58" s="505">
        <v>61</v>
      </c>
      <c r="AD58" s="505" t="s">
        <v>97</v>
      </c>
      <c r="AE58" s="505" t="s">
        <v>122</v>
      </c>
      <c r="AG58" s="171">
        <v>34</v>
      </c>
      <c r="AH58" s="171" t="s">
        <v>98</v>
      </c>
      <c r="AI58" s="171" t="s">
        <v>123</v>
      </c>
      <c r="AK58" s="299">
        <v>72</v>
      </c>
      <c r="AL58" s="299" t="s">
        <v>82</v>
      </c>
      <c r="AM58" s="299" t="s">
        <v>105</v>
      </c>
      <c r="AO58" s="299">
        <v>15</v>
      </c>
      <c r="AP58" s="299" t="s">
        <v>82</v>
      </c>
      <c r="AQ58" s="299" t="s">
        <v>122</v>
      </c>
    </row>
    <row r="59" spans="1:43" ht="15" customHeight="1" x14ac:dyDescent="0.25">
      <c r="A59">
        <v>49</v>
      </c>
      <c r="B59" t="s">
        <v>97</v>
      </c>
      <c r="C59" t="s">
        <v>688</v>
      </c>
      <c r="E59" s="72" t="s">
        <v>694</v>
      </c>
      <c r="F59" t="s">
        <v>98</v>
      </c>
      <c r="G59" t="s">
        <v>79</v>
      </c>
      <c r="I59" s="171">
        <v>54</v>
      </c>
      <c r="J59" s="171" t="s">
        <v>98</v>
      </c>
      <c r="K59" s="171" t="s">
        <v>688</v>
      </c>
      <c r="M59" s="171">
        <v>42</v>
      </c>
      <c r="N59" s="171" t="s">
        <v>98</v>
      </c>
      <c r="O59" s="171" t="s">
        <v>123</v>
      </c>
      <c r="Q59" s="399">
        <v>23</v>
      </c>
      <c r="R59" s="171" t="s">
        <v>97</v>
      </c>
      <c r="S59" s="398" t="s">
        <v>122</v>
      </c>
      <c r="U59" s="423">
        <v>11</v>
      </c>
      <c r="V59" s="171" t="s">
        <v>97</v>
      </c>
      <c r="W59" s="171" t="s">
        <v>688</v>
      </c>
      <c r="Y59" s="171">
        <v>41</v>
      </c>
      <c r="Z59" s="171" t="s">
        <v>97</v>
      </c>
      <c r="AA59" s="171" t="s">
        <v>122</v>
      </c>
      <c r="AC59" s="505">
        <v>50</v>
      </c>
      <c r="AD59" s="505" t="s">
        <v>97</v>
      </c>
      <c r="AE59" s="505" t="s">
        <v>122</v>
      </c>
      <c r="AG59" s="171">
        <v>59</v>
      </c>
      <c r="AH59" s="171" t="s">
        <v>98</v>
      </c>
      <c r="AI59" s="171" t="s">
        <v>123</v>
      </c>
      <c r="AK59" s="299">
        <v>23</v>
      </c>
      <c r="AL59" s="299" t="s">
        <v>82</v>
      </c>
      <c r="AM59" s="299" t="s">
        <v>105</v>
      </c>
      <c r="AO59" s="299">
        <v>65</v>
      </c>
      <c r="AP59" s="299" t="s">
        <v>81</v>
      </c>
      <c r="AQ59" s="299" t="s">
        <v>123</v>
      </c>
    </row>
    <row r="60" spans="1:43" ht="15" customHeight="1" x14ac:dyDescent="0.25">
      <c r="A60">
        <v>61</v>
      </c>
      <c r="B60" t="s">
        <v>98</v>
      </c>
      <c r="C60" t="s">
        <v>688</v>
      </c>
      <c r="E60" s="72" t="s">
        <v>694</v>
      </c>
      <c r="F60" t="s">
        <v>98</v>
      </c>
      <c r="G60" t="s">
        <v>79</v>
      </c>
      <c r="I60" s="171">
        <v>29</v>
      </c>
      <c r="J60" s="171" t="s">
        <v>98</v>
      </c>
      <c r="K60" s="171" t="s">
        <v>688</v>
      </c>
      <c r="M60" s="171">
        <v>51</v>
      </c>
      <c r="N60" s="171" t="s">
        <v>98</v>
      </c>
      <c r="O60" s="171" t="s">
        <v>123</v>
      </c>
      <c r="Q60" s="399">
        <v>15</v>
      </c>
      <c r="R60" s="171" t="s">
        <v>97</v>
      </c>
      <c r="S60" s="398" t="s">
        <v>122</v>
      </c>
      <c r="U60" s="423">
        <v>51</v>
      </c>
      <c r="V60" s="171" t="s">
        <v>97</v>
      </c>
      <c r="W60" s="171" t="s">
        <v>688</v>
      </c>
      <c r="Y60" s="171">
        <v>78</v>
      </c>
      <c r="Z60" s="171" t="s">
        <v>97</v>
      </c>
      <c r="AA60" s="171" t="s">
        <v>122</v>
      </c>
      <c r="AC60" s="505">
        <v>50</v>
      </c>
      <c r="AD60" s="505" t="s">
        <v>97</v>
      </c>
      <c r="AE60" s="505" t="s">
        <v>122</v>
      </c>
      <c r="AG60" s="171">
        <v>52</v>
      </c>
      <c r="AH60" s="171" t="s">
        <v>98</v>
      </c>
      <c r="AI60" s="171" t="s">
        <v>123</v>
      </c>
      <c r="AK60" s="299">
        <v>66</v>
      </c>
      <c r="AL60" s="299" t="s">
        <v>82</v>
      </c>
      <c r="AM60" s="299" t="s">
        <v>105</v>
      </c>
      <c r="AO60" s="299">
        <v>49</v>
      </c>
      <c r="AP60" s="299" t="s">
        <v>81</v>
      </c>
      <c r="AQ60" s="299" t="s">
        <v>123</v>
      </c>
    </row>
    <row r="61" spans="1:43" ht="15" customHeight="1" x14ac:dyDescent="0.25">
      <c r="A61">
        <v>49</v>
      </c>
      <c r="B61" t="s">
        <v>97</v>
      </c>
      <c r="C61" t="s">
        <v>688</v>
      </c>
      <c r="E61" s="72" t="s">
        <v>694</v>
      </c>
      <c r="F61" t="s">
        <v>97</v>
      </c>
      <c r="G61" t="s">
        <v>79</v>
      </c>
      <c r="I61" s="171">
        <v>57</v>
      </c>
      <c r="J61" s="171" t="s">
        <v>98</v>
      </c>
      <c r="K61" s="171" t="s">
        <v>688</v>
      </c>
      <c r="M61" s="171">
        <v>40</v>
      </c>
      <c r="N61" s="171" t="s">
        <v>98</v>
      </c>
      <c r="O61" s="171" t="s">
        <v>123</v>
      </c>
      <c r="Q61" s="399">
        <v>45</v>
      </c>
      <c r="R61" s="171" t="s">
        <v>97</v>
      </c>
      <c r="S61" s="398" t="s">
        <v>122</v>
      </c>
      <c r="U61" s="423">
        <v>40</v>
      </c>
      <c r="V61" s="171" t="s">
        <v>97</v>
      </c>
      <c r="W61" s="171" t="s">
        <v>688</v>
      </c>
      <c r="Y61" s="171">
        <v>56</v>
      </c>
      <c r="Z61" s="171" t="s">
        <v>97</v>
      </c>
      <c r="AA61" s="171" t="s">
        <v>122</v>
      </c>
      <c r="AC61" s="505">
        <v>17</v>
      </c>
      <c r="AD61" s="505" t="s">
        <v>97</v>
      </c>
      <c r="AE61" s="505" t="s">
        <v>122</v>
      </c>
      <c r="AG61" s="171">
        <v>53</v>
      </c>
      <c r="AH61" s="171" t="s">
        <v>98</v>
      </c>
      <c r="AI61" s="171" t="s">
        <v>123</v>
      </c>
      <c r="AK61" s="299">
        <v>58</v>
      </c>
      <c r="AL61" s="299" t="s">
        <v>82</v>
      </c>
      <c r="AM61" s="299" t="s">
        <v>105</v>
      </c>
      <c r="AO61" s="299">
        <v>65</v>
      </c>
      <c r="AP61" s="299" t="s">
        <v>81</v>
      </c>
      <c r="AQ61" s="299" t="s">
        <v>123</v>
      </c>
    </row>
    <row r="62" spans="1:43" ht="15" customHeight="1" x14ac:dyDescent="0.25">
      <c r="A62">
        <v>49</v>
      </c>
      <c r="B62" t="s">
        <v>97</v>
      </c>
      <c r="C62" t="s">
        <v>688</v>
      </c>
      <c r="E62" s="72" t="s">
        <v>694</v>
      </c>
      <c r="F62" t="s">
        <v>98</v>
      </c>
      <c r="G62" t="s">
        <v>79</v>
      </c>
      <c r="I62" s="171">
        <v>50</v>
      </c>
      <c r="J62" s="171" t="s">
        <v>98</v>
      </c>
      <c r="K62" s="171" t="s">
        <v>688</v>
      </c>
      <c r="M62" s="171">
        <v>52</v>
      </c>
      <c r="N62" s="171" t="s">
        <v>98</v>
      </c>
      <c r="O62" s="171" t="s">
        <v>123</v>
      </c>
      <c r="Q62" s="399">
        <v>13</v>
      </c>
      <c r="R62" s="171" t="s">
        <v>97</v>
      </c>
      <c r="S62" s="398" t="s">
        <v>122</v>
      </c>
      <c r="U62" s="423">
        <v>56</v>
      </c>
      <c r="V62" s="171" t="s">
        <v>97</v>
      </c>
      <c r="W62" s="171" t="s">
        <v>688</v>
      </c>
      <c r="Y62" s="171">
        <v>95</v>
      </c>
      <c r="Z62" s="171" t="s">
        <v>97</v>
      </c>
      <c r="AA62" s="171" t="s">
        <v>122</v>
      </c>
      <c r="AC62" s="505">
        <v>72</v>
      </c>
      <c r="AD62" s="505" t="s">
        <v>97</v>
      </c>
      <c r="AE62" s="505" t="s">
        <v>122</v>
      </c>
      <c r="AG62" s="171">
        <v>69</v>
      </c>
      <c r="AH62" s="171" t="s">
        <v>98</v>
      </c>
      <c r="AI62" s="171" t="s">
        <v>123</v>
      </c>
      <c r="AK62" s="299">
        <v>35</v>
      </c>
      <c r="AL62" s="299" t="s">
        <v>82</v>
      </c>
      <c r="AM62" s="299" t="s">
        <v>105</v>
      </c>
      <c r="AO62" s="299">
        <v>33</v>
      </c>
      <c r="AP62" s="299" t="s">
        <v>81</v>
      </c>
      <c r="AQ62" s="299" t="s">
        <v>123</v>
      </c>
    </row>
    <row r="63" spans="1:43" ht="15" customHeight="1" x14ac:dyDescent="0.25">
      <c r="A63">
        <v>62</v>
      </c>
      <c r="B63" t="s">
        <v>98</v>
      </c>
      <c r="C63" t="s">
        <v>688</v>
      </c>
      <c r="E63" s="72" t="s">
        <v>694</v>
      </c>
      <c r="F63" t="s">
        <v>98</v>
      </c>
      <c r="G63" t="s">
        <v>79</v>
      </c>
      <c r="I63" s="171">
        <v>41</v>
      </c>
      <c r="J63" s="171" t="s">
        <v>97</v>
      </c>
      <c r="K63" s="171" t="s">
        <v>688</v>
      </c>
      <c r="M63" s="171">
        <v>59</v>
      </c>
      <c r="N63" s="171" t="s">
        <v>98</v>
      </c>
      <c r="O63" s="171" t="s">
        <v>123</v>
      </c>
      <c r="Q63" s="399">
        <v>69</v>
      </c>
      <c r="R63" s="171" t="s">
        <v>97</v>
      </c>
      <c r="S63" s="398" t="s">
        <v>122</v>
      </c>
      <c r="U63" s="423">
        <v>62</v>
      </c>
      <c r="V63" s="171" t="s">
        <v>98</v>
      </c>
      <c r="W63" s="171" t="s">
        <v>688</v>
      </c>
      <c r="Y63" s="171">
        <v>59</v>
      </c>
      <c r="Z63" s="171" t="s">
        <v>97</v>
      </c>
      <c r="AA63" s="171" t="s">
        <v>122</v>
      </c>
      <c r="AC63" s="505">
        <v>59</v>
      </c>
      <c r="AD63" s="505" t="s">
        <v>97</v>
      </c>
      <c r="AE63" s="505" t="s">
        <v>122</v>
      </c>
      <c r="AG63" s="171">
        <v>59</v>
      </c>
      <c r="AH63" s="171" t="s">
        <v>98</v>
      </c>
      <c r="AI63" s="171" t="s">
        <v>123</v>
      </c>
      <c r="AK63" s="299">
        <v>77</v>
      </c>
      <c r="AL63" s="299" t="s">
        <v>82</v>
      </c>
      <c r="AM63" s="299" t="s">
        <v>105</v>
      </c>
      <c r="AO63" s="299">
        <v>48</v>
      </c>
      <c r="AP63" s="299" t="s">
        <v>81</v>
      </c>
      <c r="AQ63" s="299" t="s">
        <v>123</v>
      </c>
    </row>
    <row r="64" spans="1:43" ht="15" customHeight="1" x14ac:dyDescent="0.25">
      <c r="A64">
        <v>50</v>
      </c>
      <c r="B64" t="s">
        <v>97</v>
      </c>
      <c r="C64" t="s">
        <v>688</v>
      </c>
      <c r="E64" s="72" t="s">
        <v>694</v>
      </c>
      <c r="F64" t="s">
        <v>97</v>
      </c>
      <c r="G64" t="s">
        <v>79</v>
      </c>
      <c r="I64" s="171">
        <v>18</v>
      </c>
      <c r="J64" s="171" t="s">
        <v>97</v>
      </c>
      <c r="K64" s="171" t="s">
        <v>688</v>
      </c>
      <c r="M64" s="171">
        <v>82</v>
      </c>
      <c r="N64" s="171" t="s">
        <v>98</v>
      </c>
      <c r="O64" s="171" t="s">
        <v>123</v>
      </c>
      <c r="Q64" s="399">
        <v>23</v>
      </c>
      <c r="R64" s="171" t="s">
        <v>97</v>
      </c>
      <c r="S64" s="398" t="s">
        <v>122</v>
      </c>
      <c r="U64" s="423">
        <v>35</v>
      </c>
      <c r="V64" s="171" t="s">
        <v>98</v>
      </c>
      <c r="W64" s="171" t="s">
        <v>688</v>
      </c>
      <c r="Y64" s="171">
        <v>52</v>
      </c>
      <c r="Z64" s="171" t="s">
        <v>97</v>
      </c>
      <c r="AA64" s="171" t="s">
        <v>122</v>
      </c>
      <c r="AC64" s="505">
        <v>23</v>
      </c>
      <c r="AD64" s="505" t="s">
        <v>97</v>
      </c>
      <c r="AE64" s="505" t="s">
        <v>122</v>
      </c>
      <c r="AG64" s="171">
        <v>72</v>
      </c>
      <c r="AH64" s="171" t="s">
        <v>98</v>
      </c>
      <c r="AI64" s="171" t="s">
        <v>123</v>
      </c>
      <c r="AK64" s="299">
        <v>62</v>
      </c>
      <c r="AL64" s="299" t="s">
        <v>82</v>
      </c>
      <c r="AM64" s="299" t="s">
        <v>105</v>
      </c>
      <c r="AO64" s="299">
        <v>60</v>
      </c>
      <c r="AP64" s="299" t="s">
        <v>81</v>
      </c>
      <c r="AQ64" s="299" t="s">
        <v>123</v>
      </c>
    </row>
    <row r="65" spans="1:45" ht="15" customHeight="1" x14ac:dyDescent="0.25">
      <c r="A65">
        <v>51</v>
      </c>
      <c r="B65" t="s">
        <v>97</v>
      </c>
      <c r="C65" t="s">
        <v>688</v>
      </c>
      <c r="E65" s="72" t="s">
        <v>694</v>
      </c>
      <c r="F65" t="s">
        <v>97</v>
      </c>
      <c r="G65" t="s">
        <v>79</v>
      </c>
      <c r="I65" s="171">
        <v>35</v>
      </c>
      <c r="J65" s="171" t="s">
        <v>98</v>
      </c>
      <c r="K65" s="171" t="s">
        <v>688</v>
      </c>
      <c r="M65" s="171">
        <v>23</v>
      </c>
      <c r="N65" s="171" t="s">
        <v>98</v>
      </c>
      <c r="O65" s="171" t="s">
        <v>123</v>
      </c>
      <c r="Q65" s="399">
        <v>54</v>
      </c>
      <c r="R65" s="171" t="s">
        <v>97</v>
      </c>
      <c r="S65" s="398" t="s">
        <v>122</v>
      </c>
      <c r="U65" s="423">
        <v>39</v>
      </c>
      <c r="V65" s="171" t="s">
        <v>97</v>
      </c>
      <c r="W65" s="171" t="s">
        <v>688</v>
      </c>
      <c r="Y65" s="171">
        <v>18</v>
      </c>
      <c r="Z65" s="171" t="s">
        <v>97</v>
      </c>
      <c r="AA65" s="171" t="s">
        <v>122</v>
      </c>
      <c r="AC65" s="505">
        <v>16</v>
      </c>
      <c r="AD65" s="505" t="s">
        <v>97</v>
      </c>
      <c r="AE65" s="505" t="s">
        <v>122</v>
      </c>
      <c r="AG65" s="171">
        <v>44</v>
      </c>
      <c r="AH65" s="171" t="s">
        <v>98</v>
      </c>
      <c r="AI65" s="171" t="s">
        <v>123</v>
      </c>
      <c r="AK65" s="299">
        <v>62</v>
      </c>
      <c r="AL65" s="299" t="s">
        <v>82</v>
      </c>
      <c r="AM65" s="299" t="s">
        <v>105</v>
      </c>
      <c r="AO65" s="299">
        <v>56</v>
      </c>
      <c r="AP65" s="299" t="s">
        <v>81</v>
      </c>
      <c r="AQ65" s="299" t="s">
        <v>123</v>
      </c>
    </row>
    <row r="66" spans="1:45" ht="15" customHeight="1" x14ac:dyDescent="0.25">
      <c r="A66">
        <v>51</v>
      </c>
      <c r="B66" t="s">
        <v>97</v>
      </c>
      <c r="C66" t="s">
        <v>688</v>
      </c>
      <c r="E66" s="72" t="s">
        <v>694</v>
      </c>
      <c r="F66" t="s">
        <v>97</v>
      </c>
      <c r="G66" t="s">
        <v>79</v>
      </c>
      <c r="I66" s="171">
        <v>1</v>
      </c>
      <c r="J66" s="171" t="s">
        <v>98</v>
      </c>
      <c r="K66" s="171" t="s">
        <v>688</v>
      </c>
      <c r="M66" s="171">
        <v>21</v>
      </c>
      <c r="N66" s="171" t="s">
        <v>98</v>
      </c>
      <c r="O66" s="171" t="s">
        <v>123</v>
      </c>
      <c r="Q66" s="399">
        <v>41</v>
      </c>
      <c r="R66" s="171" t="s">
        <v>97</v>
      </c>
      <c r="S66" s="398" t="s">
        <v>122</v>
      </c>
      <c r="U66" s="423">
        <v>25</v>
      </c>
      <c r="V66" s="171" t="s">
        <v>98</v>
      </c>
      <c r="W66" s="171" t="s">
        <v>688</v>
      </c>
      <c r="Y66" s="460">
        <v>93</v>
      </c>
      <c r="Z66" s="460" t="s">
        <v>97</v>
      </c>
      <c r="AA66" s="460" t="s">
        <v>122</v>
      </c>
      <c r="AC66" s="505">
        <v>93</v>
      </c>
      <c r="AD66" s="505" t="s">
        <v>97</v>
      </c>
      <c r="AE66" s="505" t="s">
        <v>122</v>
      </c>
      <c r="AG66" s="171">
        <v>41</v>
      </c>
      <c r="AH66" s="171" t="s">
        <v>98</v>
      </c>
      <c r="AI66" s="171" t="s">
        <v>123</v>
      </c>
      <c r="AK66" s="299">
        <v>55</v>
      </c>
      <c r="AL66" s="299" t="s">
        <v>82</v>
      </c>
      <c r="AM66" s="299" t="s">
        <v>105</v>
      </c>
      <c r="AO66" s="299">
        <v>62</v>
      </c>
      <c r="AP66" s="299" t="s">
        <v>81</v>
      </c>
      <c r="AQ66" s="299" t="s">
        <v>123</v>
      </c>
    </row>
    <row r="67" spans="1:45" ht="15" customHeight="1" x14ac:dyDescent="0.25">
      <c r="A67">
        <v>52</v>
      </c>
      <c r="B67" t="s">
        <v>97</v>
      </c>
      <c r="C67" t="s">
        <v>688</v>
      </c>
      <c r="E67" s="72" t="s">
        <v>694</v>
      </c>
      <c r="F67" t="s">
        <v>97</v>
      </c>
      <c r="G67" t="s">
        <v>79</v>
      </c>
      <c r="I67" s="171">
        <v>75</v>
      </c>
      <c r="J67" s="171" t="s">
        <v>98</v>
      </c>
      <c r="K67" s="171" t="s">
        <v>688</v>
      </c>
      <c r="M67" s="171">
        <v>55</v>
      </c>
      <c r="N67" s="171" t="s">
        <v>98</v>
      </c>
      <c r="O67" s="171" t="s">
        <v>123</v>
      </c>
      <c r="Q67" s="399">
        <v>80</v>
      </c>
      <c r="R67" s="171" t="s">
        <v>97</v>
      </c>
      <c r="S67" s="398" t="s">
        <v>122</v>
      </c>
      <c r="U67" s="423">
        <v>97</v>
      </c>
      <c r="V67" s="171" t="s">
        <v>97</v>
      </c>
      <c r="W67" s="171" t="s">
        <v>688</v>
      </c>
      <c r="Y67" s="171">
        <v>58</v>
      </c>
      <c r="Z67" s="171" t="s">
        <v>98</v>
      </c>
      <c r="AA67" s="171" t="s">
        <v>123</v>
      </c>
      <c r="AC67" s="505">
        <v>69</v>
      </c>
      <c r="AD67" s="505" t="s">
        <v>97</v>
      </c>
      <c r="AE67" s="505" t="s">
        <v>122</v>
      </c>
      <c r="AG67" s="171">
        <v>93</v>
      </c>
      <c r="AH67" s="171" t="s">
        <v>98</v>
      </c>
      <c r="AI67" s="171" t="s">
        <v>123</v>
      </c>
      <c r="AK67" s="299">
        <v>75</v>
      </c>
      <c r="AL67" s="299" t="s">
        <v>82</v>
      </c>
      <c r="AM67" s="299" t="s">
        <v>105</v>
      </c>
      <c r="AO67" s="299">
        <v>83</v>
      </c>
      <c r="AP67" s="299" t="s">
        <v>81</v>
      </c>
      <c r="AQ67" s="299" t="s">
        <v>123</v>
      </c>
    </row>
    <row r="68" spans="1:45" ht="15" customHeight="1" x14ac:dyDescent="0.25">
      <c r="A68">
        <v>52</v>
      </c>
      <c r="B68" t="s">
        <v>97</v>
      </c>
      <c r="C68" t="s">
        <v>688</v>
      </c>
      <c r="E68" s="72" t="s">
        <v>694</v>
      </c>
      <c r="F68" t="s">
        <v>98</v>
      </c>
      <c r="G68" t="s">
        <v>79</v>
      </c>
      <c r="I68" s="171">
        <v>49</v>
      </c>
      <c r="J68" s="171" t="s">
        <v>97</v>
      </c>
      <c r="K68" s="171" t="s">
        <v>688</v>
      </c>
      <c r="M68" s="171">
        <v>19</v>
      </c>
      <c r="N68" s="171" t="s">
        <v>98</v>
      </c>
      <c r="O68" s="171" t="s">
        <v>123</v>
      </c>
      <c r="Q68" s="399">
        <v>30</v>
      </c>
      <c r="R68" s="171" t="s">
        <v>97</v>
      </c>
      <c r="S68" s="398" t="s">
        <v>122</v>
      </c>
      <c r="U68" s="423">
        <v>35</v>
      </c>
      <c r="V68" s="171" t="s">
        <v>98</v>
      </c>
      <c r="W68" s="171" t="s">
        <v>688</v>
      </c>
      <c r="Y68" s="171">
        <v>46</v>
      </c>
      <c r="Z68" s="171" t="s">
        <v>98</v>
      </c>
      <c r="AA68" s="171" t="s">
        <v>123</v>
      </c>
      <c r="AC68" s="505">
        <v>49</v>
      </c>
      <c r="AD68" s="505" t="s">
        <v>97</v>
      </c>
      <c r="AE68" s="505" t="s">
        <v>122</v>
      </c>
      <c r="AG68" s="171">
        <v>49</v>
      </c>
      <c r="AH68" s="171" t="s">
        <v>98</v>
      </c>
      <c r="AI68" s="171" t="s">
        <v>123</v>
      </c>
      <c r="AK68" s="299">
        <v>43</v>
      </c>
      <c r="AL68" s="299" t="s">
        <v>82</v>
      </c>
      <c r="AM68" s="299" t="s">
        <v>105</v>
      </c>
      <c r="AO68" s="299">
        <v>28</v>
      </c>
      <c r="AP68" s="299" t="s">
        <v>81</v>
      </c>
      <c r="AQ68" s="299" t="s">
        <v>123</v>
      </c>
    </row>
    <row r="69" spans="1:45" ht="15" customHeight="1" x14ac:dyDescent="0.25">
      <c r="A69">
        <v>52</v>
      </c>
      <c r="B69" t="s">
        <v>97</v>
      </c>
      <c r="C69" t="s">
        <v>688</v>
      </c>
      <c r="E69" s="72" t="s">
        <v>694</v>
      </c>
      <c r="F69" t="s">
        <v>97</v>
      </c>
      <c r="G69" t="s">
        <v>79</v>
      </c>
      <c r="I69" s="171">
        <v>89</v>
      </c>
      <c r="J69" s="171" t="s">
        <v>97</v>
      </c>
      <c r="K69" s="171" t="s">
        <v>688</v>
      </c>
      <c r="M69" s="171">
        <v>64</v>
      </c>
      <c r="N69" s="171" t="s">
        <v>98</v>
      </c>
      <c r="O69" s="171" t="s">
        <v>123</v>
      </c>
      <c r="Q69" s="399">
        <v>34</v>
      </c>
      <c r="R69" s="171" t="s">
        <v>97</v>
      </c>
      <c r="S69" s="398" t="s">
        <v>122</v>
      </c>
      <c r="U69" s="423">
        <v>61</v>
      </c>
      <c r="V69" s="171" t="s">
        <v>97</v>
      </c>
      <c r="W69" s="171" t="s">
        <v>688</v>
      </c>
      <c r="Y69" s="171">
        <v>30</v>
      </c>
      <c r="Z69" s="171" t="s">
        <v>98</v>
      </c>
      <c r="AA69" s="171" t="s">
        <v>123</v>
      </c>
      <c r="AC69" s="505">
        <v>14</v>
      </c>
      <c r="AD69" s="505" t="s">
        <v>97</v>
      </c>
      <c r="AE69" s="505" t="s">
        <v>122</v>
      </c>
      <c r="AG69" s="171">
        <v>25</v>
      </c>
      <c r="AH69" s="171" t="s">
        <v>98</v>
      </c>
      <c r="AI69" s="171" t="s">
        <v>123</v>
      </c>
      <c r="AK69" s="299">
        <v>75</v>
      </c>
      <c r="AL69" s="299" t="s">
        <v>82</v>
      </c>
      <c r="AM69" s="299" t="s">
        <v>105</v>
      </c>
      <c r="AO69" s="299">
        <v>13</v>
      </c>
      <c r="AP69" s="299" t="s">
        <v>81</v>
      </c>
      <c r="AQ69" s="299" t="s">
        <v>123</v>
      </c>
    </row>
    <row r="70" spans="1:45" ht="15" customHeight="1" x14ac:dyDescent="0.25">
      <c r="A70">
        <v>62</v>
      </c>
      <c r="B70" t="s">
        <v>98</v>
      </c>
      <c r="C70" t="s">
        <v>688</v>
      </c>
      <c r="E70" s="72" t="s">
        <v>694</v>
      </c>
      <c r="F70" t="s">
        <v>98</v>
      </c>
      <c r="G70" t="s">
        <v>79</v>
      </c>
      <c r="I70" s="171">
        <v>69</v>
      </c>
      <c r="J70" s="171" t="s">
        <v>98</v>
      </c>
      <c r="K70" s="171" t="s">
        <v>688</v>
      </c>
      <c r="M70" s="171">
        <v>16</v>
      </c>
      <c r="N70" s="171" t="s">
        <v>98</v>
      </c>
      <c r="O70" s="171" t="s">
        <v>123</v>
      </c>
      <c r="Q70" s="399">
        <v>55</v>
      </c>
      <c r="R70" s="171" t="s">
        <v>97</v>
      </c>
      <c r="S70" s="398" t="s">
        <v>122</v>
      </c>
      <c r="U70" s="423">
        <v>6</v>
      </c>
      <c r="V70" s="171" t="s">
        <v>97</v>
      </c>
      <c r="W70" s="171" t="s">
        <v>688</v>
      </c>
      <c r="Y70" s="171">
        <v>97</v>
      </c>
      <c r="Z70" s="171" t="s">
        <v>98</v>
      </c>
      <c r="AA70" s="171" t="s">
        <v>123</v>
      </c>
      <c r="AC70" s="505">
        <v>85</v>
      </c>
      <c r="AD70" s="505" t="s">
        <v>97</v>
      </c>
      <c r="AE70" s="505" t="s">
        <v>122</v>
      </c>
      <c r="AG70" s="171">
        <v>22</v>
      </c>
      <c r="AH70" s="171" t="s">
        <v>98</v>
      </c>
      <c r="AI70" s="171" t="s">
        <v>123</v>
      </c>
      <c r="AK70" s="299">
        <v>57</v>
      </c>
      <c r="AL70" s="299" t="s">
        <v>82</v>
      </c>
      <c r="AM70" s="299" t="s">
        <v>105</v>
      </c>
      <c r="AO70" s="299">
        <v>24</v>
      </c>
      <c r="AP70" s="299" t="s">
        <v>81</v>
      </c>
      <c r="AQ70" s="299" t="s">
        <v>123</v>
      </c>
    </row>
    <row r="71" spans="1:45" ht="15" customHeight="1" x14ac:dyDescent="0.25">
      <c r="A71">
        <v>53</v>
      </c>
      <c r="B71" t="s">
        <v>97</v>
      </c>
      <c r="C71" t="s">
        <v>688</v>
      </c>
      <c r="E71" s="72" t="s">
        <v>694</v>
      </c>
      <c r="F71" t="s">
        <v>97</v>
      </c>
      <c r="G71" t="s">
        <v>79</v>
      </c>
      <c r="I71" s="171">
        <v>13</v>
      </c>
      <c r="J71" s="171" t="s">
        <v>97</v>
      </c>
      <c r="K71" s="171" t="s">
        <v>688</v>
      </c>
      <c r="M71" s="171">
        <v>18</v>
      </c>
      <c r="N71" s="171" t="s">
        <v>98</v>
      </c>
      <c r="O71" s="171" t="s">
        <v>123</v>
      </c>
      <c r="Q71" s="399">
        <v>57</v>
      </c>
      <c r="R71" s="171" t="s">
        <v>97</v>
      </c>
      <c r="S71" s="398" t="s">
        <v>122</v>
      </c>
      <c r="U71" s="423">
        <v>15</v>
      </c>
      <c r="V71" s="171" t="s">
        <v>98</v>
      </c>
      <c r="W71" s="171" t="s">
        <v>688</v>
      </c>
      <c r="Y71" s="171">
        <v>53</v>
      </c>
      <c r="Z71" s="171" t="s">
        <v>98</v>
      </c>
      <c r="AA71" s="171" t="s">
        <v>123</v>
      </c>
      <c r="AC71" s="505">
        <v>63</v>
      </c>
      <c r="AD71" s="505" t="s">
        <v>97</v>
      </c>
      <c r="AE71" s="505" t="s">
        <v>122</v>
      </c>
      <c r="AG71" s="171">
        <v>90</v>
      </c>
      <c r="AH71" s="171" t="s">
        <v>98</v>
      </c>
      <c r="AI71" s="171" t="s">
        <v>123</v>
      </c>
      <c r="AK71" s="299">
        <v>62</v>
      </c>
      <c r="AL71" s="299" t="s">
        <v>82</v>
      </c>
      <c r="AM71" s="299" t="s">
        <v>105</v>
      </c>
      <c r="AO71" s="299">
        <v>91</v>
      </c>
      <c r="AP71" s="299" t="s">
        <v>81</v>
      </c>
      <c r="AQ71" s="299" t="s">
        <v>123</v>
      </c>
      <c r="AS71" s="314"/>
    </row>
    <row r="72" spans="1:45" ht="15" customHeight="1" x14ac:dyDescent="0.25">
      <c r="A72">
        <v>54</v>
      </c>
      <c r="B72" t="s">
        <v>97</v>
      </c>
      <c r="C72" t="s">
        <v>688</v>
      </c>
      <c r="E72" s="72" t="s">
        <v>694</v>
      </c>
      <c r="F72" t="s">
        <v>97</v>
      </c>
      <c r="G72" t="s">
        <v>79</v>
      </c>
      <c r="I72" s="171">
        <v>49</v>
      </c>
      <c r="J72" s="171" t="s">
        <v>97</v>
      </c>
      <c r="K72" s="171" t="s">
        <v>688</v>
      </c>
      <c r="M72" s="171">
        <v>38</v>
      </c>
      <c r="N72" s="171" t="s">
        <v>98</v>
      </c>
      <c r="O72" s="171" t="s">
        <v>123</v>
      </c>
      <c r="Q72" s="399">
        <v>17</v>
      </c>
      <c r="R72" s="171" t="s">
        <v>97</v>
      </c>
      <c r="S72" s="398" t="s">
        <v>122</v>
      </c>
      <c r="U72" s="423">
        <v>25</v>
      </c>
      <c r="V72" s="171" t="s">
        <v>97</v>
      </c>
      <c r="W72" s="171" t="s">
        <v>688</v>
      </c>
      <c r="Y72" s="171">
        <v>53</v>
      </c>
      <c r="Z72" s="171" t="s">
        <v>98</v>
      </c>
      <c r="AA72" s="171" t="s">
        <v>123</v>
      </c>
      <c r="AC72" s="505">
        <v>18</v>
      </c>
      <c r="AD72" s="505" t="s">
        <v>97</v>
      </c>
      <c r="AE72" s="505" t="s">
        <v>122</v>
      </c>
      <c r="AG72" s="171">
        <v>32</v>
      </c>
      <c r="AH72" s="171" t="s">
        <v>98</v>
      </c>
      <c r="AI72" s="171" t="s">
        <v>123</v>
      </c>
      <c r="AK72" s="299">
        <v>22</v>
      </c>
      <c r="AL72" s="299" t="s">
        <v>82</v>
      </c>
      <c r="AM72" s="299" t="s">
        <v>105</v>
      </c>
      <c r="AO72" s="299">
        <v>31</v>
      </c>
      <c r="AP72" s="299" t="s">
        <v>81</v>
      </c>
      <c r="AQ72" s="299" t="s">
        <v>123</v>
      </c>
    </row>
    <row r="73" spans="1:45" ht="15" customHeight="1" x14ac:dyDescent="0.25">
      <c r="A73">
        <v>62</v>
      </c>
      <c r="B73" t="s">
        <v>98</v>
      </c>
      <c r="C73" t="s">
        <v>688</v>
      </c>
      <c r="E73" s="72" t="s">
        <v>694</v>
      </c>
      <c r="F73" t="s">
        <v>97</v>
      </c>
      <c r="G73" t="s">
        <v>79</v>
      </c>
      <c r="I73" s="171">
        <v>91</v>
      </c>
      <c r="J73" s="171" t="s">
        <v>98</v>
      </c>
      <c r="K73" s="171" t="s">
        <v>688</v>
      </c>
      <c r="M73" s="171">
        <v>40</v>
      </c>
      <c r="N73" s="171" t="s">
        <v>98</v>
      </c>
      <c r="O73" s="171" t="s">
        <v>123</v>
      </c>
      <c r="Q73" s="399">
        <v>21</v>
      </c>
      <c r="R73" s="171" t="s">
        <v>97</v>
      </c>
      <c r="S73" s="398" t="s">
        <v>122</v>
      </c>
      <c r="U73" s="423">
        <v>56</v>
      </c>
      <c r="V73" s="171" t="s">
        <v>98</v>
      </c>
      <c r="W73" s="171" t="s">
        <v>688</v>
      </c>
      <c r="Y73" s="171">
        <v>63</v>
      </c>
      <c r="Z73" s="171" t="s">
        <v>98</v>
      </c>
      <c r="AA73" s="171" t="s">
        <v>123</v>
      </c>
      <c r="AC73" s="505">
        <v>30</v>
      </c>
      <c r="AD73" s="505" t="s">
        <v>97</v>
      </c>
      <c r="AE73" s="505" t="s">
        <v>122</v>
      </c>
      <c r="AG73" s="171">
        <v>19</v>
      </c>
      <c r="AH73" s="171" t="s">
        <v>98</v>
      </c>
      <c r="AI73" s="171" t="s">
        <v>123</v>
      </c>
      <c r="AK73" s="299">
        <v>20</v>
      </c>
      <c r="AL73" s="299" t="s">
        <v>82</v>
      </c>
      <c r="AM73" s="299" t="s">
        <v>105</v>
      </c>
      <c r="AO73" s="299">
        <v>58</v>
      </c>
      <c r="AP73" s="299" t="s">
        <v>81</v>
      </c>
      <c r="AQ73" s="299" t="s">
        <v>123</v>
      </c>
    </row>
    <row r="74" spans="1:45" ht="15" customHeight="1" x14ac:dyDescent="0.25">
      <c r="A74">
        <v>56</v>
      </c>
      <c r="B74" t="s">
        <v>97</v>
      </c>
      <c r="C74" t="s">
        <v>688</v>
      </c>
      <c r="E74" s="72" t="s">
        <v>694</v>
      </c>
      <c r="F74" t="s">
        <v>98</v>
      </c>
      <c r="G74" t="s">
        <v>79</v>
      </c>
      <c r="I74" s="171">
        <v>17</v>
      </c>
      <c r="J74" s="171" t="s">
        <v>98</v>
      </c>
      <c r="K74" s="171" t="s">
        <v>688</v>
      </c>
      <c r="M74" s="171">
        <v>21</v>
      </c>
      <c r="N74" s="171" t="s">
        <v>98</v>
      </c>
      <c r="O74" s="171" t="s">
        <v>123</v>
      </c>
      <c r="Q74" s="396">
        <v>21</v>
      </c>
      <c r="R74" s="171" t="s">
        <v>98</v>
      </c>
      <c r="S74" s="398" t="s">
        <v>123</v>
      </c>
      <c r="U74" s="423">
        <v>69</v>
      </c>
      <c r="V74" s="171" t="s">
        <v>98</v>
      </c>
      <c r="W74" s="171" t="s">
        <v>688</v>
      </c>
      <c r="Y74" s="171">
        <v>62</v>
      </c>
      <c r="Z74" s="171" t="s">
        <v>98</v>
      </c>
      <c r="AA74" s="171" t="s">
        <v>123</v>
      </c>
      <c r="AC74" s="505">
        <v>17</v>
      </c>
      <c r="AD74" s="505" t="s">
        <v>97</v>
      </c>
      <c r="AE74" s="505" t="s">
        <v>122</v>
      </c>
      <c r="AG74" s="171">
        <v>59</v>
      </c>
      <c r="AH74" s="171" t="s">
        <v>98</v>
      </c>
      <c r="AI74" s="171" t="s">
        <v>123</v>
      </c>
      <c r="AK74" s="299">
        <v>65</v>
      </c>
      <c r="AL74" s="299" t="s">
        <v>82</v>
      </c>
      <c r="AM74" s="299" t="s">
        <v>105</v>
      </c>
      <c r="AO74" s="299">
        <v>20</v>
      </c>
      <c r="AP74" s="299" t="s">
        <v>81</v>
      </c>
      <c r="AQ74" s="299" t="s">
        <v>123</v>
      </c>
    </row>
    <row r="75" spans="1:45" ht="15" customHeight="1" x14ac:dyDescent="0.25">
      <c r="A75">
        <v>59</v>
      </c>
      <c r="B75" t="s">
        <v>97</v>
      </c>
      <c r="C75" t="s">
        <v>688</v>
      </c>
      <c r="E75" s="72" t="s">
        <v>694</v>
      </c>
      <c r="F75" t="s">
        <v>97</v>
      </c>
      <c r="G75" t="s">
        <v>79</v>
      </c>
      <c r="I75" s="171">
        <v>78</v>
      </c>
      <c r="J75" s="171" t="s">
        <v>97</v>
      </c>
      <c r="K75" s="171" t="s">
        <v>688</v>
      </c>
      <c r="M75" s="171">
        <v>31</v>
      </c>
      <c r="N75" s="171" t="s">
        <v>98</v>
      </c>
      <c r="O75" s="171" t="s">
        <v>123</v>
      </c>
      <c r="Q75" s="399">
        <v>52</v>
      </c>
      <c r="R75" s="171" t="s">
        <v>98</v>
      </c>
      <c r="S75" s="398" t="s">
        <v>123</v>
      </c>
      <c r="U75" s="423">
        <v>68</v>
      </c>
      <c r="V75" s="171" t="s">
        <v>97</v>
      </c>
      <c r="W75" s="171" t="s">
        <v>688</v>
      </c>
      <c r="Y75" s="171">
        <v>64</v>
      </c>
      <c r="Z75" s="171" t="s">
        <v>98</v>
      </c>
      <c r="AA75" s="171" t="s">
        <v>123</v>
      </c>
      <c r="AC75" s="505">
        <v>84</v>
      </c>
      <c r="AD75" s="505" t="s">
        <v>97</v>
      </c>
      <c r="AE75" s="505" t="s">
        <v>122</v>
      </c>
      <c r="AG75" s="171">
        <v>14</v>
      </c>
      <c r="AH75" s="171" t="s">
        <v>98</v>
      </c>
      <c r="AI75" s="171" t="s">
        <v>123</v>
      </c>
      <c r="AK75" s="299">
        <v>21</v>
      </c>
      <c r="AL75" s="299" t="s">
        <v>82</v>
      </c>
      <c r="AM75" s="299" t="s">
        <v>105</v>
      </c>
      <c r="AO75" s="299">
        <v>48</v>
      </c>
      <c r="AP75" s="299" t="s">
        <v>81</v>
      </c>
      <c r="AQ75" s="299" t="s">
        <v>123</v>
      </c>
    </row>
    <row r="76" spans="1:45" ht="15" customHeight="1" x14ac:dyDescent="0.25">
      <c r="A76">
        <v>59</v>
      </c>
      <c r="B76" t="s">
        <v>97</v>
      </c>
      <c r="C76" t="s">
        <v>688</v>
      </c>
      <c r="E76" s="72" t="s">
        <v>694</v>
      </c>
      <c r="F76" t="s">
        <v>97</v>
      </c>
      <c r="G76" t="s">
        <v>79</v>
      </c>
      <c r="I76" s="171">
        <v>18</v>
      </c>
      <c r="J76" s="171" t="s">
        <v>98</v>
      </c>
      <c r="K76" s="171" t="s">
        <v>688</v>
      </c>
      <c r="M76" s="171">
        <v>65</v>
      </c>
      <c r="N76" s="171" t="s">
        <v>98</v>
      </c>
      <c r="O76" s="171" t="s">
        <v>123</v>
      </c>
      <c r="Q76" s="399">
        <v>20</v>
      </c>
      <c r="R76" s="171" t="s">
        <v>98</v>
      </c>
      <c r="S76" s="398" t="s">
        <v>123</v>
      </c>
      <c r="U76" s="423">
        <v>64</v>
      </c>
      <c r="V76" s="171" t="s">
        <v>97</v>
      </c>
      <c r="W76" s="171" t="s">
        <v>688</v>
      </c>
      <c r="Y76" s="171">
        <v>53</v>
      </c>
      <c r="Z76" s="171" t="s">
        <v>98</v>
      </c>
      <c r="AA76" s="171" t="s">
        <v>123</v>
      </c>
      <c r="AC76" s="505">
        <v>21</v>
      </c>
      <c r="AD76" s="505" t="s">
        <v>97</v>
      </c>
      <c r="AE76" s="505" t="s">
        <v>122</v>
      </c>
      <c r="AG76" s="171">
        <v>69</v>
      </c>
      <c r="AH76" s="171" t="s">
        <v>98</v>
      </c>
      <c r="AI76" s="171" t="s">
        <v>123</v>
      </c>
      <c r="AK76" s="299">
        <v>77</v>
      </c>
      <c r="AL76" s="299" t="s">
        <v>82</v>
      </c>
      <c r="AM76" s="299" t="s">
        <v>105</v>
      </c>
      <c r="AO76" s="299">
        <v>55</v>
      </c>
      <c r="AP76" s="299" t="s">
        <v>81</v>
      </c>
      <c r="AQ76" s="299" t="s">
        <v>123</v>
      </c>
    </row>
    <row r="77" spans="1:45" ht="15" customHeight="1" x14ac:dyDescent="0.25">
      <c r="A77">
        <v>60</v>
      </c>
      <c r="B77" t="s">
        <v>97</v>
      </c>
      <c r="C77" t="s">
        <v>688</v>
      </c>
      <c r="E77" s="72" t="s">
        <v>694</v>
      </c>
      <c r="F77" t="s">
        <v>97</v>
      </c>
      <c r="G77" t="s">
        <v>79</v>
      </c>
      <c r="I77" s="171">
        <v>11</v>
      </c>
      <c r="J77" s="171" t="s">
        <v>98</v>
      </c>
      <c r="K77" s="171" t="s">
        <v>688</v>
      </c>
      <c r="M77" s="171">
        <v>64</v>
      </c>
      <c r="N77" s="171" t="s">
        <v>98</v>
      </c>
      <c r="O77" s="171" t="s">
        <v>123</v>
      </c>
      <c r="Q77" s="399">
        <v>89</v>
      </c>
      <c r="R77" s="171" t="s">
        <v>98</v>
      </c>
      <c r="S77" s="398" t="s">
        <v>123</v>
      </c>
      <c r="U77" s="423">
        <v>44</v>
      </c>
      <c r="V77" s="171" t="s">
        <v>98</v>
      </c>
      <c r="W77" s="171" t="s">
        <v>688</v>
      </c>
      <c r="Y77" s="171">
        <v>56</v>
      </c>
      <c r="Z77" s="171" t="s">
        <v>98</v>
      </c>
      <c r="AA77" s="171" t="s">
        <v>123</v>
      </c>
      <c r="AC77" s="505">
        <v>56</v>
      </c>
      <c r="AD77" s="505" t="s">
        <v>97</v>
      </c>
      <c r="AE77" s="505" t="s">
        <v>122</v>
      </c>
      <c r="AG77" s="171">
        <v>5</v>
      </c>
      <c r="AH77" s="171" t="s">
        <v>97</v>
      </c>
      <c r="AI77" s="171" t="s">
        <v>134</v>
      </c>
      <c r="AK77" s="545">
        <v>18</v>
      </c>
      <c r="AL77" s="545" t="s">
        <v>82</v>
      </c>
      <c r="AM77" s="545" t="s">
        <v>105</v>
      </c>
      <c r="AO77" s="503">
        <v>26</v>
      </c>
      <c r="AP77" s="503" t="s">
        <v>81</v>
      </c>
      <c r="AQ77" s="503" t="s">
        <v>123</v>
      </c>
    </row>
    <row r="78" spans="1:45" ht="15" customHeight="1" x14ac:dyDescent="0.25">
      <c r="A78">
        <v>60</v>
      </c>
      <c r="B78" t="s">
        <v>97</v>
      </c>
      <c r="C78" t="s">
        <v>688</v>
      </c>
      <c r="E78" s="72" t="s">
        <v>694</v>
      </c>
      <c r="F78" t="s">
        <v>98</v>
      </c>
      <c r="G78" t="s">
        <v>79</v>
      </c>
      <c r="I78" s="171">
        <v>29</v>
      </c>
      <c r="J78" s="171" t="s">
        <v>98</v>
      </c>
      <c r="K78" s="171" t="s">
        <v>688</v>
      </c>
      <c r="M78" s="171">
        <v>60</v>
      </c>
      <c r="N78" s="171" t="s">
        <v>98</v>
      </c>
      <c r="O78" s="171" t="s">
        <v>123</v>
      </c>
      <c r="Q78" s="399">
        <v>69</v>
      </c>
      <c r="R78" s="171" t="s">
        <v>98</v>
      </c>
      <c r="S78" s="398" t="s">
        <v>123</v>
      </c>
      <c r="U78" s="420">
        <v>32</v>
      </c>
      <c r="V78" s="171" t="s">
        <v>98</v>
      </c>
      <c r="W78" s="171" t="s">
        <v>38</v>
      </c>
      <c r="Y78" s="171">
        <v>80</v>
      </c>
      <c r="Z78" s="171" t="s">
        <v>98</v>
      </c>
      <c r="AA78" s="171" t="s">
        <v>123</v>
      </c>
      <c r="AC78" s="505">
        <v>20</v>
      </c>
      <c r="AD78" s="505" t="s">
        <v>97</v>
      </c>
      <c r="AE78" s="505" t="s">
        <v>122</v>
      </c>
      <c r="AG78" s="171">
        <v>9</v>
      </c>
      <c r="AH78" s="171" t="s">
        <v>97</v>
      </c>
      <c r="AI78" s="171" t="s">
        <v>134</v>
      </c>
      <c r="AK78" s="299">
        <v>55</v>
      </c>
      <c r="AL78" s="299" t="s">
        <v>81</v>
      </c>
      <c r="AM78" s="299" t="s">
        <v>106</v>
      </c>
      <c r="AO78" s="299">
        <v>45</v>
      </c>
      <c r="AP78" s="299" t="s">
        <v>81</v>
      </c>
      <c r="AQ78" s="299" t="s">
        <v>123</v>
      </c>
    </row>
    <row r="79" spans="1:45" ht="15" customHeight="1" x14ac:dyDescent="0.25">
      <c r="A79">
        <v>65</v>
      </c>
      <c r="B79" t="s">
        <v>98</v>
      </c>
      <c r="C79" t="s">
        <v>688</v>
      </c>
      <c r="E79" s="72" t="s">
        <v>694</v>
      </c>
      <c r="F79" t="s">
        <v>97</v>
      </c>
      <c r="G79" t="s">
        <v>79</v>
      </c>
      <c r="I79" s="171">
        <v>76</v>
      </c>
      <c r="J79" s="171" t="s">
        <v>98</v>
      </c>
      <c r="K79" s="171" t="s">
        <v>688</v>
      </c>
      <c r="M79" s="171">
        <v>26</v>
      </c>
      <c r="N79" s="171" t="s">
        <v>98</v>
      </c>
      <c r="O79" s="171" t="s">
        <v>123</v>
      </c>
      <c r="Q79" s="399">
        <v>70</v>
      </c>
      <c r="R79" s="171" t="s">
        <v>98</v>
      </c>
      <c r="S79" s="398" t="s">
        <v>123</v>
      </c>
      <c r="U79" s="420">
        <v>47</v>
      </c>
      <c r="V79" s="171" t="s">
        <v>98</v>
      </c>
      <c r="W79" s="171" t="s">
        <v>38</v>
      </c>
      <c r="Y79" s="171">
        <v>33</v>
      </c>
      <c r="Z79" s="171" t="s">
        <v>98</v>
      </c>
      <c r="AA79" s="171" t="s">
        <v>123</v>
      </c>
      <c r="AC79" s="505">
        <v>67</v>
      </c>
      <c r="AD79" s="505" t="s">
        <v>97</v>
      </c>
      <c r="AE79" s="505" t="s">
        <v>122</v>
      </c>
      <c r="AG79" s="171">
        <v>12</v>
      </c>
      <c r="AH79" s="171" t="s">
        <v>97</v>
      </c>
      <c r="AI79" s="171" t="s">
        <v>134</v>
      </c>
      <c r="AK79" s="299">
        <v>31</v>
      </c>
      <c r="AL79" s="299" t="s">
        <v>81</v>
      </c>
      <c r="AM79" s="299" t="s">
        <v>106</v>
      </c>
      <c r="AO79" s="299">
        <v>21</v>
      </c>
      <c r="AP79" s="299" t="s">
        <v>81</v>
      </c>
      <c r="AQ79" s="299" t="s">
        <v>123</v>
      </c>
    </row>
    <row r="80" spans="1:45" ht="15" customHeight="1" x14ac:dyDescent="0.25">
      <c r="A80">
        <v>66</v>
      </c>
      <c r="B80" t="s">
        <v>98</v>
      </c>
      <c r="C80" t="s">
        <v>688</v>
      </c>
      <c r="E80" s="72" t="s">
        <v>694</v>
      </c>
      <c r="F80" t="s">
        <v>98</v>
      </c>
      <c r="G80" t="s">
        <v>79</v>
      </c>
      <c r="I80" s="171">
        <v>19</v>
      </c>
      <c r="J80" s="171" t="s">
        <v>97</v>
      </c>
      <c r="K80" s="171" t="s">
        <v>688</v>
      </c>
      <c r="M80" s="171">
        <v>21</v>
      </c>
      <c r="N80" s="171" t="s">
        <v>98</v>
      </c>
      <c r="O80" s="171" t="s">
        <v>123</v>
      </c>
      <c r="Q80" s="399">
        <v>50</v>
      </c>
      <c r="R80" s="171" t="s">
        <v>98</v>
      </c>
      <c r="S80" s="398" t="s">
        <v>123</v>
      </c>
      <c r="U80" s="420">
        <v>28</v>
      </c>
      <c r="V80" s="171" t="s">
        <v>98</v>
      </c>
      <c r="W80" s="171" t="s">
        <v>38</v>
      </c>
      <c r="Y80" s="171">
        <v>51</v>
      </c>
      <c r="Z80" s="171" t="s">
        <v>98</v>
      </c>
      <c r="AA80" s="171" t="s">
        <v>123</v>
      </c>
      <c r="AC80" s="505">
        <v>71</v>
      </c>
      <c r="AD80" s="505" t="s">
        <v>97</v>
      </c>
      <c r="AE80" s="505" t="s">
        <v>122</v>
      </c>
      <c r="AG80" s="171" t="s">
        <v>1103</v>
      </c>
      <c r="AH80" s="171" t="s">
        <v>97</v>
      </c>
      <c r="AI80" s="171" t="s">
        <v>134</v>
      </c>
      <c r="AK80" s="299">
        <v>54</v>
      </c>
      <c r="AL80" s="299" t="s">
        <v>81</v>
      </c>
      <c r="AM80" s="299" t="s">
        <v>106</v>
      </c>
      <c r="AO80" s="299">
        <v>31</v>
      </c>
      <c r="AP80" s="299" t="s">
        <v>81</v>
      </c>
      <c r="AQ80" s="299" t="s">
        <v>123</v>
      </c>
    </row>
    <row r="81" spans="1:43" ht="15" customHeight="1" x14ac:dyDescent="0.25">
      <c r="A81">
        <v>60</v>
      </c>
      <c r="B81" t="s">
        <v>97</v>
      </c>
      <c r="C81" t="s">
        <v>688</v>
      </c>
      <c r="E81" s="72" t="s">
        <v>694</v>
      </c>
      <c r="F81" t="s">
        <v>98</v>
      </c>
      <c r="G81" t="s">
        <v>79</v>
      </c>
      <c r="I81" s="171">
        <v>18</v>
      </c>
      <c r="J81" s="171" t="s">
        <v>98</v>
      </c>
      <c r="K81" s="171" t="s">
        <v>688</v>
      </c>
      <c r="M81" s="171">
        <v>23</v>
      </c>
      <c r="N81" s="171" t="s">
        <v>98</v>
      </c>
      <c r="O81" s="171" t="s">
        <v>123</v>
      </c>
      <c r="Q81" s="399">
        <v>52</v>
      </c>
      <c r="R81" s="171" t="s">
        <v>98</v>
      </c>
      <c r="S81" s="398" t="s">
        <v>123</v>
      </c>
      <c r="U81" s="420">
        <v>27</v>
      </c>
      <c r="V81" s="171" t="s">
        <v>98</v>
      </c>
      <c r="W81" s="171" t="s">
        <v>38</v>
      </c>
      <c r="Y81" s="171">
        <v>58</v>
      </c>
      <c r="Z81" s="171" t="s">
        <v>98</v>
      </c>
      <c r="AA81" s="171" t="s">
        <v>123</v>
      </c>
      <c r="AC81" s="505">
        <v>41</v>
      </c>
      <c r="AD81" s="505" t="s">
        <v>97</v>
      </c>
      <c r="AE81" s="505" t="s">
        <v>122</v>
      </c>
      <c r="AG81" s="171">
        <v>4</v>
      </c>
      <c r="AH81" s="171" t="s">
        <v>97</v>
      </c>
      <c r="AI81" s="171" t="s">
        <v>134</v>
      </c>
      <c r="AK81" s="299">
        <v>74</v>
      </c>
      <c r="AL81" s="299" t="s">
        <v>81</v>
      </c>
      <c r="AM81" s="299" t="s">
        <v>106</v>
      </c>
      <c r="AO81" s="299">
        <v>15</v>
      </c>
      <c r="AP81" s="299" t="s">
        <v>81</v>
      </c>
      <c r="AQ81" s="299" t="s">
        <v>123</v>
      </c>
    </row>
    <row r="82" spans="1:43" ht="15" customHeight="1" x14ac:dyDescent="0.25">
      <c r="A82">
        <v>67</v>
      </c>
      <c r="B82" t="s">
        <v>98</v>
      </c>
      <c r="C82" t="s">
        <v>688</v>
      </c>
      <c r="E82" s="72" t="s">
        <v>694</v>
      </c>
      <c r="F82" t="s">
        <v>98</v>
      </c>
      <c r="G82" t="s">
        <v>79</v>
      </c>
      <c r="I82" s="171">
        <v>59</v>
      </c>
      <c r="J82" s="171" t="s">
        <v>98</v>
      </c>
      <c r="K82" s="171" t="s">
        <v>688</v>
      </c>
      <c r="M82" s="171">
        <v>96</v>
      </c>
      <c r="N82" s="171" t="s">
        <v>98</v>
      </c>
      <c r="O82" s="171" t="s">
        <v>123</v>
      </c>
      <c r="Q82" s="399">
        <v>51</v>
      </c>
      <c r="R82" s="171" t="s">
        <v>98</v>
      </c>
      <c r="S82" s="398" t="s">
        <v>123</v>
      </c>
      <c r="U82" s="420">
        <v>40</v>
      </c>
      <c r="V82" s="171" t="s">
        <v>98</v>
      </c>
      <c r="W82" s="171" t="s">
        <v>38</v>
      </c>
      <c r="Y82" s="171">
        <v>47</v>
      </c>
      <c r="Z82" s="171" t="s">
        <v>98</v>
      </c>
      <c r="AA82" s="171" t="s">
        <v>123</v>
      </c>
      <c r="AC82" s="505">
        <v>25</v>
      </c>
      <c r="AD82" s="505" t="s">
        <v>97</v>
      </c>
      <c r="AE82" s="505" t="s">
        <v>122</v>
      </c>
      <c r="AG82" s="171">
        <v>4</v>
      </c>
      <c r="AH82" s="171" t="s">
        <v>98</v>
      </c>
      <c r="AI82" s="171" t="s">
        <v>134</v>
      </c>
      <c r="AK82" s="299">
        <v>20</v>
      </c>
      <c r="AL82" s="299" t="s">
        <v>81</v>
      </c>
      <c r="AM82" s="299" t="s">
        <v>106</v>
      </c>
      <c r="AO82" s="299">
        <v>62</v>
      </c>
      <c r="AP82" s="299" t="s">
        <v>81</v>
      </c>
      <c r="AQ82" s="299" t="s">
        <v>123</v>
      </c>
    </row>
    <row r="83" spans="1:43" ht="15" customHeight="1" x14ac:dyDescent="0.25">
      <c r="A83">
        <v>60</v>
      </c>
      <c r="B83" t="s">
        <v>97</v>
      </c>
      <c r="C83" t="s">
        <v>688</v>
      </c>
      <c r="E83" s="72" t="s">
        <v>694</v>
      </c>
      <c r="F83" t="s">
        <v>97</v>
      </c>
      <c r="G83" t="s">
        <v>79</v>
      </c>
      <c r="I83" s="171">
        <v>69</v>
      </c>
      <c r="J83" s="171" t="s">
        <v>97</v>
      </c>
      <c r="K83" s="171" t="s">
        <v>688</v>
      </c>
      <c r="M83" s="171">
        <v>54</v>
      </c>
      <c r="N83" s="171" t="s">
        <v>98</v>
      </c>
      <c r="O83" s="171" t="s">
        <v>123</v>
      </c>
      <c r="Q83" s="399">
        <v>36</v>
      </c>
      <c r="R83" s="171" t="s">
        <v>98</v>
      </c>
      <c r="S83" s="398" t="s">
        <v>123</v>
      </c>
      <c r="U83" s="420">
        <v>30</v>
      </c>
      <c r="V83" s="171" t="s">
        <v>98</v>
      </c>
      <c r="W83" s="171" t="s">
        <v>38</v>
      </c>
      <c r="Y83" s="171">
        <v>16</v>
      </c>
      <c r="Z83" s="171" t="s">
        <v>98</v>
      </c>
      <c r="AA83" s="171" t="s">
        <v>123</v>
      </c>
      <c r="AC83" s="505">
        <v>18</v>
      </c>
      <c r="AD83" s="505" t="s">
        <v>97</v>
      </c>
      <c r="AE83" s="505" t="s">
        <v>122</v>
      </c>
      <c r="AG83" s="171">
        <v>7</v>
      </c>
      <c r="AH83" s="171" t="s">
        <v>97</v>
      </c>
      <c r="AI83" s="171" t="s">
        <v>134</v>
      </c>
      <c r="AK83" s="299">
        <v>85</v>
      </c>
      <c r="AL83" s="299" t="s">
        <v>81</v>
      </c>
      <c r="AM83" s="299" t="s">
        <v>106</v>
      </c>
      <c r="AO83" s="299">
        <v>16</v>
      </c>
      <c r="AP83" s="299" t="s">
        <v>81</v>
      </c>
      <c r="AQ83" s="299" t="s">
        <v>123</v>
      </c>
    </row>
    <row r="84" spans="1:43" ht="15" customHeight="1" x14ac:dyDescent="0.25">
      <c r="A84">
        <v>62</v>
      </c>
      <c r="B84" t="s">
        <v>97</v>
      </c>
      <c r="C84" t="s">
        <v>688</v>
      </c>
      <c r="E84" s="72">
        <v>98</v>
      </c>
      <c r="F84" t="s">
        <v>97</v>
      </c>
      <c r="G84" t="s">
        <v>688</v>
      </c>
      <c r="I84" s="171">
        <v>56</v>
      </c>
      <c r="J84" s="171" t="s">
        <v>98</v>
      </c>
      <c r="K84" s="171" t="s">
        <v>688</v>
      </c>
      <c r="M84" s="171">
        <v>25</v>
      </c>
      <c r="N84" s="171" t="s">
        <v>98</v>
      </c>
      <c r="O84" s="171" t="s">
        <v>123</v>
      </c>
      <c r="Q84" s="399">
        <v>72</v>
      </c>
      <c r="R84" s="171" t="s">
        <v>98</v>
      </c>
      <c r="S84" s="398" t="s">
        <v>123</v>
      </c>
      <c r="U84" s="420">
        <v>34</v>
      </c>
      <c r="V84" s="171" t="s">
        <v>98</v>
      </c>
      <c r="W84" s="171" t="s">
        <v>38</v>
      </c>
      <c r="Y84" s="171">
        <v>86</v>
      </c>
      <c r="Z84" s="171" t="s">
        <v>98</v>
      </c>
      <c r="AA84" s="171" t="s">
        <v>123</v>
      </c>
      <c r="AC84" s="505">
        <v>61</v>
      </c>
      <c r="AD84" s="505" t="s">
        <v>97</v>
      </c>
      <c r="AE84" s="505" t="s">
        <v>122</v>
      </c>
      <c r="AG84" s="171" t="s">
        <v>1099</v>
      </c>
      <c r="AH84" s="171" t="s">
        <v>97</v>
      </c>
      <c r="AI84" s="171" t="s">
        <v>134</v>
      </c>
      <c r="AK84" s="299">
        <v>79</v>
      </c>
      <c r="AL84" s="299" t="s">
        <v>81</v>
      </c>
      <c r="AM84" s="299" t="s">
        <v>106</v>
      </c>
      <c r="AO84" s="299">
        <v>37</v>
      </c>
      <c r="AP84" s="299" t="s">
        <v>81</v>
      </c>
      <c r="AQ84" s="299" t="s">
        <v>123</v>
      </c>
    </row>
    <row r="85" spans="1:43" ht="15" customHeight="1" x14ac:dyDescent="0.25">
      <c r="A85">
        <v>71</v>
      </c>
      <c r="B85" t="s">
        <v>98</v>
      </c>
      <c r="C85" t="s">
        <v>688</v>
      </c>
      <c r="E85" s="72">
        <v>92</v>
      </c>
      <c r="F85" t="s">
        <v>97</v>
      </c>
      <c r="G85" t="s">
        <v>122</v>
      </c>
      <c r="I85" s="171">
        <v>42</v>
      </c>
      <c r="J85" s="171" t="s">
        <v>98</v>
      </c>
      <c r="K85" s="171" t="s">
        <v>688</v>
      </c>
      <c r="M85" s="171">
        <v>5</v>
      </c>
      <c r="N85" s="171" t="s">
        <v>98</v>
      </c>
      <c r="O85" s="171" t="s">
        <v>134</v>
      </c>
      <c r="Q85" s="399">
        <v>51</v>
      </c>
      <c r="R85" s="171" t="s">
        <v>98</v>
      </c>
      <c r="S85" s="398" t="s">
        <v>123</v>
      </c>
      <c r="U85" s="171">
        <v>29</v>
      </c>
      <c r="V85" s="171" t="s">
        <v>98</v>
      </c>
      <c r="W85" s="171" t="s">
        <v>38</v>
      </c>
      <c r="Y85" s="171">
        <v>62</v>
      </c>
      <c r="Z85" s="171" t="s">
        <v>98</v>
      </c>
      <c r="AA85" s="171" t="s">
        <v>123</v>
      </c>
      <c r="AC85" s="505">
        <v>13</v>
      </c>
      <c r="AD85" s="505" t="s">
        <v>97</v>
      </c>
      <c r="AE85" s="505" t="s">
        <v>122</v>
      </c>
      <c r="AG85" s="171">
        <v>6</v>
      </c>
      <c r="AH85" s="171" t="s">
        <v>98</v>
      </c>
      <c r="AI85" s="171" t="s">
        <v>134</v>
      </c>
      <c r="AK85" s="299">
        <v>13</v>
      </c>
      <c r="AL85" s="299" t="s">
        <v>81</v>
      </c>
      <c r="AM85" s="299" t="s">
        <v>106</v>
      </c>
      <c r="AO85" s="299">
        <v>22</v>
      </c>
      <c r="AP85" s="299" t="s">
        <v>81</v>
      </c>
      <c r="AQ85" s="299" t="s">
        <v>123</v>
      </c>
    </row>
    <row r="86" spans="1:43" ht="15" customHeight="1" x14ac:dyDescent="0.25">
      <c r="A86">
        <v>63</v>
      </c>
      <c r="B86" t="s">
        <v>97</v>
      </c>
      <c r="C86" t="s">
        <v>688</v>
      </c>
      <c r="E86" s="72">
        <v>90</v>
      </c>
      <c r="F86" t="s">
        <v>97</v>
      </c>
      <c r="G86" t="s">
        <v>688</v>
      </c>
      <c r="I86" s="171">
        <v>61</v>
      </c>
      <c r="J86" s="171" t="s">
        <v>98</v>
      </c>
      <c r="K86" s="171" t="s">
        <v>688</v>
      </c>
      <c r="M86" s="171">
        <v>4</v>
      </c>
      <c r="N86" s="171" t="s">
        <v>97</v>
      </c>
      <c r="O86" s="171" t="s">
        <v>134</v>
      </c>
      <c r="Q86" s="399">
        <v>17</v>
      </c>
      <c r="R86" s="171" t="s">
        <v>98</v>
      </c>
      <c r="S86" s="398" t="s">
        <v>123</v>
      </c>
      <c r="U86" s="420">
        <v>34</v>
      </c>
      <c r="V86" s="171" t="s">
        <v>98</v>
      </c>
      <c r="W86" s="171" t="s">
        <v>38</v>
      </c>
      <c r="Y86" s="171">
        <v>68</v>
      </c>
      <c r="Z86" s="171" t="s">
        <v>98</v>
      </c>
      <c r="AA86" s="171" t="s">
        <v>123</v>
      </c>
      <c r="AC86" s="505">
        <v>91</v>
      </c>
      <c r="AD86" s="505" t="s">
        <v>97</v>
      </c>
      <c r="AE86" s="505" t="s">
        <v>122</v>
      </c>
      <c r="AG86" s="171">
        <v>10</v>
      </c>
      <c r="AH86" s="171" t="s">
        <v>98</v>
      </c>
      <c r="AI86" s="171" t="s">
        <v>134</v>
      </c>
      <c r="AK86" s="299">
        <v>55</v>
      </c>
      <c r="AL86" s="299" t="s">
        <v>81</v>
      </c>
      <c r="AM86" s="299" t="s">
        <v>106</v>
      </c>
      <c r="AO86" s="299">
        <v>26</v>
      </c>
      <c r="AP86" s="299" t="s">
        <v>81</v>
      </c>
      <c r="AQ86" s="299" t="s">
        <v>123</v>
      </c>
    </row>
    <row r="87" spans="1:43" ht="15" customHeight="1" x14ac:dyDescent="0.25">
      <c r="A87">
        <v>64</v>
      </c>
      <c r="B87" t="s">
        <v>97</v>
      </c>
      <c r="C87" t="s">
        <v>688</v>
      </c>
      <c r="E87" s="72">
        <v>89</v>
      </c>
      <c r="F87" t="s">
        <v>97</v>
      </c>
      <c r="G87" t="s">
        <v>688</v>
      </c>
      <c r="I87" s="171">
        <v>63</v>
      </c>
      <c r="J87" s="171" t="s">
        <v>97</v>
      </c>
      <c r="K87" s="171" t="s">
        <v>688</v>
      </c>
      <c r="M87" s="171">
        <v>1</v>
      </c>
      <c r="N87" s="171" t="s">
        <v>98</v>
      </c>
      <c r="O87" s="171" t="s">
        <v>134</v>
      </c>
      <c r="Q87" s="399">
        <v>50</v>
      </c>
      <c r="R87" s="171" t="s">
        <v>98</v>
      </c>
      <c r="S87" s="398" t="s">
        <v>123</v>
      </c>
      <c r="U87" s="420">
        <v>30</v>
      </c>
      <c r="V87" s="171" t="s">
        <v>98</v>
      </c>
      <c r="W87" s="171" t="s">
        <v>38</v>
      </c>
      <c r="Y87" s="171">
        <v>43</v>
      </c>
      <c r="Z87" s="171" t="s">
        <v>98</v>
      </c>
      <c r="AA87" s="171" t="s">
        <v>123</v>
      </c>
      <c r="AC87" s="505">
        <v>56</v>
      </c>
      <c r="AD87" s="505" t="s">
        <v>97</v>
      </c>
      <c r="AE87" s="505" t="s">
        <v>122</v>
      </c>
      <c r="AG87" s="171">
        <v>2</v>
      </c>
      <c r="AH87" s="171" t="s">
        <v>98</v>
      </c>
      <c r="AI87" s="171" t="s">
        <v>134</v>
      </c>
      <c r="AK87" s="299">
        <v>81</v>
      </c>
      <c r="AL87" s="299" t="s">
        <v>81</v>
      </c>
      <c r="AM87" s="299" t="s">
        <v>106</v>
      </c>
      <c r="AO87" s="299">
        <v>49</v>
      </c>
      <c r="AP87" s="299" t="s">
        <v>81</v>
      </c>
      <c r="AQ87" s="299" t="s">
        <v>123</v>
      </c>
    </row>
    <row r="88" spans="1:43" ht="15" customHeight="1" x14ac:dyDescent="0.25">
      <c r="A88">
        <v>65</v>
      </c>
      <c r="B88" t="s">
        <v>97</v>
      </c>
      <c r="C88" t="s">
        <v>688</v>
      </c>
      <c r="E88" s="72">
        <v>89</v>
      </c>
      <c r="F88" t="s">
        <v>97</v>
      </c>
      <c r="G88" t="s">
        <v>122</v>
      </c>
      <c r="I88" s="171">
        <v>57</v>
      </c>
      <c r="J88" s="171" t="s">
        <v>98</v>
      </c>
      <c r="K88" s="171" t="s">
        <v>688</v>
      </c>
      <c r="M88" s="171">
        <v>10</v>
      </c>
      <c r="N88" s="171" t="s">
        <v>97</v>
      </c>
      <c r="O88" s="171" t="s">
        <v>134</v>
      </c>
      <c r="Q88" s="399">
        <v>16</v>
      </c>
      <c r="R88" s="171" t="s">
        <v>98</v>
      </c>
      <c r="S88" s="398" t="s">
        <v>123</v>
      </c>
      <c r="U88" s="420">
        <v>33</v>
      </c>
      <c r="V88" s="171" t="s">
        <v>98</v>
      </c>
      <c r="W88" s="171" t="s">
        <v>38</v>
      </c>
      <c r="Y88" s="171">
        <v>27</v>
      </c>
      <c r="Z88" s="171" t="s">
        <v>98</v>
      </c>
      <c r="AA88" s="171" t="s">
        <v>123</v>
      </c>
      <c r="AC88" s="505">
        <v>19</v>
      </c>
      <c r="AD88" s="505" t="s">
        <v>97</v>
      </c>
      <c r="AE88" s="505" t="s">
        <v>122</v>
      </c>
      <c r="AG88" s="171">
        <v>3</v>
      </c>
      <c r="AH88" s="171" t="s">
        <v>98</v>
      </c>
      <c r="AI88" s="171" t="s">
        <v>134</v>
      </c>
      <c r="AK88" s="299">
        <v>62</v>
      </c>
      <c r="AL88" s="299" t="s">
        <v>81</v>
      </c>
      <c r="AM88" s="299" t="s">
        <v>106</v>
      </c>
      <c r="AO88" s="299">
        <v>70</v>
      </c>
      <c r="AP88" s="299" t="s">
        <v>81</v>
      </c>
      <c r="AQ88" s="299" t="s">
        <v>123</v>
      </c>
    </row>
    <row r="89" spans="1:43" ht="15" customHeight="1" x14ac:dyDescent="0.25">
      <c r="A89">
        <v>71</v>
      </c>
      <c r="B89" t="s">
        <v>98</v>
      </c>
      <c r="C89" t="s">
        <v>688</v>
      </c>
      <c r="E89" s="72">
        <v>88</v>
      </c>
      <c r="F89" t="s">
        <v>97</v>
      </c>
      <c r="G89" t="s">
        <v>688</v>
      </c>
      <c r="I89" s="171">
        <v>75</v>
      </c>
      <c r="J89" s="171" t="s">
        <v>97</v>
      </c>
      <c r="K89" s="171" t="s">
        <v>688</v>
      </c>
      <c r="M89" s="171">
        <v>5</v>
      </c>
      <c r="N89" s="171" t="s">
        <v>97</v>
      </c>
      <c r="O89" s="171" t="s">
        <v>134</v>
      </c>
      <c r="Q89" s="399">
        <v>41</v>
      </c>
      <c r="R89" s="171" t="s">
        <v>98</v>
      </c>
      <c r="S89" s="398" t="s">
        <v>123</v>
      </c>
      <c r="U89" s="420">
        <v>25</v>
      </c>
      <c r="V89" s="171" t="s">
        <v>98</v>
      </c>
      <c r="W89" s="171" t="s">
        <v>38</v>
      </c>
      <c r="Y89" s="171">
        <v>88</v>
      </c>
      <c r="Z89" s="171" t="s">
        <v>98</v>
      </c>
      <c r="AA89" s="171" t="s">
        <v>123</v>
      </c>
      <c r="AC89" s="505">
        <v>19</v>
      </c>
      <c r="AD89" s="505" t="s">
        <v>97</v>
      </c>
      <c r="AE89" s="505" t="s">
        <v>122</v>
      </c>
      <c r="AG89" s="171">
        <v>5</v>
      </c>
      <c r="AH89" s="171" t="s">
        <v>97</v>
      </c>
      <c r="AI89" s="171" t="s">
        <v>134</v>
      </c>
      <c r="AK89" s="299">
        <v>25</v>
      </c>
      <c r="AL89" s="299" t="s">
        <v>81</v>
      </c>
      <c r="AM89" s="299" t="s">
        <v>106</v>
      </c>
      <c r="AO89" s="299">
        <v>54</v>
      </c>
      <c r="AP89" s="299" t="s">
        <v>81</v>
      </c>
      <c r="AQ89" s="299" t="s">
        <v>123</v>
      </c>
    </row>
    <row r="90" spans="1:43" ht="15" customHeight="1" x14ac:dyDescent="0.25">
      <c r="A90">
        <v>65</v>
      </c>
      <c r="B90" t="s">
        <v>97</v>
      </c>
      <c r="C90" t="s">
        <v>688</v>
      </c>
      <c r="E90" s="72">
        <v>87</v>
      </c>
      <c r="F90" t="s">
        <v>98</v>
      </c>
      <c r="G90" t="s">
        <v>123</v>
      </c>
      <c r="I90" s="171">
        <v>28</v>
      </c>
      <c r="J90" s="171" t="s">
        <v>98</v>
      </c>
      <c r="K90" s="171" t="s">
        <v>688</v>
      </c>
      <c r="M90" s="171">
        <v>3</v>
      </c>
      <c r="N90" s="171" t="s">
        <v>98</v>
      </c>
      <c r="O90" s="171" t="s">
        <v>134</v>
      </c>
      <c r="Q90" s="399">
        <v>71</v>
      </c>
      <c r="R90" s="171" t="s">
        <v>98</v>
      </c>
      <c r="S90" s="398" t="s">
        <v>123</v>
      </c>
      <c r="U90" s="420">
        <v>42</v>
      </c>
      <c r="V90" s="171" t="s">
        <v>98</v>
      </c>
      <c r="W90" s="171" t="s">
        <v>38</v>
      </c>
      <c r="Y90" s="171">
        <v>32</v>
      </c>
      <c r="Z90" s="171" t="s">
        <v>98</v>
      </c>
      <c r="AA90" s="171" t="s">
        <v>123</v>
      </c>
      <c r="AC90" s="505">
        <v>75</v>
      </c>
      <c r="AD90" s="505" t="s">
        <v>97</v>
      </c>
      <c r="AE90" s="505" t="s">
        <v>122</v>
      </c>
      <c r="AG90" s="171" t="s">
        <v>1154</v>
      </c>
      <c r="AH90" s="171" t="s">
        <v>98</v>
      </c>
      <c r="AI90" s="171" t="s">
        <v>134</v>
      </c>
      <c r="AK90" s="299">
        <v>15</v>
      </c>
      <c r="AL90" s="299" t="s">
        <v>81</v>
      </c>
      <c r="AM90" s="299" t="s">
        <v>106</v>
      </c>
      <c r="AO90" s="299">
        <v>54</v>
      </c>
      <c r="AP90" s="299" t="s">
        <v>81</v>
      </c>
      <c r="AQ90" s="299" t="s">
        <v>123</v>
      </c>
    </row>
    <row r="91" spans="1:43" ht="15" customHeight="1" x14ac:dyDescent="0.25">
      <c r="A91">
        <v>65</v>
      </c>
      <c r="B91" t="s">
        <v>97</v>
      </c>
      <c r="C91" t="s">
        <v>688</v>
      </c>
      <c r="E91" s="72">
        <v>86</v>
      </c>
      <c r="F91" t="s">
        <v>98</v>
      </c>
      <c r="G91" t="s">
        <v>688</v>
      </c>
      <c r="I91" s="171">
        <v>83</v>
      </c>
      <c r="J91" s="171" t="s">
        <v>98</v>
      </c>
      <c r="K91" s="171" t="s">
        <v>688</v>
      </c>
      <c r="M91" s="171">
        <v>1</v>
      </c>
      <c r="N91" s="171" t="s">
        <v>97</v>
      </c>
      <c r="O91" s="171" t="s">
        <v>134</v>
      </c>
      <c r="Q91" s="399">
        <v>21</v>
      </c>
      <c r="R91" s="171" t="s">
        <v>98</v>
      </c>
      <c r="S91" s="398" t="s">
        <v>123</v>
      </c>
      <c r="U91" s="420">
        <v>23</v>
      </c>
      <c r="V91" s="171" t="s">
        <v>98</v>
      </c>
      <c r="W91" s="171" t="s">
        <v>38</v>
      </c>
      <c r="Y91" s="171">
        <v>40</v>
      </c>
      <c r="Z91" s="171" t="s">
        <v>98</v>
      </c>
      <c r="AA91" s="171" t="s">
        <v>123</v>
      </c>
      <c r="AC91" s="505">
        <v>35</v>
      </c>
      <c r="AD91" s="505" t="s">
        <v>97</v>
      </c>
      <c r="AE91" s="505" t="s">
        <v>122</v>
      </c>
      <c r="AG91" s="171">
        <v>3</v>
      </c>
      <c r="AH91" s="171" t="s">
        <v>97</v>
      </c>
      <c r="AI91" s="171" t="s">
        <v>134</v>
      </c>
      <c r="AK91" s="299">
        <v>36</v>
      </c>
      <c r="AL91" s="299" t="s">
        <v>81</v>
      </c>
      <c r="AM91" s="299" t="s">
        <v>106</v>
      </c>
      <c r="AO91" s="299">
        <v>44</v>
      </c>
      <c r="AP91" s="299" t="s">
        <v>81</v>
      </c>
      <c r="AQ91" s="299" t="s">
        <v>123</v>
      </c>
    </row>
    <row r="92" spans="1:43" ht="15" customHeight="1" x14ac:dyDescent="0.25">
      <c r="A92">
        <v>65</v>
      </c>
      <c r="B92" t="s">
        <v>97</v>
      </c>
      <c r="C92" t="s">
        <v>688</v>
      </c>
      <c r="E92" s="72">
        <v>85</v>
      </c>
      <c r="F92" t="s">
        <v>98</v>
      </c>
      <c r="G92" t="s">
        <v>123</v>
      </c>
      <c r="I92" s="171">
        <v>50</v>
      </c>
      <c r="J92" s="171" t="s">
        <v>98</v>
      </c>
      <c r="K92" s="171" t="s">
        <v>688</v>
      </c>
      <c r="M92" s="171">
        <v>4</v>
      </c>
      <c r="N92" s="171" t="s">
        <v>98</v>
      </c>
      <c r="O92" s="171" t="s">
        <v>134</v>
      </c>
      <c r="Q92" s="399">
        <v>80</v>
      </c>
      <c r="R92" s="171" t="s">
        <v>98</v>
      </c>
      <c r="S92" s="398" t="s">
        <v>123</v>
      </c>
      <c r="U92" s="420">
        <v>42</v>
      </c>
      <c r="V92" s="171" t="s">
        <v>98</v>
      </c>
      <c r="W92" s="171" t="s">
        <v>38</v>
      </c>
      <c r="Y92" s="171">
        <v>26</v>
      </c>
      <c r="Z92" s="171" t="s">
        <v>98</v>
      </c>
      <c r="AA92" s="171" t="s">
        <v>123</v>
      </c>
      <c r="AC92" s="505">
        <v>81</v>
      </c>
      <c r="AD92" s="505" t="s">
        <v>97</v>
      </c>
      <c r="AE92" s="505" t="s">
        <v>122</v>
      </c>
      <c r="AG92" s="171" t="s">
        <v>1154</v>
      </c>
      <c r="AH92" s="171" t="s">
        <v>97</v>
      </c>
      <c r="AI92" s="171" t="s">
        <v>134</v>
      </c>
      <c r="AK92" s="299">
        <v>77</v>
      </c>
      <c r="AL92" s="299" t="s">
        <v>81</v>
      </c>
      <c r="AM92" s="299" t="s">
        <v>106</v>
      </c>
      <c r="AO92" s="299">
        <v>47</v>
      </c>
      <c r="AP92" s="299" t="s">
        <v>81</v>
      </c>
      <c r="AQ92" s="299" t="s">
        <v>123</v>
      </c>
    </row>
    <row r="93" spans="1:43" ht="15" customHeight="1" x14ac:dyDescent="0.25">
      <c r="A93">
        <v>71</v>
      </c>
      <c r="B93" t="s">
        <v>98</v>
      </c>
      <c r="C93" t="s">
        <v>688</v>
      </c>
      <c r="E93" s="72">
        <v>84</v>
      </c>
      <c r="F93" t="s">
        <v>98</v>
      </c>
      <c r="G93" t="s">
        <v>123</v>
      </c>
      <c r="I93" s="171">
        <v>75</v>
      </c>
      <c r="J93" s="171" t="s">
        <v>98</v>
      </c>
      <c r="K93" s="171" t="s">
        <v>688</v>
      </c>
      <c r="M93" s="171">
        <v>5</v>
      </c>
      <c r="N93" s="171" t="s">
        <v>97</v>
      </c>
      <c r="O93" s="171" t="s">
        <v>134</v>
      </c>
      <c r="Q93" s="399">
        <v>36</v>
      </c>
      <c r="R93" s="171" t="s">
        <v>98</v>
      </c>
      <c r="S93" s="398" t="s">
        <v>123</v>
      </c>
      <c r="U93" s="420">
        <v>41</v>
      </c>
      <c r="V93" s="171" t="s">
        <v>98</v>
      </c>
      <c r="W93" s="171" t="s">
        <v>38</v>
      </c>
      <c r="Y93" s="171">
        <v>18</v>
      </c>
      <c r="Z93" s="171" t="s">
        <v>98</v>
      </c>
      <c r="AA93" s="171" t="s">
        <v>123</v>
      </c>
      <c r="AC93" s="505">
        <v>32</v>
      </c>
      <c r="AD93" s="505" t="s">
        <v>97</v>
      </c>
      <c r="AE93" s="505" t="s">
        <v>122</v>
      </c>
      <c r="AG93" s="171">
        <v>5</v>
      </c>
      <c r="AH93" s="171" t="s">
        <v>97</v>
      </c>
      <c r="AI93" s="171" t="s">
        <v>134</v>
      </c>
      <c r="AK93" s="299">
        <v>42</v>
      </c>
      <c r="AL93" s="299" t="s">
        <v>81</v>
      </c>
      <c r="AM93" s="299" t="s">
        <v>106</v>
      </c>
      <c r="AO93" s="299">
        <v>71</v>
      </c>
      <c r="AP93" s="299" t="s">
        <v>81</v>
      </c>
      <c r="AQ93" s="299" t="s">
        <v>123</v>
      </c>
    </row>
    <row r="94" spans="1:43" ht="15" customHeight="1" x14ac:dyDescent="0.25">
      <c r="A94">
        <v>78</v>
      </c>
      <c r="B94" t="s">
        <v>98</v>
      </c>
      <c r="C94" t="s">
        <v>688</v>
      </c>
      <c r="E94" s="72">
        <v>80</v>
      </c>
      <c r="F94" t="s">
        <v>98</v>
      </c>
      <c r="G94" t="s">
        <v>688</v>
      </c>
      <c r="I94" s="171">
        <v>30</v>
      </c>
      <c r="J94" s="171" t="s">
        <v>98</v>
      </c>
      <c r="K94" s="171" t="s">
        <v>688</v>
      </c>
      <c r="M94" s="171" t="s">
        <v>693</v>
      </c>
      <c r="N94" s="171" t="s">
        <v>97</v>
      </c>
      <c r="O94" s="171" t="s">
        <v>134</v>
      </c>
      <c r="Q94" s="399">
        <v>63</v>
      </c>
      <c r="R94" s="171" t="s">
        <v>98</v>
      </c>
      <c r="S94" s="398" t="s">
        <v>123</v>
      </c>
      <c r="U94" s="420">
        <v>22</v>
      </c>
      <c r="V94" s="171" t="s">
        <v>98</v>
      </c>
      <c r="W94" s="171" t="s">
        <v>38</v>
      </c>
      <c r="Y94" s="171">
        <v>45</v>
      </c>
      <c r="Z94" s="171" t="s">
        <v>98</v>
      </c>
      <c r="AA94" s="171" t="s">
        <v>123</v>
      </c>
      <c r="AC94" s="505">
        <v>17</v>
      </c>
      <c r="AD94" s="505" t="s">
        <v>97</v>
      </c>
      <c r="AE94" s="505" t="s">
        <v>122</v>
      </c>
      <c r="AG94" s="171">
        <v>7</v>
      </c>
      <c r="AH94" s="171" t="s">
        <v>97</v>
      </c>
      <c r="AI94" s="171" t="s">
        <v>134</v>
      </c>
      <c r="AK94" s="299">
        <v>18</v>
      </c>
      <c r="AL94" s="299" t="s">
        <v>81</v>
      </c>
      <c r="AM94" s="299" t="s">
        <v>106</v>
      </c>
      <c r="AO94" s="299">
        <v>65</v>
      </c>
      <c r="AP94" s="299" t="s">
        <v>81</v>
      </c>
      <c r="AQ94" s="299" t="s">
        <v>123</v>
      </c>
    </row>
    <row r="95" spans="1:43" ht="15" customHeight="1" x14ac:dyDescent="0.25">
      <c r="A95">
        <v>65</v>
      </c>
      <c r="B95" t="s">
        <v>97</v>
      </c>
      <c r="C95" t="s">
        <v>688</v>
      </c>
      <c r="E95" s="72">
        <v>79</v>
      </c>
      <c r="F95" t="s">
        <v>98</v>
      </c>
      <c r="G95" t="s">
        <v>688</v>
      </c>
      <c r="I95" s="171">
        <v>26</v>
      </c>
      <c r="J95" s="171" t="s">
        <v>98</v>
      </c>
      <c r="K95" s="171" t="s">
        <v>688</v>
      </c>
      <c r="M95" s="171">
        <v>1</v>
      </c>
      <c r="N95" s="171" t="s">
        <v>97</v>
      </c>
      <c r="O95" s="171" t="s">
        <v>134</v>
      </c>
      <c r="Q95" s="399">
        <v>56</v>
      </c>
      <c r="R95" s="171" t="s">
        <v>98</v>
      </c>
      <c r="S95" s="398" t="s">
        <v>123</v>
      </c>
      <c r="U95" s="420">
        <v>46</v>
      </c>
      <c r="V95" s="171" t="s">
        <v>98</v>
      </c>
      <c r="W95" s="171" t="s">
        <v>38</v>
      </c>
      <c r="Y95" s="171">
        <v>47</v>
      </c>
      <c r="Z95" s="171" t="s">
        <v>98</v>
      </c>
      <c r="AA95" s="171" t="s">
        <v>123</v>
      </c>
      <c r="AC95" s="505">
        <v>32</v>
      </c>
      <c r="AD95" s="505" t="s">
        <v>97</v>
      </c>
      <c r="AE95" s="505" t="s">
        <v>122</v>
      </c>
      <c r="AG95" s="171">
        <v>4</v>
      </c>
      <c r="AH95" s="171" t="s">
        <v>98</v>
      </c>
      <c r="AI95" s="171" t="s">
        <v>134</v>
      </c>
      <c r="AK95" s="299">
        <v>48</v>
      </c>
      <c r="AL95" s="299" t="s">
        <v>81</v>
      </c>
      <c r="AM95" s="299" t="s">
        <v>106</v>
      </c>
      <c r="AO95" s="299">
        <v>53</v>
      </c>
      <c r="AP95" s="299" t="s">
        <v>81</v>
      </c>
      <c r="AQ95" s="299" t="s">
        <v>123</v>
      </c>
    </row>
    <row r="96" spans="1:43" ht="15" customHeight="1" x14ac:dyDescent="0.25">
      <c r="A96">
        <v>79</v>
      </c>
      <c r="B96" t="s">
        <v>98</v>
      </c>
      <c r="C96" t="s">
        <v>688</v>
      </c>
      <c r="E96" s="72">
        <v>79</v>
      </c>
      <c r="F96" t="s">
        <v>98</v>
      </c>
      <c r="G96" t="s">
        <v>688</v>
      </c>
      <c r="I96" s="171">
        <v>79</v>
      </c>
      <c r="J96" s="171" t="s">
        <v>97</v>
      </c>
      <c r="K96" s="171" t="s">
        <v>688</v>
      </c>
      <c r="M96" s="171">
        <v>1</v>
      </c>
      <c r="N96" s="171" t="s">
        <v>97</v>
      </c>
      <c r="O96" s="171" t="s">
        <v>134</v>
      </c>
      <c r="Q96" s="399">
        <v>54</v>
      </c>
      <c r="R96" s="171" t="s">
        <v>98</v>
      </c>
      <c r="S96" s="398" t="s">
        <v>123</v>
      </c>
      <c r="U96" s="420">
        <v>22</v>
      </c>
      <c r="V96" s="171" t="s">
        <v>98</v>
      </c>
      <c r="W96" s="171" t="s">
        <v>38</v>
      </c>
      <c r="Y96" s="171">
        <v>58</v>
      </c>
      <c r="Z96" s="171" t="s">
        <v>98</v>
      </c>
      <c r="AA96" s="171" t="s">
        <v>123</v>
      </c>
      <c r="AC96" s="505">
        <v>14</v>
      </c>
      <c r="AD96" s="505" t="s">
        <v>97</v>
      </c>
      <c r="AE96" s="505" t="s">
        <v>122</v>
      </c>
      <c r="AG96" s="505">
        <v>12</v>
      </c>
      <c r="AH96" s="505" t="s">
        <v>98</v>
      </c>
      <c r="AI96" s="171" t="s">
        <v>134</v>
      </c>
      <c r="AK96" s="503">
        <v>38</v>
      </c>
      <c r="AL96" s="299" t="s">
        <v>81</v>
      </c>
      <c r="AM96" s="299" t="s">
        <v>106</v>
      </c>
      <c r="AO96" s="503">
        <v>31</v>
      </c>
      <c r="AP96" s="299" t="s">
        <v>81</v>
      </c>
      <c r="AQ96" s="299" t="s">
        <v>123</v>
      </c>
    </row>
    <row r="97" spans="1:43" ht="15" customHeight="1" x14ac:dyDescent="0.25">
      <c r="A97">
        <v>67</v>
      </c>
      <c r="B97" t="s">
        <v>97</v>
      </c>
      <c r="C97" t="s">
        <v>688</v>
      </c>
      <c r="E97" s="72">
        <v>78</v>
      </c>
      <c r="F97" t="s">
        <v>97</v>
      </c>
      <c r="G97" t="s">
        <v>688</v>
      </c>
      <c r="I97" s="171">
        <v>37</v>
      </c>
      <c r="J97" s="171" t="s">
        <v>97</v>
      </c>
      <c r="K97" s="171" t="s">
        <v>688</v>
      </c>
      <c r="M97" s="171">
        <v>1</v>
      </c>
      <c r="N97" s="171" t="s">
        <v>98</v>
      </c>
      <c r="O97" s="171" t="s">
        <v>134</v>
      </c>
      <c r="Q97" s="399">
        <v>51</v>
      </c>
      <c r="R97" s="171" t="s">
        <v>98</v>
      </c>
      <c r="S97" s="398" t="s">
        <v>123</v>
      </c>
      <c r="U97" s="420">
        <v>33</v>
      </c>
      <c r="V97" s="171" t="s">
        <v>98</v>
      </c>
      <c r="W97" s="171" t="s">
        <v>38</v>
      </c>
      <c r="Y97" s="171">
        <v>52</v>
      </c>
      <c r="Z97" s="171" t="s">
        <v>98</v>
      </c>
      <c r="AA97" s="171" t="s">
        <v>123</v>
      </c>
      <c r="AC97" s="505">
        <v>34</v>
      </c>
      <c r="AD97" s="505" t="s">
        <v>98</v>
      </c>
      <c r="AE97" s="505" t="s">
        <v>123</v>
      </c>
      <c r="AG97" s="171">
        <v>2</v>
      </c>
      <c r="AH97" s="171" t="s">
        <v>97</v>
      </c>
      <c r="AI97" s="171" t="s">
        <v>134</v>
      </c>
      <c r="AK97" s="299">
        <v>18</v>
      </c>
      <c r="AL97" s="299" t="s">
        <v>81</v>
      </c>
      <c r="AM97" s="299" t="s">
        <v>106</v>
      </c>
      <c r="AO97" s="299">
        <v>17</v>
      </c>
      <c r="AP97" s="299" t="s">
        <v>81</v>
      </c>
      <c r="AQ97" s="299" t="s">
        <v>123</v>
      </c>
    </row>
    <row r="98" spans="1:43" ht="15" customHeight="1" x14ac:dyDescent="0.25">
      <c r="A98">
        <v>68</v>
      </c>
      <c r="B98" t="s">
        <v>97</v>
      </c>
      <c r="C98" t="s">
        <v>688</v>
      </c>
      <c r="E98" s="72">
        <v>78</v>
      </c>
      <c r="F98" t="s">
        <v>98</v>
      </c>
      <c r="G98" t="s">
        <v>123</v>
      </c>
      <c r="I98" s="171">
        <v>1</v>
      </c>
      <c r="J98" s="171" t="s">
        <v>98</v>
      </c>
      <c r="K98" s="171" t="s">
        <v>688</v>
      </c>
      <c r="M98" s="171" t="s">
        <v>693</v>
      </c>
      <c r="N98" s="171" t="s">
        <v>98</v>
      </c>
      <c r="O98" s="171" t="s">
        <v>134</v>
      </c>
      <c r="Q98" s="399">
        <v>54</v>
      </c>
      <c r="R98" s="171" t="s">
        <v>98</v>
      </c>
      <c r="S98" s="398" t="s">
        <v>123</v>
      </c>
      <c r="U98" s="420">
        <v>15</v>
      </c>
      <c r="V98" s="171" t="s">
        <v>98</v>
      </c>
      <c r="W98" s="171" t="s">
        <v>38</v>
      </c>
      <c r="Y98" s="171">
        <v>41</v>
      </c>
      <c r="Z98" s="171" t="s">
        <v>98</v>
      </c>
      <c r="AA98" s="171" t="s">
        <v>123</v>
      </c>
      <c r="AC98" s="505">
        <v>73</v>
      </c>
      <c r="AD98" s="505" t="s">
        <v>98</v>
      </c>
      <c r="AE98" s="505" t="s">
        <v>123</v>
      </c>
      <c r="AG98" s="171">
        <v>9</v>
      </c>
      <c r="AH98" s="171" t="s">
        <v>97</v>
      </c>
      <c r="AI98" s="171" t="s">
        <v>134</v>
      </c>
      <c r="AK98" s="299">
        <v>76</v>
      </c>
      <c r="AL98" s="299" t="s">
        <v>81</v>
      </c>
      <c r="AM98" s="299" t="s">
        <v>106</v>
      </c>
      <c r="AO98" s="299">
        <v>32</v>
      </c>
      <c r="AP98" s="299" t="s">
        <v>81</v>
      </c>
      <c r="AQ98" s="299" t="s">
        <v>123</v>
      </c>
    </row>
    <row r="99" spans="1:43" ht="15" customHeight="1" x14ac:dyDescent="0.25">
      <c r="A99">
        <v>68</v>
      </c>
      <c r="B99" t="s">
        <v>97</v>
      </c>
      <c r="C99" t="s">
        <v>688</v>
      </c>
      <c r="E99" s="72">
        <v>77</v>
      </c>
      <c r="F99" t="s">
        <v>97</v>
      </c>
      <c r="G99" t="s">
        <v>122</v>
      </c>
      <c r="I99" s="171">
        <v>72</v>
      </c>
      <c r="J99" s="171" t="s">
        <v>98</v>
      </c>
      <c r="K99" s="171" t="s">
        <v>688</v>
      </c>
      <c r="M99" s="171">
        <v>4</v>
      </c>
      <c r="N99" s="171" t="s">
        <v>98</v>
      </c>
      <c r="O99" s="171" t="s">
        <v>134</v>
      </c>
      <c r="Q99" s="399">
        <v>16</v>
      </c>
      <c r="R99" s="171" t="s">
        <v>98</v>
      </c>
      <c r="S99" s="398" t="s">
        <v>123</v>
      </c>
      <c r="U99" s="420">
        <v>31</v>
      </c>
      <c r="V99" s="171" t="s">
        <v>98</v>
      </c>
      <c r="W99" s="171" t="s">
        <v>38</v>
      </c>
      <c r="Y99" s="171">
        <v>45</v>
      </c>
      <c r="Z99" s="171" t="s">
        <v>98</v>
      </c>
      <c r="AA99" s="171" t="s">
        <v>123</v>
      </c>
      <c r="AC99" s="505">
        <v>69</v>
      </c>
      <c r="AD99" s="505" t="s">
        <v>98</v>
      </c>
      <c r="AE99" s="505" t="s">
        <v>123</v>
      </c>
      <c r="AG99" s="171" t="s">
        <v>1154</v>
      </c>
      <c r="AH99" s="171" t="s">
        <v>98</v>
      </c>
      <c r="AI99" s="171" t="s">
        <v>134</v>
      </c>
      <c r="AK99" s="299">
        <v>36</v>
      </c>
      <c r="AL99" s="299" t="s">
        <v>81</v>
      </c>
      <c r="AM99" s="299" t="s">
        <v>106</v>
      </c>
      <c r="AO99" s="299">
        <v>33</v>
      </c>
      <c r="AP99" s="299" t="s">
        <v>81</v>
      </c>
      <c r="AQ99" s="299" t="s">
        <v>123</v>
      </c>
    </row>
    <row r="100" spans="1:43" ht="15" customHeight="1" x14ac:dyDescent="0.25">
      <c r="A100">
        <v>68</v>
      </c>
      <c r="B100" t="s">
        <v>97</v>
      </c>
      <c r="C100" t="s">
        <v>688</v>
      </c>
      <c r="E100" s="72">
        <v>77</v>
      </c>
      <c r="F100" t="s">
        <v>98</v>
      </c>
      <c r="G100" t="s">
        <v>123</v>
      </c>
      <c r="I100" s="171">
        <v>53</v>
      </c>
      <c r="J100" s="171" t="s">
        <v>98</v>
      </c>
      <c r="K100" s="171" t="s">
        <v>688</v>
      </c>
      <c r="M100" s="171">
        <v>2</v>
      </c>
      <c r="N100" s="171" t="s">
        <v>97</v>
      </c>
      <c r="O100" s="171" t="s">
        <v>134</v>
      </c>
      <c r="Q100" s="399">
        <v>58</v>
      </c>
      <c r="R100" s="171" t="s">
        <v>98</v>
      </c>
      <c r="S100" s="398" t="s">
        <v>123</v>
      </c>
      <c r="U100" s="420">
        <v>34</v>
      </c>
      <c r="V100" s="171" t="s">
        <v>98</v>
      </c>
      <c r="W100" s="171" t="s">
        <v>38</v>
      </c>
      <c r="Y100" s="171">
        <v>63</v>
      </c>
      <c r="Z100" s="171" t="s">
        <v>98</v>
      </c>
      <c r="AA100" s="171" t="s">
        <v>123</v>
      </c>
      <c r="AC100" s="505">
        <v>61</v>
      </c>
      <c r="AD100" s="505" t="s">
        <v>98</v>
      </c>
      <c r="AE100" s="505" t="s">
        <v>123</v>
      </c>
      <c r="AG100" s="171" t="s">
        <v>1155</v>
      </c>
      <c r="AH100" s="171" t="s">
        <v>98</v>
      </c>
      <c r="AI100" s="171" t="s">
        <v>134</v>
      </c>
      <c r="AK100" s="299">
        <v>15</v>
      </c>
      <c r="AL100" s="299" t="s">
        <v>81</v>
      </c>
      <c r="AM100" s="299" t="s">
        <v>106</v>
      </c>
      <c r="AO100" s="299">
        <v>17</v>
      </c>
      <c r="AP100" s="299" t="s">
        <v>81</v>
      </c>
      <c r="AQ100" s="299" t="s">
        <v>123</v>
      </c>
    </row>
    <row r="101" spans="1:43" ht="15" customHeight="1" x14ac:dyDescent="0.25">
      <c r="A101">
        <v>79</v>
      </c>
      <c r="B101" t="s">
        <v>98</v>
      </c>
      <c r="C101" t="s">
        <v>688</v>
      </c>
      <c r="E101" s="72">
        <v>76</v>
      </c>
      <c r="F101" t="s">
        <v>98</v>
      </c>
      <c r="G101" t="s">
        <v>123</v>
      </c>
      <c r="I101" s="171">
        <v>59</v>
      </c>
      <c r="J101" s="171" t="s">
        <v>97</v>
      </c>
      <c r="K101" s="171" t="s">
        <v>688</v>
      </c>
      <c r="M101" s="171">
        <v>1</v>
      </c>
      <c r="N101" s="171" t="s">
        <v>98</v>
      </c>
      <c r="O101" s="171" t="s">
        <v>134</v>
      </c>
      <c r="Q101" s="399">
        <v>15</v>
      </c>
      <c r="R101" s="171" t="s">
        <v>98</v>
      </c>
      <c r="S101" s="398" t="s">
        <v>123</v>
      </c>
      <c r="U101" s="420">
        <v>20</v>
      </c>
      <c r="V101" s="171" t="s">
        <v>98</v>
      </c>
      <c r="W101" s="171" t="s">
        <v>38</v>
      </c>
      <c r="Y101" s="171">
        <v>21</v>
      </c>
      <c r="Z101" s="171" t="s">
        <v>98</v>
      </c>
      <c r="AA101" s="171" t="s">
        <v>123</v>
      </c>
      <c r="AC101" s="505">
        <v>20</v>
      </c>
      <c r="AD101" s="505" t="s">
        <v>98</v>
      </c>
      <c r="AE101" s="505" t="s">
        <v>123</v>
      </c>
      <c r="AG101" s="171">
        <v>5</v>
      </c>
      <c r="AH101" s="171" t="s">
        <v>97</v>
      </c>
      <c r="AI101" s="171" t="s">
        <v>134</v>
      </c>
      <c r="AK101" s="299">
        <v>56</v>
      </c>
      <c r="AL101" s="299" t="s">
        <v>81</v>
      </c>
      <c r="AM101" s="299" t="s">
        <v>106</v>
      </c>
      <c r="AO101" s="299">
        <v>41</v>
      </c>
      <c r="AP101" s="299" t="s">
        <v>81</v>
      </c>
      <c r="AQ101" s="299" t="s">
        <v>123</v>
      </c>
    </row>
    <row r="102" spans="1:43" ht="15" customHeight="1" x14ac:dyDescent="0.25">
      <c r="A102">
        <v>69</v>
      </c>
      <c r="B102" t="s">
        <v>97</v>
      </c>
      <c r="C102" t="s">
        <v>688</v>
      </c>
      <c r="E102" s="72">
        <v>75</v>
      </c>
      <c r="F102" t="s">
        <v>97</v>
      </c>
      <c r="G102" t="s">
        <v>688</v>
      </c>
      <c r="I102" s="171">
        <v>61</v>
      </c>
      <c r="J102" s="171" t="s">
        <v>98</v>
      </c>
      <c r="K102" s="171" t="s">
        <v>688</v>
      </c>
      <c r="M102" s="171">
        <v>12</v>
      </c>
      <c r="N102" s="171" t="s">
        <v>98</v>
      </c>
      <c r="O102" s="171" t="s">
        <v>134</v>
      </c>
      <c r="Q102" s="399">
        <v>72</v>
      </c>
      <c r="R102" s="171" t="s">
        <v>98</v>
      </c>
      <c r="S102" s="398" t="s">
        <v>123</v>
      </c>
      <c r="U102" s="420">
        <v>25</v>
      </c>
      <c r="V102" s="171" t="s">
        <v>98</v>
      </c>
      <c r="W102" s="171" t="s">
        <v>38</v>
      </c>
      <c r="Y102" s="171">
        <v>57</v>
      </c>
      <c r="Z102" s="171" t="s">
        <v>98</v>
      </c>
      <c r="AA102" s="171" t="s">
        <v>123</v>
      </c>
      <c r="AC102" s="505">
        <v>82</v>
      </c>
      <c r="AD102" s="505" t="s">
        <v>98</v>
      </c>
      <c r="AE102" s="505" t="s">
        <v>123</v>
      </c>
      <c r="AG102" s="171">
        <v>6</v>
      </c>
      <c r="AH102" s="171" t="s">
        <v>97</v>
      </c>
      <c r="AI102" s="171" t="s">
        <v>134</v>
      </c>
      <c r="AK102" s="299">
        <v>46</v>
      </c>
      <c r="AL102" s="299" t="s">
        <v>81</v>
      </c>
      <c r="AM102" s="299" t="s">
        <v>106</v>
      </c>
      <c r="AO102" s="299">
        <v>73</v>
      </c>
      <c r="AP102" s="299" t="s">
        <v>81</v>
      </c>
      <c r="AQ102" s="299" t="s">
        <v>123</v>
      </c>
    </row>
    <row r="103" spans="1:43" ht="15" customHeight="1" x14ac:dyDescent="0.25">
      <c r="A103">
        <v>69</v>
      </c>
      <c r="B103" t="s">
        <v>97</v>
      </c>
      <c r="C103" t="s">
        <v>688</v>
      </c>
      <c r="E103" s="72">
        <v>75</v>
      </c>
      <c r="F103" t="s">
        <v>97</v>
      </c>
      <c r="G103" t="s">
        <v>688</v>
      </c>
      <c r="I103" s="171">
        <v>40</v>
      </c>
      <c r="J103" s="171" t="s">
        <v>98</v>
      </c>
      <c r="K103" s="171" t="s">
        <v>688</v>
      </c>
      <c r="M103" s="171" t="s">
        <v>707</v>
      </c>
      <c r="N103" s="171" t="s">
        <v>97</v>
      </c>
      <c r="O103" s="171" t="s">
        <v>134</v>
      </c>
      <c r="Q103" s="399">
        <v>65</v>
      </c>
      <c r="R103" s="171" t="s">
        <v>98</v>
      </c>
      <c r="S103" s="398" t="s">
        <v>123</v>
      </c>
      <c r="U103" s="420">
        <v>37</v>
      </c>
      <c r="V103" s="171" t="s">
        <v>98</v>
      </c>
      <c r="W103" s="171" t="s">
        <v>38</v>
      </c>
      <c r="Y103" s="171">
        <v>63</v>
      </c>
      <c r="Z103" s="171" t="s">
        <v>98</v>
      </c>
      <c r="AA103" s="171" t="s">
        <v>123</v>
      </c>
      <c r="AC103" s="505">
        <v>15</v>
      </c>
      <c r="AD103" s="505" t="s">
        <v>98</v>
      </c>
      <c r="AE103" s="505" t="s">
        <v>123</v>
      </c>
      <c r="AG103" s="171">
        <v>8</v>
      </c>
      <c r="AH103" s="171" t="s">
        <v>98</v>
      </c>
      <c r="AI103" s="171" t="s">
        <v>134</v>
      </c>
      <c r="AK103" s="299">
        <v>22</v>
      </c>
      <c r="AL103" s="299" t="s">
        <v>81</v>
      </c>
      <c r="AM103" s="299" t="s">
        <v>106</v>
      </c>
      <c r="AO103" s="299">
        <v>25</v>
      </c>
      <c r="AP103" s="299" t="s">
        <v>81</v>
      </c>
      <c r="AQ103" s="299" t="s">
        <v>123</v>
      </c>
    </row>
    <row r="104" spans="1:43" ht="15" customHeight="1" x14ac:dyDescent="0.25">
      <c r="A104">
        <v>74</v>
      </c>
      <c r="B104" t="s">
        <v>97</v>
      </c>
      <c r="C104" t="s">
        <v>688</v>
      </c>
      <c r="E104" s="72">
        <v>75</v>
      </c>
      <c r="F104" t="s">
        <v>97</v>
      </c>
      <c r="G104" t="s">
        <v>122</v>
      </c>
      <c r="I104" s="171">
        <v>64</v>
      </c>
      <c r="J104" s="171" t="s">
        <v>98</v>
      </c>
      <c r="K104" s="171" t="s">
        <v>688</v>
      </c>
      <c r="M104" s="171">
        <v>1</v>
      </c>
      <c r="N104" s="171" t="s">
        <v>97</v>
      </c>
      <c r="O104" s="171" t="s">
        <v>134</v>
      </c>
      <c r="Q104" s="399">
        <v>40</v>
      </c>
      <c r="R104" s="171" t="s">
        <v>98</v>
      </c>
      <c r="S104" s="398" t="s">
        <v>123</v>
      </c>
      <c r="U104" s="420">
        <v>24</v>
      </c>
      <c r="V104" s="171" t="s">
        <v>98</v>
      </c>
      <c r="W104" s="171" t="s">
        <v>38</v>
      </c>
      <c r="Y104" s="171">
        <v>49</v>
      </c>
      <c r="Z104" s="171" t="s">
        <v>98</v>
      </c>
      <c r="AA104" s="171" t="s">
        <v>123</v>
      </c>
      <c r="AC104" s="505">
        <v>61</v>
      </c>
      <c r="AD104" s="505" t="s">
        <v>98</v>
      </c>
      <c r="AE104" s="505" t="s">
        <v>123</v>
      </c>
      <c r="AG104" s="171" t="s">
        <v>704</v>
      </c>
      <c r="AH104" s="171" t="s">
        <v>98</v>
      </c>
      <c r="AI104" s="171" t="s">
        <v>134</v>
      </c>
      <c r="AK104" s="299">
        <v>66</v>
      </c>
      <c r="AL104" s="299" t="s">
        <v>81</v>
      </c>
      <c r="AM104" s="299" t="s">
        <v>106</v>
      </c>
      <c r="AO104" s="299">
        <v>54</v>
      </c>
      <c r="AP104" s="299" t="s">
        <v>81</v>
      </c>
      <c r="AQ104" s="299" t="s">
        <v>123</v>
      </c>
    </row>
    <row r="105" spans="1:43" ht="15" customHeight="1" x14ac:dyDescent="0.25">
      <c r="A105">
        <v>78</v>
      </c>
      <c r="B105" t="s">
        <v>97</v>
      </c>
      <c r="C105" t="s">
        <v>688</v>
      </c>
      <c r="E105" s="72">
        <v>75</v>
      </c>
      <c r="F105" t="s">
        <v>98</v>
      </c>
      <c r="G105" t="s">
        <v>123</v>
      </c>
      <c r="I105" s="171">
        <v>60</v>
      </c>
      <c r="J105" s="171" t="s">
        <v>97</v>
      </c>
      <c r="K105" s="171" t="s">
        <v>688</v>
      </c>
      <c r="M105" s="171">
        <v>3</v>
      </c>
      <c r="N105" s="171" t="s">
        <v>98</v>
      </c>
      <c r="O105" s="171" t="s">
        <v>134</v>
      </c>
      <c r="Q105" s="399">
        <v>25</v>
      </c>
      <c r="R105" s="171" t="s">
        <v>98</v>
      </c>
      <c r="S105" s="398" t="s">
        <v>123</v>
      </c>
      <c r="U105" s="420">
        <v>33</v>
      </c>
      <c r="V105" s="171" t="s">
        <v>98</v>
      </c>
      <c r="W105" s="171" t="s">
        <v>38</v>
      </c>
      <c r="Y105" s="171">
        <v>25</v>
      </c>
      <c r="Z105" s="171" t="s">
        <v>98</v>
      </c>
      <c r="AA105" s="171" t="s">
        <v>123</v>
      </c>
      <c r="AC105" s="505">
        <v>76</v>
      </c>
      <c r="AD105" s="505" t="s">
        <v>98</v>
      </c>
      <c r="AE105" s="505" t="s">
        <v>123</v>
      </c>
      <c r="AG105" s="171">
        <v>8</v>
      </c>
      <c r="AH105" s="171" t="s">
        <v>97</v>
      </c>
      <c r="AI105" s="171" t="s">
        <v>134</v>
      </c>
      <c r="AK105" s="299">
        <v>63</v>
      </c>
      <c r="AL105" s="299" t="s">
        <v>81</v>
      </c>
      <c r="AM105" s="299" t="s">
        <v>106</v>
      </c>
      <c r="AO105" s="299">
        <v>15</v>
      </c>
      <c r="AP105" s="299" t="s">
        <v>81</v>
      </c>
      <c r="AQ105" s="299" t="s">
        <v>123</v>
      </c>
    </row>
    <row r="106" spans="1:43" ht="15" customHeight="1" x14ac:dyDescent="0.25">
      <c r="A106">
        <v>87</v>
      </c>
      <c r="B106" t="s">
        <v>98</v>
      </c>
      <c r="C106" t="s">
        <v>688</v>
      </c>
      <c r="E106" s="72">
        <v>75</v>
      </c>
      <c r="F106" t="s">
        <v>98</v>
      </c>
      <c r="G106" t="s">
        <v>123</v>
      </c>
      <c r="I106" s="171">
        <v>26</v>
      </c>
      <c r="J106" s="171" t="s">
        <v>98</v>
      </c>
      <c r="K106" s="171" t="s">
        <v>688</v>
      </c>
      <c r="M106" s="171">
        <v>1</v>
      </c>
      <c r="N106" s="171" t="s">
        <v>97</v>
      </c>
      <c r="O106" s="171" t="s">
        <v>134</v>
      </c>
      <c r="Q106" s="399">
        <v>23</v>
      </c>
      <c r="R106" s="171" t="s">
        <v>98</v>
      </c>
      <c r="S106" s="398" t="s">
        <v>123</v>
      </c>
      <c r="U106" s="420">
        <v>34</v>
      </c>
      <c r="V106" s="171" t="s">
        <v>98</v>
      </c>
      <c r="W106" s="171" t="s">
        <v>38</v>
      </c>
      <c r="Y106" s="171">
        <v>20</v>
      </c>
      <c r="Z106" s="171" t="s">
        <v>98</v>
      </c>
      <c r="AA106" s="171" t="s">
        <v>123</v>
      </c>
      <c r="AC106" s="505">
        <v>55</v>
      </c>
      <c r="AD106" s="505" t="s">
        <v>98</v>
      </c>
      <c r="AE106" s="505" t="s">
        <v>123</v>
      </c>
      <c r="AG106" s="171">
        <v>3</v>
      </c>
      <c r="AH106" s="171" t="s">
        <v>97</v>
      </c>
      <c r="AI106" s="171" t="s">
        <v>134</v>
      </c>
      <c r="AK106" s="299">
        <v>40</v>
      </c>
      <c r="AL106" s="299" t="s">
        <v>81</v>
      </c>
      <c r="AM106" s="299" t="s">
        <v>106</v>
      </c>
      <c r="AO106" s="299">
        <v>16</v>
      </c>
      <c r="AP106" s="299" t="s">
        <v>81</v>
      </c>
      <c r="AQ106" s="299" t="s">
        <v>123</v>
      </c>
    </row>
    <row r="107" spans="1:43" ht="15" customHeight="1" x14ac:dyDescent="0.25">
      <c r="A107">
        <v>78</v>
      </c>
      <c r="B107" t="s">
        <v>97</v>
      </c>
      <c r="C107" t="s">
        <v>688</v>
      </c>
      <c r="E107" s="72">
        <v>75</v>
      </c>
      <c r="F107" t="s">
        <v>98</v>
      </c>
      <c r="G107" t="s">
        <v>123</v>
      </c>
      <c r="I107" s="171">
        <v>32</v>
      </c>
      <c r="J107" s="171" t="s">
        <v>97</v>
      </c>
      <c r="K107" s="171" t="s">
        <v>688</v>
      </c>
      <c r="M107" s="171">
        <v>2</v>
      </c>
      <c r="N107" s="171" t="s">
        <v>97</v>
      </c>
      <c r="O107" s="171" t="s">
        <v>134</v>
      </c>
      <c r="Q107" s="399">
        <v>53</v>
      </c>
      <c r="R107" s="171" t="s">
        <v>98</v>
      </c>
      <c r="S107" s="398" t="s">
        <v>123</v>
      </c>
      <c r="U107" s="420">
        <v>31</v>
      </c>
      <c r="V107" s="171" t="s">
        <v>98</v>
      </c>
      <c r="W107" s="171" t="s">
        <v>38</v>
      </c>
      <c r="Y107" s="171">
        <v>69</v>
      </c>
      <c r="Z107" s="171" t="s">
        <v>98</v>
      </c>
      <c r="AA107" s="171" t="s">
        <v>123</v>
      </c>
      <c r="AC107" s="505">
        <v>16</v>
      </c>
      <c r="AD107" s="505" t="s">
        <v>98</v>
      </c>
      <c r="AE107" s="505" t="s">
        <v>123</v>
      </c>
      <c r="AG107" s="171" t="s">
        <v>704</v>
      </c>
      <c r="AH107" s="171" t="s">
        <v>97</v>
      </c>
      <c r="AI107" s="171" t="s">
        <v>134</v>
      </c>
      <c r="AK107" s="299">
        <v>19</v>
      </c>
      <c r="AL107" s="299" t="s">
        <v>81</v>
      </c>
      <c r="AM107" s="299" t="s">
        <v>106</v>
      </c>
      <c r="AO107" s="299">
        <v>83</v>
      </c>
      <c r="AP107" s="299" t="s">
        <v>81</v>
      </c>
      <c r="AQ107" s="299" t="s">
        <v>123</v>
      </c>
    </row>
    <row r="108" spans="1:43" ht="15" customHeight="1" x14ac:dyDescent="0.25">
      <c r="A108">
        <v>89</v>
      </c>
      <c r="B108" t="s">
        <v>98</v>
      </c>
      <c r="C108" t="s">
        <v>688</v>
      </c>
      <c r="E108">
        <v>74</v>
      </c>
      <c r="F108" t="s">
        <v>97</v>
      </c>
      <c r="G108" t="s">
        <v>688</v>
      </c>
      <c r="I108" s="171">
        <v>27</v>
      </c>
      <c r="J108" s="171" t="s">
        <v>97</v>
      </c>
      <c r="K108" s="171" t="s">
        <v>688</v>
      </c>
      <c r="M108" s="171">
        <v>2</v>
      </c>
      <c r="N108" s="171" t="s">
        <v>97</v>
      </c>
      <c r="O108" s="171" t="s">
        <v>134</v>
      </c>
      <c r="Q108" s="399">
        <v>71</v>
      </c>
      <c r="R108" s="171" t="s">
        <v>98</v>
      </c>
      <c r="S108" s="398" t="s">
        <v>123</v>
      </c>
      <c r="U108" s="420">
        <v>34</v>
      </c>
      <c r="V108" s="171" t="s">
        <v>98</v>
      </c>
      <c r="W108" s="171" t="s">
        <v>38</v>
      </c>
      <c r="Y108" s="171">
        <v>74</v>
      </c>
      <c r="Z108" s="171" t="s">
        <v>98</v>
      </c>
      <c r="AA108" s="171" t="s">
        <v>123</v>
      </c>
      <c r="AC108" s="505">
        <v>88</v>
      </c>
      <c r="AD108" s="505" t="s">
        <v>98</v>
      </c>
      <c r="AE108" s="505" t="s">
        <v>123</v>
      </c>
      <c r="AG108" s="171" t="s">
        <v>1154</v>
      </c>
      <c r="AH108" s="171" t="s">
        <v>97</v>
      </c>
      <c r="AI108" s="171" t="s">
        <v>134</v>
      </c>
      <c r="AK108" s="299">
        <v>67</v>
      </c>
      <c r="AL108" s="299" t="s">
        <v>81</v>
      </c>
      <c r="AM108" s="299" t="s">
        <v>106</v>
      </c>
      <c r="AO108" s="299">
        <v>66</v>
      </c>
      <c r="AP108" s="299" t="s">
        <v>81</v>
      </c>
      <c r="AQ108" s="299" t="s">
        <v>123</v>
      </c>
    </row>
    <row r="109" spans="1:43" ht="15" customHeight="1" x14ac:dyDescent="0.25">
      <c r="A109" t="s">
        <v>704</v>
      </c>
      <c r="B109" t="s">
        <v>98</v>
      </c>
      <c r="C109" t="s">
        <v>688</v>
      </c>
      <c r="E109" s="72">
        <v>74</v>
      </c>
      <c r="F109" t="s">
        <v>98</v>
      </c>
      <c r="G109" t="s">
        <v>688</v>
      </c>
      <c r="I109" s="171">
        <v>14</v>
      </c>
      <c r="J109" s="171" t="s">
        <v>98</v>
      </c>
      <c r="K109" s="171" t="s">
        <v>688</v>
      </c>
      <c r="M109" s="171">
        <v>3</v>
      </c>
      <c r="N109" s="171" t="s">
        <v>97</v>
      </c>
      <c r="O109" s="171" t="s">
        <v>134</v>
      </c>
      <c r="Q109" s="399">
        <v>22</v>
      </c>
      <c r="R109" s="171" t="s">
        <v>98</v>
      </c>
      <c r="S109" s="398" t="s">
        <v>123</v>
      </c>
      <c r="U109" s="420">
        <v>28</v>
      </c>
      <c r="V109" s="171" t="s">
        <v>98</v>
      </c>
      <c r="W109" s="171" t="s">
        <v>38</v>
      </c>
      <c r="Y109" s="171">
        <v>63</v>
      </c>
      <c r="Z109" s="171" t="s">
        <v>98</v>
      </c>
      <c r="AA109" s="171" t="s">
        <v>123</v>
      </c>
      <c r="AC109" s="505">
        <v>50</v>
      </c>
      <c r="AD109" s="505" t="s">
        <v>98</v>
      </c>
      <c r="AE109" s="505" t="s">
        <v>123</v>
      </c>
      <c r="AG109" s="171">
        <v>9</v>
      </c>
      <c r="AH109" s="171" t="s">
        <v>98</v>
      </c>
      <c r="AI109" s="171" t="s">
        <v>134</v>
      </c>
      <c r="AK109" s="299">
        <v>16</v>
      </c>
      <c r="AL109" s="299" t="s">
        <v>81</v>
      </c>
      <c r="AM109" s="299" t="s">
        <v>106</v>
      </c>
      <c r="AO109" s="299">
        <v>44</v>
      </c>
      <c r="AP109" s="299" t="s">
        <v>81</v>
      </c>
      <c r="AQ109" s="299" t="s">
        <v>123</v>
      </c>
    </row>
    <row r="110" spans="1:43" ht="15" customHeight="1" x14ac:dyDescent="0.25">
      <c r="A110">
        <v>78</v>
      </c>
      <c r="B110" t="s">
        <v>97</v>
      </c>
      <c r="C110" t="s">
        <v>688</v>
      </c>
      <c r="E110" s="72">
        <v>74</v>
      </c>
      <c r="F110" t="s">
        <v>98</v>
      </c>
      <c r="G110" t="s">
        <v>688</v>
      </c>
      <c r="I110" s="171">
        <v>31</v>
      </c>
      <c r="J110" s="171" t="s">
        <v>98</v>
      </c>
      <c r="K110" s="171" t="s">
        <v>688</v>
      </c>
      <c r="M110" s="171" t="s">
        <v>691</v>
      </c>
      <c r="N110" s="171" t="s">
        <v>98</v>
      </c>
      <c r="O110" s="171" t="s">
        <v>134</v>
      </c>
      <c r="Q110" s="399">
        <v>66</v>
      </c>
      <c r="R110" s="171" t="s">
        <v>98</v>
      </c>
      <c r="S110" s="398" t="s">
        <v>123</v>
      </c>
      <c r="U110" s="420">
        <v>51</v>
      </c>
      <c r="V110" s="171" t="s">
        <v>98</v>
      </c>
      <c r="W110" s="171" t="s">
        <v>38</v>
      </c>
      <c r="Y110" s="171">
        <v>55</v>
      </c>
      <c r="Z110" s="171" t="s">
        <v>98</v>
      </c>
      <c r="AA110" s="171" t="s">
        <v>123</v>
      </c>
      <c r="AC110" s="505">
        <v>32</v>
      </c>
      <c r="AD110" s="505" t="s">
        <v>98</v>
      </c>
      <c r="AE110" s="505" t="s">
        <v>123</v>
      </c>
      <c r="AG110" s="171" t="s">
        <v>1155</v>
      </c>
      <c r="AH110" s="171" t="s">
        <v>98</v>
      </c>
      <c r="AI110" s="171" t="s">
        <v>134</v>
      </c>
      <c r="AK110" s="299">
        <v>47</v>
      </c>
      <c r="AL110" s="299" t="s">
        <v>81</v>
      </c>
      <c r="AM110" s="299" t="s">
        <v>106</v>
      </c>
      <c r="AO110" s="299">
        <v>16</v>
      </c>
      <c r="AP110" s="299" t="s">
        <v>81</v>
      </c>
      <c r="AQ110" s="299" t="s">
        <v>123</v>
      </c>
    </row>
    <row r="111" spans="1:43" ht="15" customHeight="1" x14ac:dyDescent="0.25">
      <c r="A111">
        <v>22</v>
      </c>
      <c r="B111" t="s">
        <v>98</v>
      </c>
      <c r="C111" t="s">
        <v>38</v>
      </c>
      <c r="E111" s="72">
        <v>74</v>
      </c>
      <c r="F111" t="s">
        <v>97</v>
      </c>
      <c r="G111" t="s">
        <v>688</v>
      </c>
      <c r="I111" s="171">
        <v>33</v>
      </c>
      <c r="J111" s="171" t="s">
        <v>97</v>
      </c>
      <c r="K111" s="171" t="s">
        <v>688</v>
      </c>
      <c r="M111" s="171">
        <v>2</v>
      </c>
      <c r="N111" s="171" t="s">
        <v>97</v>
      </c>
      <c r="O111" s="171" t="s">
        <v>134</v>
      </c>
      <c r="Q111" s="399">
        <v>29</v>
      </c>
      <c r="R111" s="171" t="s">
        <v>98</v>
      </c>
      <c r="S111" s="398" t="s">
        <v>123</v>
      </c>
      <c r="U111" s="420">
        <v>33</v>
      </c>
      <c r="V111" s="171" t="s">
        <v>98</v>
      </c>
      <c r="W111" s="171" t="s">
        <v>38</v>
      </c>
      <c r="Y111" s="171">
        <v>60</v>
      </c>
      <c r="Z111" s="171" t="s">
        <v>98</v>
      </c>
      <c r="AA111" s="171" t="s">
        <v>123</v>
      </c>
      <c r="AC111" s="505">
        <v>81</v>
      </c>
      <c r="AD111" s="505" t="s">
        <v>98</v>
      </c>
      <c r="AE111" s="505" t="s">
        <v>123</v>
      </c>
      <c r="AG111" s="171">
        <v>4</v>
      </c>
      <c r="AH111" s="171" t="s">
        <v>97</v>
      </c>
      <c r="AI111" s="171" t="s">
        <v>134</v>
      </c>
      <c r="AK111" s="299">
        <v>60</v>
      </c>
      <c r="AL111" s="299" t="s">
        <v>81</v>
      </c>
      <c r="AM111" s="299" t="s">
        <v>106</v>
      </c>
      <c r="AO111" s="299">
        <v>47</v>
      </c>
      <c r="AP111" s="299" t="s">
        <v>81</v>
      </c>
      <c r="AQ111" s="299" t="s">
        <v>123</v>
      </c>
    </row>
    <row r="112" spans="1:43" ht="15" customHeight="1" x14ac:dyDescent="0.25">
      <c r="A112">
        <v>43</v>
      </c>
      <c r="B112" t="s">
        <v>98</v>
      </c>
      <c r="C112" t="s">
        <v>38</v>
      </c>
      <c r="E112" s="72">
        <v>74</v>
      </c>
      <c r="F112" t="s">
        <v>97</v>
      </c>
      <c r="G112" t="s">
        <v>122</v>
      </c>
      <c r="I112" s="171">
        <v>55</v>
      </c>
      <c r="J112" s="171" t="s">
        <v>97</v>
      </c>
      <c r="K112" s="171" t="s">
        <v>688</v>
      </c>
      <c r="M112" s="171">
        <v>1</v>
      </c>
      <c r="N112" s="171" t="s">
        <v>98</v>
      </c>
      <c r="O112" s="171" t="s">
        <v>134</v>
      </c>
      <c r="Q112" s="399">
        <v>22</v>
      </c>
      <c r="R112" s="171" t="s">
        <v>98</v>
      </c>
      <c r="S112" s="398" t="s">
        <v>123</v>
      </c>
      <c r="U112" s="420">
        <v>23</v>
      </c>
      <c r="V112" s="171" t="s">
        <v>98</v>
      </c>
      <c r="W112" s="171" t="s">
        <v>38</v>
      </c>
      <c r="Y112" s="171">
        <v>32</v>
      </c>
      <c r="Z112" s="171" t="s">
        <v>98</v>
      </c>
      <c r="AA112" s="171" t="s">
        <v>123</v>
      </c>
      <c r="AC112" s="505">
        <v>89</v>
      </c>
      <c r="AD112" s="505" t="s">
        <v>98</v>
      </c>
      <c r="AE112" s="505" t="s">
        <v>123</v>
      </c>
      <c r="AG112" s="171">
        <v>10</v>
      </c>
      <c r="AH112" s="171" t="s">
        <v>97</v>
      </c>
      <c r="AI112" s="171" t="s">
        <v>134</v>
      </c>
      <c r="AK112" s="299">
        <v>56</v>
      </c>
      <c r="AL112" s="299" t="s">
        <v>81</v>
      </c>
      <c r="AM112" s="299" t="s">
        <v>106</v>
      </c>
      <c r="AO112" s="299">
        <v>29</v>
      </c>
      <c r="AP112" s="299" t="s">
        <v>81</v>
      </c>
      <c r="AQ112" s="299" t="s">
        <v>123</v>
      </c>
    </row>
    <row r="113" spans="1:43" ht="15" customHeight="1" x14ac:dyDescent="0.25">
      <c r="A113">
        <v>32</v>
      </c>
      <c r="B113" t="s">
        <v>98</v>
      </c>
      <c r="C113" t="s">
        <v>38</v>
      </c>
      <c r="E113" s="72">
        <v>73</v>
      </c>
      <c r="F113" t="s">
        <v>97</v>
      </c>
      <c r="G113" t="s">
        <v>122</v>
      </c>
      <c r="I113" s="171">
        <v>5</v>
      </c>
      <c r="J113" s="171" t="s">
        <v>98</v>
      </c>
      <c r="K113" s="171" t="s">
        <v>688</v>
      </c>
      <c r="M113" s="171" t="s">
        <v>690</v>
      </c>
      <c r="N113" s="171" t="s">
        <v>97</v>
      </c>
      <c r="O113" s="171" t="s">
        <v>134</v>
      </c>
      <c r="Q113" s="399">
        <v>40</v>
      </c>
      <c r="R113" s="171" t="s">
        <v>98</v>
      </c>
      <c r="S113" s="398" t="s">
        <v>123</v>
      </c>
      <c r="U113" s="420">
        <v>19</v>
      </c>
      <c r="V113" s="171" t="s">
        <v>98</v>
      </c>
      <c r="W113" s="171" t="s">
        <v>38</v>
      </c>
      <c r="Y113" s="171">
        <v>68</v>
      </c>
      <c r="Z113" s="171" t="s">
        <v>98</v>
      </c>
      <c r="AA113" s="171" t="s">
        <v>123</v>
      </c>
      <c r="AC113" s="505">
        <v>20</v>
      </c>
      <c r="AD113" s="505" t="s">
        <v>98</v>
      </c>
      <c r="AE113" s="505" t="s">
        <v>123</v>
      </c>
      <c r="AG113" s="171">
        <v>9</v>
      </c>
      <c r="AH113" s="171" t="s">
        <v>98</v>
      </c>
      <c r="AI113" s="171" t="s">
        <v>134</v>
      </c>
      <c r="AK113" s="299">
        <v>38</v>
      </c>
      <c r="AL113" s="299" t="s">
        <v>81</v>
      </c>
      <c r="AM113" s="299" t="s">
        <v>106</v>
      </c>
      <c r="AO113" s="299">
        <v>57</v>
      </c>
      <c r="AP113" s="299" t="s">
        <v>81</v>
      </c>
      <c r="AQ113" s="299" t="s">
        <v>123</v>
      </c>
    </row>
    <row r="114" spans="1:43" ht="15" customHeight="1" x14ac:dyDescent="0.25">
      <c r="A114">
        <v>28</v>
      </c>
      <c r="B114" t="s">
        <v>98</v>
      </c>
      <c r="C114" t="s">
        <v>38</v>
      </c>
      <c r="E114" s="72">
        <v>73</v>
      </c>
      <c r="F114" t="s">
        <v>97</v>
      </c>
      <c r="G114" t="s">
        <v>122</v>
      </c>
      <c r="I114" s="171">
        <v>21</v>
      </c>
      <c r="J114" s="171" t="s">
        <v>97</v>
      </c>
      <c r="K114" s="171" t="s">
        <v>688</v>
      </c>
      <c r="M114" s="171">
        <v>3</v>
      </c>
      <c r="N114" s="171" t="s">
        <v>98</v>
      </c>
      <c r="O114" s="171" t="s">
        <v>134</v>
      </c>
      <c r="Q114" s="399">
        <v>18</v>
      </c>
      <c r="R114" s="171" t="s">
        <v>98</v>
      </c>
      <c r="S114" s="398" t="s">
        <v>123</v>
      </c>
      <c r="U114" s="420">
        <v>28</v>
      </c>
      <c r="V114" s="171" t="s">
        <v>98</v>
      </c>
      <c r="W114" s="171" t="s">
        <v>38</v>
      </c>
      <c r="Y114" s="171">
        <v>44</v>
      </c>
      <c r="Z114" s="171" t="s">
        <v>98</v>
      </c>
      <c r="AA114" s="171" t="s">
        <v>123</v>
      </c>
      <c r="AC114" s="505">
        <v>25</v>
      </c>
      <c r="AD114" s="505" t="s">
        <v>98</v>
      </c>
      <c r="AE114" s="505" t="s">
        <v>123</v>
      </c>
      <c r="AG114" s="171">
        <v>7</v>
      </c>
      <c r="AH114" s="171" t="s">
        <v>97</v>
      </c>
      <c r="AI114" s="171" t="s">
        <v>134</v>
      </c>
      <c r="AK114" s="299">
        <v>85</v>
      </c>
      <c r="AL114" s="299" t="s">
        <v>81</v>
      </c>
      <c r="AM114" s="299" t="s">
        <v>106</v>
      </c>
      <c r="AO114" s="299">
        <v>20</v>
      </c>
      <c r="AP114" s="299" t="s">
        <v>81</v>
      </c>
      <c r="AQ114" s="299" t="s">
        <v>123</v>
      </c>
    </row>
    <row r="115" spans="1:43" ht="15" customHeight="1" x14ac:dyDescent="0.25">
      <c r="A115">
        <v>17</v>
      </c>
      <c r="B115" t="s">
        <v>98</v>
      </c>
      <c r="C115" t="s">
        <v>38</v>
      </c>
      <c r="E115" s="72">
        <v>73</v>
      </c>
      <c r="F115" t="s">
        <v>98</v>
      </c>
      <c r="G115" t="s">
        <v>123</v>
      </c>
      <c r="I115" s="171">
        <v>55</v>
      </c>
      <c r="J115" s="171" t="s">
        <v>97</v>
      </c>
      <c r="K115" s="171" t="s">
        <v>688</v>
      </c>
      <c r="M115" s="171" t="s">
        <v>878</v>
      </c>
      <c r="N115" s="171" t="s">
        <v>98</v>
      </c>
      <c r="O115" s="171" t="s">
        <v>134</v>
      </c>
      <c r="Q115" s="399">
        <v>75</v>
      </c>
      <c r="R115" s="171" t="s">
        <v>98</v>
      </c>
      <c r="S115" s="398" t="s">
        <v>123</v>
      </c>
      <c r="U115" s="420">
        <v>29</v>
      </c>
      <c r="V115" s="171" t="s">
        <v>98</v>
      </c>
      <c r="W115" s="171" t="s">
        <v>38</v>
      </c>
      <c r="Y115" s="171">
        <v>23</v>
      </c>
      <c r="Z115" s="171" t="s">
        <v>98</v>
      </c>
      <c r="AA115" s="171" t="s">
        <v>123</v>
      </c>
      <c r="AC115" s="505">
        <v>61</v>
      </c>
      <c r="AD115" s="505" t="s">
        <v>98</v>
      </c>
      <c r="AE115" s="505" t="s">
        <v>123</v>
      </c>
      <c r="AG115" s="171">
        <v>9</v>
      </c>
      <c r="AH115" s="171" t="s">
        <v>98</v>
      </c>
      <c r="AI115" s="171" t="s">
        <v>134</v>
      </c>
      <c r="AK115" s="299">
        <v>44</v>
      </c>
      <c r="AL115" s="299" t="s">
        <v>81</v>
      </c>
      <c r="AM115" s="299" t="s">
        <v>106</v>
      </c>
      <c r="AO115" s="299">
        <v>18</v>
      </c>
      <c r="AP115" s="299" t="s">
        <v>81</v>
      </c>
      <c r="AQ115" s="299" t="s">
        <v>123</v>
      </c>
    </row>
    <row r="116" spans="1:43" ht="15" customHeight="1" x14ac:dyDescent="0.25">
      <c r="A116">
        <v>49</v>
      </c>
      <c r="B116" t="s">
        <v>98</v>
      </c>
      <c r="C116" t="s">
        <v>38</v>
      </c>
      <c r="E116" s="72">
        <v>72</v>
      </c>
      <c r="F116" t="s">
        <v>97</v>
      </c>
      <c r="G116" t="s">
        <v>122</v>
      </c>
      <c r="I116" s="171">
        <v>9</v>
      </c>
      <c r="J116" s="171" t="s">
        <v>98</v>
      </c>
      <c r="K116" s="171" t="s">
        <v>688</v>
      </c>
      <c r="M116" s="171">
        <v>9</v>
      </c>
      <c r="N116" s="171" t="s">
        <v>98</v>
      </c>
      <c r="O116" s="171" t="s">
        <v>134</v>
      </c>
      <c r="Q116" s="399">
        <v>86</v>
      </c>
      <c r="R116" s="171" t="s">
        <v>98</v>
      </c>
      <c r="S116" s="398" t="s">
        <v>123</v>
      </c>
      <c r="U116" s="420">
        <v>34</v>
      </c>
      <c r="V116" s="171" t="s">
        <v>98</v>
      </c>
      <c r="W116" s="171" t="s">
        <v>38</v>
      </c>
      <c r="Y116" s="171">
        <v>25</v>
      </c>
      <c r="Z116" s="171" t="s">
        <v>98</v>
      </c>
      <c r="AA116" s="171" t="s">
        <v>123</v>
      </c>
      <c r="AC116" s="505">
        <v>20</v>
      </c>
      <c r="AD116" s="505" t="s">
        <v>98</v>
      </c>
      <c r="AE116" s="505" t="s">
        <v>123</v>
      </c>
      <c r="AG116" s="171">
        <v>4</v>
      </c>
      <c r="AH116" s="171" t="s">
        <v>97</v>
      </c>
      <c r="AI116" s="171" t="s">
        <v>134</v>
      </c>
      <c r="AK116" s="299">
        <v>21</v>
      </c>
      <c r="AL116" s="299" t="s">
        <v>81</v>
      </c>
      <c r="AM116" s="299" t="s">
        <v>106</v>
      </c>
      <c r="AO116" s="299">
        <v>65</v>
      </c>
      <c r="AP116" s="299" t="s">
        <v>81</v>
      </c>
      <c r="AQ116" s="299" t="s">
        <v>123</v>
      </c>
    </row>
    <row r="117" spans="1:43" ht="15" customHeight="1" x14ac:dyDescent="0.25">
      <c r="A117">
        <v>18</v>
      </c>
      <c r="B117" t="s">
        <v>98</v>
      </c>
      <c r="C117" t="s">
        <v>38</v>
      </c>
      <c r="E117" s="72">
        <v>72</v>
      </c>
      <c r="F117" t="s">
        <v>98</v>
      </c>
      <c r="G117" t="s">
        <v>123</v>
      </c>
      <c r="I117" s="171">
        <v>56</v>
      </c>
      <c r="J117" s="171" t="s">
        <v>98</v>
      </c>
      <c r="K117" s="171" t="s">
        <v>688</v>
      </c>
      <c r="M117" s="171">
        <v>8</v>
      </c>
      <c r="N117" s="171" t="s">
        <v>97</v>
      </c>
      <c r="O117" s="171" t="s">
        <v>134</v>
      </c>
      <c r="Q117" s="399">
        <v>45</v>
      </c>
      <c r="R117" s="171" t="s">
        <v>98</v>
      </c>
      <c r="S117" s="398" t="s">
        <v>123</v>
      </c>
      <c r="U117" s="420">
        <v>33</v>
      </c>
      <c r="V117" s="171" t="s">
        <v>98</v>
      </c>
      <c r="W117" s="171" t="s">
        <v>38</v>
      </c>
      <c r="Y117" s="171">
        <v>47</v>
      </c>
      <c r="Z117" s="171" t="s">
        <v>98</v>
      </c>
      <c r="AA117" s="171" t="s">
        <v>123</v>
      </c>
      <c r="AC117" s="505">
        <v>21</v>
      </c>
      <c r="AD117" s="505" t="s">
        <v>98</v>
      </c>
      <c r="AE117" s="505" t="s">
        <v>123</v>
      </c>
      <c r="AG117" s="171">
        <v>36</v>
      </c>
      <c r="AH117" s="171" t="s">
        <v>98</v>
      </c>
      <c r="AI117" s="171" t="s">
        <v>38</v>
      </c>
      <c r="AK117" s="299">
        <v>81</v>
      </c>
      <c r="AL117" s="299" t="s">
        <v>81</v>
      </c>
      <c r="AM117" s="299" t="s">
        <v>106</v>
      </c>
      <c r="AO117" s="299">
        <v>25</v>
      </c>
      <c r="AP117" s="299" t="s">
        <v>81</v>
      </c>
      <c r="AQ117" s="299" t="s">
        <v>123</v>
      </c>
    </row>
    <row r="118" spans="1:43" ht="15" customHeight="1" x14ac:dyDescent="0.25">
      <c r="A118">
        <v>33</v>
      </c>
      <c r="B118" t="s">
        <v>98</v>
      </c>
      <c r="C118" t="s">
        <v>38</v>
      </c>
      <c r="E118" s="72">
        <v>71</v>
      </c>
      <c r="F118" t="s">
        <v>98</v>
      </c>
      <c r="G118" t="s">
        <v>688</v>
      </c>
      <c r="I118" s="171">
        <v>39</v>
      </c>
      <c r="J118" s="171" t="s">
        <v>97</v>
      </c>
      <c r="K118" s="171" t="s">
        <v>122</v>
      </c>
      <c r="M118" s="171">
        <v>6</v>
      </c>
      <c r="N118" s="171" t="s">
        <v>97</v>
      </c>
      <c r="O118" s="171" t="s">
        <v>134</v>
      </c>
      <c r="Q118" s="399">
        <v>17</v>
      </c>
      <c r="R118" s="171" t="s">
        <v>98</v>
      </c>
      <c r="S118" s="398" t="s">
        <v>123</v>
      </c>
      <c r="U118" s="420">
        <v>32</v>
      </c>
      <c r="V118" s="171" t="s">
        <v>98</v>
      </c>
      <c r="W118" s="171" t="s">
        <v>38</v>
      </c>
      <c r="Y118" s="171">
        <v>67</v>
      </c>
      <c r="Z118" s="171" t="s">
        <v>98</v>
      </c>
      <c r="AA118" s="171" t="s">
        <v>123</v>
      </c>
      <c r="AC118" s="505">
        <v>39</v>
      </c>
      <c r="AD118" s="505" t="s">
        <v>98</v>
      </c>
      <c r="AE118" s="505" t="s">
        <v>123</v>
      </c>
      <c r="AG118" s="171">
        <v>22</v>
      </c>
      <c r="AH118" s="171" t="s">
        <v>98</v>
      </c>
      <c r="AI118" s="171" t="s">
        <v>38</v>
      </c>
      <c r="AK118" s="299">
        <v>48</v>
      </c>
      <c r="AL118" s="299" t="s">
        <v>81</v>
      </c>
      <c r="AM118" s="299" t="s">
        <v>106</v>
      </c>
      <c r="AO118" s="299">
        <v>29</v>
      </c>
      <c r="AP118" s="299" t="s">
        <v>81</v>
      </c>
      <c r="AQ118" s="299" t="s">
        <v>123</v>
      </c>
    </row>
    <row r="119" spans="1:43" ht="15" customHeight="1" x14ac:dyDescent="0.25">
      <c r="A119">
        <v>39</v>
      </c>
      <c r="B119" t="s">
        <v>98</v>
      </c>
      <c r="C119" t="s">
        <v>38</v>
      </c>
      <c r="E119" s="72">
        <v>71</v>
      </c>
      <c r="F119" t="s">
        <v>98</v>
      </c>
      <c r="G119" t="s">
        <v>688</v>
      </c>
      <c r="I119" s="171">
        <v>71</v>
      </c>
      <c r="J119" s="171" t="s">
        <v>97</v>
      </c>
      <c r="K119" s="171" t="s">
        <v>122</v>
      </c>
      <c r="M119" s="171">
        <v>6</v>
      </c>
      <c r="N119" s="171" t="s">
        <v>97</v>
      </c>
      <c r="O119" s="171" t="s">
        <v>134</v>
      </c>
      <c r="Q119" s="399">
        <v>52</v>
      </c>
      <c r="R119" s="171" t="s">
        <v>98</v>
      </c>
      <c r="S119" s="398" t="s">
        <v>123</v>
      </c>
      <c r="U119" s="420">
        <v>15</v>
      </c>
      <c r="V119" s="171" t="s">
        <v>98</v>
      </c>
      <c r="W119" s="171" t="s">
        <v>38</v>
      </c>
      <c r="Y119" s="171">
        <v>32</v>
      </c>
      <c r="Z119" s="171" t="s">
        <v>98</v>
      </c>
      <c r="AA119" s="171" t="s">
        <v>123</v>
      </c>
      <c r="AC119" s="505">
        <v>37</v>
      </c>
      <c r="AD119" s="505" t="s">
        <v>98</v>
      </c>
      <c r="AE119" s="505" t="s">
        <v>123</v>
      </c>
      <c r="AG119" s="171">
        <v>24</v>
      </c>
      <c r="AH119" s="171" t="s">
        <v>98</v>
      </c>
      <c r="AI119" s="171" t="s">
        <v>38</v>
      </c>
      <c r="AK119" s="299">
        <v>64</v>
      </c>
      <c r="AL119" s="299" t="s">
        <v>81</v>
      </c>
      <c r="AM119" s="299" t="s">
        <v>106</v>
      </c>
      <c r="AO119" s="299">
        <v>19</v>
      </c>
      <c r="AP119" s="299" t="s">
        <v>81</v>
      </c>
      <c r="AQ119" s="299" t="s">
        <v>123</v>
      </c>
    </row>
    <row r="120" spans="1:43" ht="15" customHeight="1" x14ac:dyDescent="0.25">
      <c r="A120">
        <v>38</v>
      </c>
      <c r="B120" t="s">
        <v>98</v>
      </c>
      <c r="C120" t="s">
        <v>38</v>
      </c>
      <c r="E120" s="72">
        <v>71</v>
      </c>
      <c r="F120" t="s">
        <v>98</v>
      </c>
      <c r="G120" t="s">
        <v>688</v>
      </c>
      <c r="I120" s="171">
        <v>22</v>
      </c>
      <c r="J120" s="171" t="s">
        <v>97</v>
      </c>
      <c r="K120" s="171" t="s">
        <v>122</v>
      </c>
      <c r="M120" s="171">
        <v>3</v>
      </c>
      <c r="N120" s="171" t="s">
        <v>97</v>
      </c>
      <c r="O120" s="171" t="s">
        <v>134</v>
      </c>
      <c r="Q120" s="399">
        <v>89</v>
      </c>
      <c r="R120" s="171" t="s">
        <v>98</v>
      </c>
      <c r="S120" s="398" t="s">
        <v>123</v>
      </c>
      <c r="U120" s="420">
        <v>34</v>
      </c>
      <c r="V120" s="171" t="s">
        <v>98</v>
      </c>
      <c r="W120" s="171" t="s">
        <v>38</v>
      </c>
      <c r="Y120" s="171">
        <v>61</v>
      </c>
      <c r="Z120" s="171" t="s">
        <v>98</v>
      </c>
      <c r="AA120" s="171" t="s">
        <v>123</v>
      </c>
      <c r="AC120" s="505">
        <v>60</v>
      </c>
      <c r="AD120" s="505" t="s">
        <v>98</v>
      </c>
      <c r="AE120" s="505" t="s">
        <v>123</v>
      </c>
      <c r="AG120" s="171">
        <v>23</v>
      </c>
      <c r="AH120" s="171" t="s">
        <v>98</v>
      </c>
      <c r="AI120" s="171" t="s">
        <v>38</v>
      </c>
      <c r="AK120" s="299">
        <v>33</v>
      </c>
      <c r="AL120" s="299" t="s">
        <v>81</v>
      </c>
      <c r="AM120" s="299" t="s">
        <v>106</v>
      </c>
      <c r="AO120" s="299">
        <v>33</v>
      </c>
      <c r="AP120" s="299" t="s">
        <v>81</v>
      </c>
      <c r="AQ120" s="299" t="s">
        <v>123</v>
      </c>
    </row>
    <row r="121" spans="1:43" ht="15" customHeight="1" x14ac:dyDescent="0.25">
      <c r="A121">
        <v>31</v>
      </c>
      <c r="B121" t="s">
        <v>98</v>
      </c>
      <c r="C121" t="s">
        <v>38</v>
      </c>
      <c r="E121" s="72">
        <v>71</v>
      </c>
      <c r="F121" t="s">
        <v>97</v>
      </c>
      <c r="G121" t="s">
        <v>688</v>
      </c>
      <c r="I121" s="171">
        <v>34</v>
      </c>
      <c r="J121" s="171" t="s">
        <v>97</v>
      </c>
      <c r="K121" s="171" t="s">
        <v>122</v>
      </c>
      <c r="M121" s="171" t="s">
        <v>689</v>
      </c>
      <c r="N121" s="171" t="s">
        <v>98</v>
      </c>
      <c r="O121" s="171" t="s">
        <v>134</v>
      </c>
      <c r="Q121" s="399">
        <v>66</v>
      </c>
      <c r="R121" s="171" t="s">
        <v>98</v>
      </c>
      <c r="S121" s="398" t="s">
        <v>123</v>
      </c>
      <c r="U121" s="420">
        <v>20</v>
      </c>
      <c r="V121" s="171" t="s">
        <v>98</v>
      </c>
      <c r="W121" s="171" t="s">
        <v>38</v>
      </c>
      <c r="Y121" s="171">
        <v>40</v>
      </c>
      <c r="Z121" s="171" t="s">
        <v>98</v>
      </c>
      <c r="AA121" s="171" t="s">
        <v>123</v>
      </c>
      <c r="AC121" s="505">
        <v>29</v>
      </c>
      <c r="AD121" s="505" t="s">
        <v>98</v>
      </c>
      <c r="AE121" s="505" t="s">
        <v>123</v>
      </c>
      <c r="AG121" s="171">
        <v>18</v>
      </c>
      <c r="AH121" s="171" t="s">
        <v>98</v>
      </c>
      <c r="AI121" s="171" t="s">
        <v>38</v>
      </c>
      <c r="AK121" s="299">
        <v>40</v>
      </c>
      <c r="AL121" s="299" t="s">
        <v>81</v>
      </c>
      <c r="AM121" s="299" t="s">
        <v>106</v>
      </c>
      <c r="AO121" s="299">
        <v>10</v>
      </c>
      <c r="AP121" s="299" t="s">
        <v>81</v>
      </c>
      <c r="AQ121" s="299" t="s">
        <v>134</v>
      </c>
    </row>
    <row r="122" spans="1:43" ht="15" customHeight="1" x14ac:dyDescent="0.25">
      <c r="A122">
        <v>28</v>
      </c>
      <c r="B122" t="s">
        <v>98</v>
      </c>
      <c r="C122" t="s">
        <v>38</v>
      </c>
      <c r="E122" s="72">
        <v>71</v>
      </c>
      <c r="F122" t="s">
        <v>97</v>
      </c>
      <c r="G122" t="s">
        <v>122</v>
      </c>
      <c r="I122" s="171">
        <v>52</v>
      </c>
      <c r="J122" s="171" t="s">
        <v>97</v>
      </c>
      <c r="K122" s="171" t="s">
        <v>122</v>
      </c>
      <c r="M122" s="171">
        <v>7</v>
      </c>
      <c r="N122" s="171" t="s">
        <v>97</v>
      </c>
      <c r="O122" s="171" t="s">
        <v>134</v>
      </c>
      <c r="Q122" s="399">
        <v>67</v>
      </c>
      <c r="R122" s="171" t="s">
        <v>98</v>
      </c>
      <c r="S122" s="398" t="s">
        <v>123</v>
      </c>
      <c r="U122" s="420">
        <v>29</v>
      </c>
      <c r="V122" s="171" t="s">
        <v>98</v>
      </c>
      <c r="W122" s="171" t="s">
        <v>38</v>
      </c>
      <c r="Y122" s="171">
        <v>21</v>
      </c>
      <c r="Z122" s="171" t="s">
        <v>98</v>
      </c>
      <c r="AA122" s="171" t="s">
        <v>123</v>
      </c>
      <c r="AC122" s="505">
        <v>26</v>
      </c>
      <c r="AD122" s="505" t="s">
        <v>98</v>
      </c>
      <c r="AE122" s="505" t="s">
        <v>123</v>
      </c>
      <c r="AG122" s="171">
        <v>25</v>
      </c>
      <c r="AH122" s="171" t="s">
        <v>98</v>
      </c>
      <c r="AI122" s="171" t="s">
        <v>38</v>
      </c>
      <c r="AK122" s="299">
        <v>64</v>
      </c>
      <c r="AL122" s="299" t="s">
        <v>81</v>
      </c>
      <c r="AM122" s="299" t="s">
        <v>106</v>
      </c>
      <c r="AO122" s="299">
        <v>3</v>
      </c>
      <c r="AP122" s="299" t="s">
        <v>82</v>
      </c>
      <c r="AQ122" s="299" t="s">
        <v>134</v>
      </c>
    </row>
    <row r="123" spans="1:43" ht="15" customHeight="1" x14ac:dyDescent="0.25">
      <c r="A123">
        <v>18</v>
      </c>
      <c r="B123" t="s">
        <v>98</v>
      </c>
      <c r="C123" t="s">
        <v>38</v>
      </c>
      <c r="E123" s="72">
        <v>71</v>
      </c>
      <c r="F123" t="s">
        <v>97</v>
      </c>
      <c r="G123" t="s">
        <v>122</v>
      </c>
      <c r="I123" s="171">
        <v>71</v>
      </c>
      <c r="J123" s="171" t="s">
        <v>97</v>
      </c>
      <c r="K123" s="171" t="s">
        <v>122</v>
      </c>
      <c r="M123" s="171">
        <v>4</v>
      </c>
      <c r="N123" s="171" t="s">
        <v>98</v>
      </c>
      <c r="O123" s="171" t="s">
        <v>134</v>
      </c>
      <c r="Q123" s="399">
        <v>50</v>
      </c>
      <c r="R123" s="171" t="s">
        <v>98</v>
      </c>
      <c r="S123" s="398" t="s">
        <v>123</v>
      </c>
      <c r="U123" s="420">
        <v>40</v>
      </c>
      <c r="V123" s="171" t="s">
        <v>98</v>
      </c>
      <c r="W123" s="171" t="s">
        <v>38</v>
      </c>
      <c r="Y123" s="171">
        <v>34</v>
      </c>
      <c r="Z123" s="171" t="s">
        <v>98</v>
      </c>
      <c r="AA123" s="171" t="s">
        <v>123</v>
      </c>
      <c r="AC123" s="505">
        <v>13</v>
      </c>
      <c r="AD123" s="505" t="s">
        <v>98</v>
      </c>
      <c r="AE123" s="505" t="s">
        <v>123</v>
      </c>
      <c r="AG123" s="171">
        <v>28</v>
      </c>
      <c r="AH123" s="171" t="s">
        <v>98</v>
      </c>
      <c r="AI123" s="171" t="s">
        <v>38</v>
      </c>
      <c r="AK123" s="299">
        <v>48</v>
      </c>
      <c r="AL123" s="299" t="s">
        <v>81</v>
      </c>
      <c r="AM123" s="299" t="s">
        <v>106</v>
      </c>
      <c r="AO123" s="299">
        <v>3</v>
      </c>
      <c r="AP123" s="299" t="s">
        <v>81</v>
      </c>
      <c r="AQ123" s="299" t="s">
        <v>134</v>
      </c>
    </row>
    <row r="124" spans="1:43" ht="15" customHeight="1" x14ac:dyDescent="0.25">
      <c r="A124">
        <v>24</v>
      </c>
      <c r="B124" t="s">
        <v>98</v>
      </c>
      <c r="C124" t="s">
        <v>38</v>
      </c>
      <c r="E124" s="72">
        <v>71</v>
      </c>
      <c r="F124" t="s">
        <v>98</v>
      </c>
      <c r="G124" t="s">
        <v>123</v>
      </c>
      <c r="I124" s="171">
        <v>62</v>
      </c>
      <c r="J124" s="171" t="s">
        <v>97</v>
      </c>
      <c r="K124" s="171" t="s">
        <v>122</v>
      </c>
      <c r="M124" s="171">
        <v>6</v>
      </c>
      <c r="N124" s="171" t="s">
        <v>97</v>
      </c>
      <c r="O124" s="171" t="s">
        <v>134</v>
      </c>
      <c r="Q124" s="399">
        <v>83</v>
      </c>
      <c r="R124" s="171" t="s">
        <v>98</v>
      </c>
      <c r="S124" s="398" t="s">
        <v>123</v>
      </c>
      <c r="U124" s="420">
        <v>24</v>
      </c>
      <c r="V124" s="171" t="s">
        <v>98</v>
      </c>
      <c r="W124" s="171" t="s">
        <v>38</v>
      </c>
      <c r="Y124" s="171">
        <v>37</v>
      </c>
      <c r="Z124" s="171" t="s">
        <v>98</v>
      </c>
      <c r="AA124" s="171" t="s">
        <v>123</v>
      </c>
      <c r="AC124" s="505">
        <v>41</v>
      </c>
      <c r="AD124" s="505" t="s">
        <v>98</v>
      </c>
      <c r="AE124" s="505" t="s">
        <v>123</v>
      </c>
      <c r="AG124" s="171">
        <v>36</v>
      </c>
      <c r="AH124" s="171" t="s">
        <v>98</v>
      </c>
      <c r="AI124" s="171" t="s">
        <v>38</v>
      </c>
      <c r="AK124" s="299">
        <v>66</v>
      </c>
      <c r="AL124" s="299" t="s">
        <v>81</v>
      </c>
      <c r="AM124" s="299" t="s">
        <v>106</v>
      </c>
      <c r="AO124" s="299">
        <v>5</v>
      </c>
      <c r="AP124" s="299" t="s">
        <v>82</v>
      </c>
      <c r="AQ124" s="299" t="s">
        <v>134</v>
      </c>
    </row>
    <row r="125" spans="1:43" ht="15" customHeight="1" x14ac:dyDescent="0.25">
      <c r="A125">
        <v>36</v>
      </c>
      <c r="B125" t="s">
        <v>98</v>
      </c>
      <c r="C125" t="s">
        <v>38</v>
      </c>
      <c r="E125" s="72">
        <v>71</v>
      </c>
      <c r="F125" t="s">
        <v>98</v>
      </c>
      <c r="G125" t="s">
        <v>123</v>
      </c>
      <c r="I125" s="171">
        <v>35</v>
      </c>
      <c r="J125" s="171" t="s">
        <v>97</v>
      </c>
      <c r="K125" s="171" t="s">
        <v>122</v>
      </c>
      <c r="M125" s="171">
        <v>3</v>
      </c>
      <c r="N125" s="171" t="s">
        <v>98</v>
      </c>
      <c r="O125" s="171" t="s">
        <v>134</v>
      </c>
      <c r="Q125" s="399">
        <v>43</v>
      </c>
      <c r="R125" s="171" t="s">
        <v>98</v>
      </c>
      <c r="S125" s="398" t="s">
        <v>123</v>
      </c>
      <c r="U125" s="420">
        <v>30</v>
      </c>
      <c r="V125" s="171" t="s">
        <v>98</v>
      </c>
      <c r="W125" s="171" t="s">
        <v>38</v>
      </c>
      <c r="Y125" s="171">
        <v>29</v>
      </c>
      <c r="Z125" s="171" t="s">
        <v>98</v>
      </c>
      <c r="AA125" s="171" t="s">
        <v>123</v>
      </c>
      <c r="AC125" s="505">
        <v>52</v>
      </c>
      <c r="AD125" s="505" t="s">
        <v>98</v>
      </c>
      <c r="AE125" s="505" t="s">
        <v>123</v>
      </c>
      <c r="AG125" s="171">
        <v>42</v>
      </c>
      <c r="AH125" s="171" t="s">
        <v>98</v>
      </c>
      <c r="AI125" s="171" t="s">
        <v>38</v>
      </c>
      <c r="AK125" s="299">
        <v>18</v>
      </c>
      <c r="AL125" s="299" t="s">
        <v>81</v>
      </c>
      <c r="AM125" s="299" t="s">
        <v>106</v>
      </c>
      <c r="AO125" s="299">
        <v>1</v>
      </c>
      <c r="AP125" s="299" t="s">
        <v>81</v>
      </c>
      <c r="AQ125" s="299" t="s">
        <v>134</v>
      </c>
    </row>
    <row r="126" spans="1:43" ht="15" customHeight="1" x14ac:dyDescent="0.25">
      <c r="A126">
        <v>40</v>
      </c>
      <c r="B126" t="s">
        <v>98</v>
      </c>
      <c r="C126" t="s">
        <v>38</v>
      </c>
      <c r="E126" s="72">
        <v>71</v>
      </c>
      <c r="F126" t="s">
        <v>98</v>
      </c>
      <c r="G126" t="s">
        <v>123</v>
      </c>
      <c r="I126" s="171">
        <v>78</v>
      </c>
      <c r="J126" s="171" t="s">
        <v>97</v>
      </c>
      <c r="K126" s="171" t="s">
        <v>122</v>
      </c>
      <c r="M126" s="171">
        <v>3</v>
      </c>
      <c r="N126" s="171" t="s">
        <v>97</v>
      </c>
      <c r="O126" s="171" t="s">
        <v>134</v>
      </c>
      <c r="Q126" s="399">
        <v>48</v>
      </c>
      <c r="R126" s="171" t="s">
        <v>98</v>
      </c>
      <c r="S126" s="398" t="s">
        <v>123</v>
      </c>
      <c r="U126" s="420">
        <v>34</v>
      </c>
      <c r="V126" s="171" t="s">
        <v>98</v>
      </c>
      <c r="W126" s="171" t="s">
        <v>38</v>
      </c>
      <c r="Y126" s="171">
        <v>21</v>
      </c>
      <c r="Z126" s="171" t="s">
        <v>98</v>
      </c>
      <c r="AA126" s="171" t="s">
        <v>123</v>
      </c>
      <c r="AC126" s="505">
        <v>55</v>
      </c>
      <c r="AD126" s="505" t="s">
        <v>98</v>
      </c>
      <c r="AE126" s="505" t="s">
        <v>123</v>
      </c>
      <c r="AG126" s="171">
        <v>32</v>
      </c>
      <c r="AH126" s="171" t="s">
        <v>98</v>
      </c>
      <c r="AI126" s="171" t="s">
        <v>38</v>
      </c>
      <c r="AK126" s="299">
        <v>19</v>
      </c>
      <c r="AL126" s="299" t="s">
        <v>81</v>
      </c>
      <c r="AM126" s="299" t="s">
        <v>106</v>
      </c>
      <c r="AO126" s="299">
        <v>12</v>
      </c>
      <c r="AP126" s="299" t="s">
        <v>82</v>
      </c>
      <c r="AQ126" s="299" t="s">
        <v>134</v>
      </c>
    </row>
    <row r="127" spans="1:43" ht="15" customHeight="1" x14ac:dyDescent="0.25">
      <c r="A127">
        <v>20</v>
      </c>
      <c r="B127" t="s">
        <v>98</v>
      </c>
      <c r="C127" t="s">
        <v>38</v>
      </c>
      <c r="E127" s="72">
        <v>71</v>
      </c>
      <c r="F127" t="s">
        <v>98</v>
      </c>
      <c r="G127" t="s">
        <v>123</v>
      </c>
      <c r="I127" s="171">
        <v>36</v>
      </c>
      <c r="J127" s="171" t="s">
        <v>97</v>
      </c>
      <c r="K127" s="171" t="s">
        <v>122</v>
      </c>
      <c r="M127" s="171">
        <v>2</v>
      </c>
      <c r="N127" s="171" t="s">
        <v>97</v>
      </c>
      <c r="O127" s="171" t="s">
        <v>134</v>
      </c>
      <c r="Q127" s="399">
        <v>72</v>
      </c>
      <c r="R127" s="171" t="s">
        <v>98</v>
      </c>
      <c r="S127" s="398" t="s">
        <v>123</v>
      </c>
      <c r="U127" s="420">
        <v>43</v>
      </c>
      <c r="V127" s="171" t="s">
        <v>98</v>
      </c>
      <c r="W127" s="171" t="s">
        <v>38</v>
      </c>
      <c r="Y127" s="171">
        <v>77</v>
      </c>
      <c r="Z127" s="171" t="s">
        <v>98</v>
      </c>
      <c r="AA127" s="171" t="s">
        <v>123</v>
      </c>
      <c r="AC127" s="505">
        <v>50</v>
      </c>
      <c r="AD127" s="505" t="s">
        <v>98</v>
      </c>
      <c r="AE127" s="505" t="s">
        <v>123</v>
      </c>
      <c r="AG127" s="171">
        <v>35</v>
      </c>
      <c r="AH127" s="171" t="s">
        <v>98</v>
      </c>
      <c r="AI127" s="171" t="s">
        <v>38</v>
      </c>
      <c r="AK127" s="299">
        <v>44</v>
      </c>
      <c r="AL127" s="299" t="s">
        <v>81</v>
      </c>
      <c r="AM127" s="299" t="s">
        <v>106</v>
      </c>
      <c r="AO127" s="299" t="s">
        <v>1341</v>
      </c>
      <c r="AP127" s="299" t="s">
        <v>82</v>
      </c>
      <c r="AQ127" s="299" t="s">
        <v>134</v>
      </c>
    </row>
    <row r="128" spans="1:43" ht="15" customHeight="1" x14ac:dyDescent="0.25">
      <c r="A128">
        <v>27</v>
      </c>
      <c r="B128" t="s">
        <v>98</v>
      </c>
      <c r="C128" t="s">
        <v>38</v>
      </c>
      <c r="E128" s="72">
        <v>70</v>
      </c>
      <c r="F128" t="s">
        <v>97</v>
      </c>
      <c r="G128" t="s">
        <v>122</v>
      </c>
      <c r="I128" s="171">
        <v>81</v>
      </c>
      <c r="J128" s="171" t="s">
        <v>97</v>
      </c>
      <c r="K128" s="171" t="s">
        <v>122</v>
      </c>
      <c r="M128" s="171">
        <v>3</v>
      </c>
      <c r="N128" s="171" t="s">
        <v>98</v>
      </c>
      <c r="O128" s="171" t="s">
        <v>134</v>
      </c>
      <c r="Q128" s="399">
        <v>71</v>
      </c>
      <c r="R128" s="171" t="s">
        <v>98</v>
      </c>
      <c r="S128" s="398" t="s">
        <v>123</v>
      </c>
      <c r="U128" s="420">
        <v>34</v>
      </c>
      <c r="V128" s="171" t="s">
        <v>98</v>
      </c>
      <c r="W128" s="171" t="s">
        <v>38</v>
      </c>
      <c r="Y128" s="171">
        <v>21</v>
      </c>
      <c r="Z128" s="171" t="s">
        <v>98</v>
      </c>
      <c r="AA128" s="171" t="s">
        <v>123</v>
      </c>
      <c r="AC128" s="505">
        <v>38</v>
      </c>
      <c r="AD128" s="505" t="s">
        <v>98</v>
      </c>
      <c r="AE128" s="505" t="s">
        <v>123</v>
      </c>
      <c r="AG128" s="171">
        <v>24</v>
      </c>
      <c r="AH128" s="171" t="s">
        <v>98</v>
      </c>
      <c r="AI128" s="171" t="s">
        <v>38</v>
      </c>
      <c r="AK128" s="299">
        <v>37</v>
      </c>
      <c r="AL128" s="299" t="s">
        <v>81</v>
      </c>
      <c r="AM128" s="299" t="s">
        <v>106</v>
      </c>
      <c r="AO128" s="299">
        <v>5</v>
      </c>
      <c r="AP128" s="299" t="s">
        <v>81</v>
      </c>
      <c r="AQ128" s="299" t="s">
        <v>134</v>
      </c>
    </row>
    <row r="129" spans="1:43" ht="15" customHeight="1" x14ac:dyDescent="0.25">
      <c r="A129">
        <v>25</v>
      </c>
      <c r="B129" t="s">
        <v>98</v>
      </c>
      <c r="C129" t="s">
        <v>38</v>
      </c>
      <c r="E129" s="72">
        <v>69</v>
      </c>
      <c r="F129" t="s">
        <v>97</v>
      </c>
      <c r="G129" t="s">
        <v>688</v>
      </c>
      <c r="I129" s="171">
        <v>26</v>
      </c>
      <c r="J129" s="171" t="s">
        <v>97</v>
      </c>
      <c r="K129" s="171" t="s">
        <v>122</v>
      </c>
      <c r="M129" s="171">
        <v>1</v>
      </c>
      <c r="N129" s="171" t="s">
        <v>97</v>
      </c>
      <c r="O129" s="171" t="s">
        <v>134</v>
      </c>
      <c r="Q129" s="399">
        <v>83</v>
      </c>
      <c r="R129" s="171" t="s">
        <v>98</v>
      </c>
      <c r="S129" s="398" t="s">
        <v>123</v>
      </c>
      <c r="U129" s="420">
        <v>27</v>
      </c>
      <c r="V129" s="171" t="s">
        <v>98</v>
      </c>
      <c r="W129" s="171" t="s">
        <v>38</v>
      </c>
      <c r="Y129" s="171">
        <v>54</v>
      </c>
      <c r="Z129" s="171" t="s">
        <v>98</v>
      </c>
      <c r="AA129" s="171" t="s">
        <v>123</v>
      </c>
      <c r="AC129" s="505">
        <v>15</v>
      </c>
      <c r="AD129" s="505" t="s">
        <v>98</v>
      </c>
      <c r="AE129" s="505" t="s">
        <v>123</v>
      </c>
      <c r="AG129" s="171">
        <v>28</v>
      </c>
      <c r="AH129" s="171" t="s">
        <v>98</v>
      </c>
      <c r="AI129" s="171" t="s">
        <v>38</v>
      </c>
      <c r="AK129" s="299">
        <v>35</v>
      </c>
      <c r="AL129" s="299" t="s">
        <v>81</v>
      </c>
      <c r="AM129" s="299" t="s">
        <v>106</v>
      </c>
      <c r="AO129" s="299">
        <v>3</v>
      </c>
      <c r="AP129" s="299" t="s">
        <v>82</v>
      </c>
      <c r="AQ129" s="299" t="s">
        <v>134</v>
      </c>
    </row>
    <row r="130" spans="1:43" ht="15" customHeight="1" x14ac:dyDescent="0.25">
      <c r="A130">
        <v>32</v>
      </c>
      <c r="B130" t="s">
        <v>98</v>
      </c>
      <c r="C130" t="s">
        <v>38</v>
      </c>
      <c r="E130" s="72">
        <v>69</v>
      </c>
      <c r="F130" t="s">
        <v>98</v>
      </c>
      <c r="G130" t="s">
        <v>688</v>
      </c>
      <c r="I130" s="171">
        <v>37</v>
      </c>
      <c r="J130" s="171" t="s">
        <v>97</v>
      </c>
      <c r="K130" s="171" t="s">
        <v>122</v>
      </c>
      <c r="M130" s="171" t="s">
        <v>690</v>
      </c>
      <c r="N130" s="171" t="s">
        <v>98</v>
      </c>
      <c r="O130" s="171" t="s">
        <v>134</v>
      </c>
      <c r="Q130" s="399">
        <v>58</v>
      </c>
      <c r="R130" s="171" t="s">
        <v>98</v>
      </c>
      <c r="S130" s="398" t="s">
        <v>123</v>
      </c>
      <c r="U130" s="420">
        <v>35</v>
      </c>
      <c r="V130" s="171" t="s">
        <v>98</v>
      </c>
      <c r="W130" s="171" t="s">
        <v>38</v>
      </c>
      <c r="Y130" s="171">
        <v>75</v>
      </c>
      <c r="Z130" s="171" t="s">
        <v>98</v>
      </c>
      <c r="AA130" s="171" t="s">
        <v>123</v>
      </c>
      <c r="AC130" s="505">
        <v>73</v>
      </c>
      <c r="AD130" s="505" t="s">
        <v>98</v>
      </c>
      <c r="AE130" s="505" t="s">
        <v>123</v>
      </c>
      <c r="AG130" s="171">
        <v>39</v>
      </c>
      <c r="AH130" s="171" t="s">
        <v>98</v>
      </c>
      <c r="AI130" s="171" t="s">
        <v>38</v>
      </c>
      <c r="AK130" s="299">
        <v>74</v>
      </c>
      <c r="AL130" s="299" t="s">
        <v>81</v>
      </c>
      <c r="AM130" s="299" t="s">
        <v>106</v>
      </c>
      <c r="AO130" s="299">
        <v>7</v>
      </c>
      <c r="AP130" s="299" t="s">
        <v>81</v>
      </c>
      <c r="AQ130" s="299" t="s">
        <v>134</v>
      </c>
    </row>
    <row r="131" spans="1:43" ht="15" customHeight="1" x14ac:dyDescent="0.25">
      <c r="A131">
        <v>19</v>
      </c>
      <c r="B131" t="s">
        <v>98</v>
      </c>
      <c r="C131" t="s">
        <v>38</v>
      </c>
      <c r="E131" s="72">
        <v>69</v>
      </c>
      <c r="F131" t="s">
        <v>97</v>
      </c>
      <c r="G131" t="s">
        <v>122</v>
      </c>
      <c r="I131" s="171">
        <v>66</v>
      </c>
      <c r="J131" s="171" t="s">
        <v>97</v>
      </c>
      <c r="K131" s="171" t="s">
        <v>122</v>
      </c>
      <c r="M131" s="171">
        <v>2</v>
      </c>
      <c r="N131" s="171" t="s">
        <v>98</v>
      </c>
      <c r="O131" s="171" t="s">
        <v>134</v>
      </c>
      <c r="Q131" s="399">
        <v>19</v>
      </c>
      <c r="R131" s="171" t="s">
        <v>98</v>
      </c>
      <c r="S131" s="398" t="s">
        <v>123</v>
      </c>
      <c r="U131" s="420">
        <v>30</v>
      </c>
      <c r="V131" s="171" t="s">
        <v>98</v>
      </c>
      <c r="W131" s="171" t="s">
        <v>38</v>
      </c>
      <c r="Y131" s="171">
        <v>36</v>
      </c>
      <c r="Z131" s="171" t="s">
        <v>98</v>
      </c>
      <c r="AA131" s="171" t="s">
        <v>123</v>
      </c>
      <c r="AC131" s="505">
        <v>16</v>
      </c>
      <c r="AD131" s="505" t="s">
        <v>98</v>
      </c>
      <c r="AE131" s="505" t="s">
        <v>123</v>
      </c>
      <c r="AG131" s="171">
        <v>35</v>
      </c>
      <c r="AH131" s="171" t="s">
        <v>98</v>
      </c>
      <c r="AI131" s="171" t="s">
        <v>38</v>
      </c>
      <c r="AK131" s="299">
        <v>73</v>
      </c>
      <c r="AL131" s="299" t="s">
        <v>81</v>
      </c>
      <c r="AM131" s="299" t="s">
        <v>106</v>
      </c>
      <c r="AO131" s="299" t="s">
        <v>1366</v>
      </c>
      <c r="AP131" s="299" t="s">
        <v>82</v>
      </c>
      <c r="AQ131" s="299" t="s">
        <v>134</v>
      </c>
    </row>
    <row r="132" spans="1:43" ht="15" customHeight="1" x14ac:dyDescent="0.25">
      <c r="A132">
        <v>44</v>
      </c>
      <c r="B132" t="s">
        <v>98</v>
      </c>
      <c r="C132" t="s">
        <v>38</v>
      </c>
      <c r="E132" s="72">
        <v>69</v>
      </c>
      <c r="F132" t="s">
        <v>97</v>
      </c>
      <c r="G132" t="s">
        <v>122</v>
      </c>
      <c r="I132" s="171">
        <v>52</v>
      </c>
      <c r="J132" s="171" t="s">
        <v>97</v>
      </c>
      <c r="K132" s="171" t="s">
        <v>122</v>
      </c>
      <c r="M132" s="171">
        <v>1</v>
      </c>
      <c r="N132" s="171" t="s">
        <v>97</v>
      </c>
      <c r="O132" s="171" t="s">
        <v>134</v>
      </c>
      <c r="Q132" s="399">
        <v>75</v>
      </c>
      <c r="R132" s="171" t="s">
        <v>98</v>
      </c>
      <c r="S132" s="398" t="s">
        <v>123</v>
      </c>
      <c r="U132" s="420">
        <v>25</v>
      </c>
      <c r="V132" s="171" t="s">
        <v>98</v>
      </c>
      <c r="W132" s="171" t="s">
        <v>38</v>
      </c>
      <c r="Y132" s="171">
        <v>24</v>
      </c>
      <c r="Z132" s="171" t="s">
        <v>98</v>
      </c>
      <c r="AA132" s="171" t="s">
        <v>123</v>
      </c>
      <c r="AC132" s="505">
        <v>27</v>
      </c>
      <c r="AD132" s="505" t="s">
        <v>98</v>
      </c>
      <c r="AE132" s="505" t="s">
        <v>123</v>
      </c>
      <c r="AG132" s="171">
        <v>28</v>
      </c>
      <c r="AH132" s="171" t="s">
        <v>98</v>
      </c>
      <c r="AI132" s="171" t="s">
        <v>38</v>
      </c>
      <c r="AK132" s="299">
        <v>25</v>
      </c>
      <c r="AL132" s="299" t="s">
        <v>81</v>
      </c>
      <c r="AM132" s="299" t="s">
        <v>106</v>
      </c>
      <c r="AO132" s="299">
        <v>3</v>
      </c>
      <c r="AP132" s="299" t="s">
        <v>81</v>
      </c>
      <c r="AQ132" s="299" t="s">
        <v>134</v>
      </c>
    </row>
    <row r="133" spans="1:43" ht="15" customHeight="1" x14ac:dyDescent="0.25">
      <c r="A133">
        <v>41</v>
      </c>
      <c r="B133" t="s">
        <v>98</v>
      </c>
      <c r="C133" t="s">
        <v>38</v>
      </c>
      <c r="E133" s="72">
        <v>69</v>
      </c>
      <c r="F133" t="s">
        <v>98</v>
      </c>
      <c r="G133" t="s">
        <v>123</v>
      </c>
      <c r="I133" s="171">
        <v>29</v>
      </c>
      <c r="J133" s="171" t="s">
        <v>97</v>
      </c>
      <c r="K133" s="171" t="s">
        <v>122</v>
      </c>
      <c r="M133" s="171">
        <v>4</v>
      </c>
      <c r="N133" s="171" t="s">
        <v>98</v>
      </c>
      <c r="O133" s="171" t="s">
        <v>134</v>
      </c>
      <c r="Q133" s="399">
        <v>60</v>
      </c>
      <c r="R133" s="171" t="s">
        <v>98</v>
      </c>
      <c r="S133" s="398" t="s">
        <v>123</v>
      </c>
      <c r="U133" s="420">
        <v>40</v>
      </c>
      <c r="V133" s="171" t="s">
        <v>98</v>
      </c>
      <c r="W133" s="171" t="s">
        <v>38</v>
      </c>
      <c r="Y133" s="171">
        <v>52</v>
      </c>
      <c r="Z133" s="171" t="s">
        <v>98</v>
      </c>
      <c r="AA133" s="171" t="s">
        <v>123</v>
      </c>
      <c r="AC133" s="505">
        <v>50</v>
      </c>
      <c r="AD133" s="505" t="s">
        <v>98</v>
      </c>
      <c r="AE133" s="505" t="s">
        <v>123</v>
      </c>
      <c r="AG133" s="171">
        <v>32</v>
      </c>
      <c r="AH133" s="171" t="s">
        <v>98</v>
      </c>
      <c r="AI133" s="171" t="s">
        <v>38</v>
      </c>
      <c r="AK133" s="299">
        <v>18</v>
      </c>
      <c r="AL133" s="299" t="s">
        <v>81</v>
      </c>
      <c r="AM133" s="299" t="s">
        <v>106</v>
      </c>
      <c r="AO133" s="299">
        <v>11</v>
      </c>
      <c r="AP133" s="299" t="s">
        <v>81</v>
      </c>
      <c r="AQ133" s="299" t="s">
        <v>134</v>
      </c>
    </row>
    <row r="134" spans="1:43" ht="15" customHeight="1" x14ac:dyDescent="0.25">
      <c r="A134">
        <v>35</v>
      </c>
      <c r="B134" t="s">
        <v>98</v>
      </c>
      <c r="C134" t="s">
        <v>38</v>
      </c>
      <c r="E134" s="72">
        <v>68</v>
      </c>
      <c r="F134" t="s">
        <v>97</v>
      </c>
      <c r="G134" t="s">
        <v>688</v>
      </c>
      <c r="I134" s="171">
        <v>35</v>
      </c>
      <c r="J134" s="171" t="s">
        <v>97</v>
      </c>
      <c r="K134" s="171" t="s">
        <v>122</v>
      </c>
      <c r="M134" s="171">
        <v>1</v>
      </c>
      <c r="N134" s="171" t="s">
        <v>97</v>
      </c>
      <c r="O134" s="171" t="s">
        <v>134</v>
      </c>
      <c r="Q134" s="399">
        <v>36</v>
      </c>
      <c r="R134" s="171" t="s">
        <v>98</v>
      </c>
      <c r="S134" s="398" t="s">
        <v>123</v>
      </c>
      <c r="U134" s="420">
        <v>29</v>
      </c>
      <c r="V134" s="171" t="s">
        <v>98</v>
      </c>
      <c r="W134" s="171" t="s">
        <v>38</v>
      </c>
      <c r="Y134" s="171">
        <v>19</v>
      </c>
      <c r="Z134" s="171" t="s">
        <v>98</v>
      </c>
      <c r="AA134" s="171" t="s">
        <v>123</v>
      </c>
      <c r="AC134" s="505">
        <v>65</v>
      </c>
      <c r="AD134" s="505" t="s">
        <v>98</v>
      </c>
      <c r="AE134" s="505" t="s">
        <v>123</v>
      </c>
      <c r="AG134" s="171">
        <v>41</v>
      </c>
      <c r="AH134" s="171" t="s">
        <v>98</v>
      </c>
      <c r="AI134" s="171" t="s">
        <v>38</v>
      </c>
      <c r="AK134" s="299">
        <v>18</v>
      </c>
      <c r="AL134" s="299" t="s">
        <v>81</v>
      </c>
      <c r="AM134" s="299" t="s">
        <v>106</v>
      </c>
      <c r="AO134" s="299">
        <v>7</v>
      </c>
      <c r="AP134" s="299" t="s">
        <v>82</v>
      </c>
      <c r="AQ134" s="299" t="s">
        <v>134</v>
      </c>
    </row>
    <row r="135" spans="1:43" ht="15" customHeight="1" x14ac:dyDescent="0.25">
      <c r="A135">
        <v>48</v>
      </c>
      <c r="B135" t="s">
        <v>98</v>
      </c>
      <c r="C135" t="s">
        <v>38</v>
      </c>
      <c r="E135" s="72">
        <v>67</v>
      </c>
      <c r="F135" t="s">
        <v>97</v>
      </c>
      <c r="G135" t="s">
        <v>688</v>
      </c>
      <c r="I135" s="171">
        <v>26</v>
      </c>
      <c r="J135" s="171" t="s">
        <v>97</v>
      </c>
      <c r="K135" s="171" t="s">
        <v>122</v>
      </c>
      <c r="M135" s="171">
        <v>3</v>
      </c>
      <c r="N135" s="171" t="s">
        <v>98</v>
      </c>
      <c r="O135" s="171" t="s">
        <v>134</v>
      </c>
      <c r="Q135" s="399">
        <v>81</v>
      </c>
      <c r="R135" s="171" t="s">
        <v>98</v>
      </c>
      <c r="S135" s="398" t="s">
        <v>123</v>
      </c>
      <c r="U135" s="420">
        <v>39</v>
      </c>
      <c r="V135" s="171" t="s">
        <v>98</v>
      </c>
      <c r="W135" s="171" t="s">
        <v>38</v>
      </c>
      <c r="Y135" s="171">
        <v>28</v>
      </c>
      <c r="Z135" s="171" t="s">
        <v>98</v>
      </c>
      <c r="AA135" s="171" t="s">
        <v>123</v>
      </c>
      <c r="AC135" s="505">
        <v>18</v>
      </c>
      <c r="AD135" s="505" t="s">
        <v>98</v>
      </c>
      <c r="AE135" s="505" t="s">
        <v>123</v>
      </c>
      <c r="AG135" s="171">
        <v>18</v>
      </c>
      <c r="AH135" s="171" t="s">
        <v>98</v>
      </c>
      <c r="AI135" s="171" t="s">
        <v>38</v>
      </c>
      <c r="AK135" s="299">
        <v>57</v>
      </c>
      <c r="AL135" s="299" t="s">
        <v>81</v>
      </c>
      <c r="AM135" s="299" t="s">
        <v>106</v>
      </c>
      <c r="AO135" s="299" t="s">
        <v>1341</v>
      </c>
      <c r="AP135" s="299" t="s">
        <v>82</v>
      </c>
      <c r="AQ135" s="299" t="s">
        <v>134</v>
      </c>
    </row>
    <row r="136" spans="1:43" ht="15" customHeight="1" x14ac:dyDescent="0.25">
      <c r="A136">
        <v>27</v>
      </c>
      <c r="B136" t="s">
        <v>98</v>
      </c>
      <c r="C136" t="s">
        <v>38</v>
      </c>
      <c r="E136" s="72">
        <v>67</v>
      </c>
      <c r="F136" t="s">
        <v>98</v>
      </c>
      <c r="G136" t="s">
        <v>688</v>
      </c>
      <c r="I136" s="171">
        <v>64</v>
      </c>
      <c r="J136" s="171" t="s">
        <v>97</v>
      </c>
      <c r="K136" s="171" t="s">
        <v>122</v>
      </c>
      <c r="M136" s="171">
        <v>2</v>
      </c>
      <c r="N136" s="171" t="s">
        <v>97</v>
      </c>
      <c r="O136" s="171" t="s">
        <v>134</v>
      </c>
      <c r="Q136" s="399">
        <v>51</v>
      </c>
      <c r="R136" s="171" t="s">
        <v>98</v>
      </c>
      <c r="S136" s="398" t="s">
        <v>123</v>
      </c>
      <c r="U136" s="420">
        <v>23</v>
      </c>
      <c r="V136" s="171" t="s">
        <v>98</v>
      </c>
      <c r="W136" s="171" t="s">
        <v>38</v>
      </c>
      <c r="Y136" s="171">
        <v>30</v>
      </c>
      <c r="Z136" s="171" t="s">
        <v>98</v>
      </c>
      <c r="AA136" s="171" t="s">
        <v>123</v>
      </c>
      <c r="AC136" s="505">
        <v>62</v>
      </c>
      <c r="AD136" s="505" t="s">
        <v>98</v>
      </c>
      <c r="AE136" s="505" t="s">
        <v>123</v>
      </c>
      <c r="AG136" s="171">
        <v>32</v>
      </c>
      <c r="AH136" s="171" t="s">
        <v>98</v>
      </c>
      <c r="AI136" s="171" t="s">
        <v>38</v>
      </c>
      <c r="AK136" s="299">
        <v>46</v>
      </c>
      <c r="AL136" s="299" t="s">
        <v>81</v>
      </c>
      <c r="AM136" s="299" t="s">
        <v>106</v>
      </c>
      <c r="AO136" s="299">
        <v>10</v>
      </c>
      <c r="AP136" s="299" t="s">
        <v>81</v>
      </c>
      <c r="AQ136" s="299" t="s">
        <v>134</v>
      </c>
    </row>
    <row r="137" spans="1:43" ht="15" customHeight="1" x14ac:dyDescent="0.25">
      <c r="A137">
        <v>24</v>
      </c>
      <c r="B137" t="s">
        <v>98</v>
      </c>
      <c r="C137" t="s">
        <v>38</v>
      </c>
      <c r="E137" s="72">
        <v>67</v>
      </c>
      <c r="F137" t="s">
        <v>98</v>
      </c>
      <c r="G137" t="s">
        <v>688</v>
      </c>
      <c r="I137" s="171">
        <v>26</v>
      </c>
      <c r="J137" s="171" t="s">
        <v>97</v>
      </c>
      <c r="K137" s="171" t="s">
        <v>122</v>
      </c>
      <c r="M137" s="171">
        <v>9</v>
      </c>
      <c r="N137" s="171" t="s">
        <v>97</v>
      </c>
      <c r="O137" s="171" t="s">
        <v>134</v>
      </c>
      <c r="Q137" s="399">
        <v>57</v>
      </c>
      <c r="R137" s="171" t="s">
        <v>98</v>
      </c>
      <c r="S137" s="398" t="s">
        <v>123</v>
      </c>
      <c r="U137" s="420">
        <v>33</v>
      </c>
      <c r="V137" s="171" t="s">
        <v>98</v>
      </c>
      <c r="W137" s="171" t="s">
        <v>38</v>
      </c>
      <c r="Y137" s="171">
        <v>25</v>
      </c>
      <c r="Z137" s="171" t="s">
        <v>98</v>
      </c>
      <c r="AA137" s="171" t="s">
        <v>123</v>
      </c>
      <c r="AC137" s="505">
        <v>71</v>
      </c>
      <c r="AD137" s="505" t="s">
        <v>98</v>
      </c>
      <c r="AE137" s="505" t="s">
        <v>123</v>
      </c>
      <c r="AG137" s="171">
        <v>30</v>
      </c>
      <c r="AH137" s="171" t="s">
        <v>98</v>
      </c>
      <c r="AI137" s="171" t="s">
        <v>38</v>
      </c>
      <c r="AK137" s="299">
        <v>20</v>
      </c>
      <c r="AL137" s="299" t="s">
        <v>81</v>
      </c>
      <c r="AM137" s="299" t="s">
        <v>106</v>
      </c>
      <c r="AO137" s="299" t="s">
        <v>1349</v>
      </c>
      <c r="AP137" s="299" t="s">
        <v>82</v>
      </c>
      <c r="AQ137" s="299" t="s">
        <v>134</v>
      </c>
    </row>
    <row r="138" spans="1:43" ht="15" customHeight="1" x14ac:dyDescent="0.25">
      <c r="A138">
        <v>30</v>
      </c>
      <c r="B138" t="s">
        <v>98</v>
      </c>
      <c r="C138" t="s">
        <v>38</v>
      </c>
      <c r="E138" s="72">
        <v>67</v>
      </c>
      <c r="F138" t="s">
        <v>98</v>
      </c>
      <c r="G138" t="s">
        <v>123</v>
      </c>
      <c r="I138" s="171">
        <v>68</v>
      </c>
      <c r="J138" s="171" t="s">
        <v>97</v>
      </c>
      <c r="K138" s="171" t="s">
        <v>122</v>
      </c>
      <c r="M138" s="171" t="s">
        <v>708</v>
      </c>
      <c r="N138" s="171" t="s">
        <v>97</v>
      </c>
      <c r="O138" s="171" t="s">
        <v>134</v>
      </c>
      <c r="Q138" s="399">
        <v>34</v>
      </c>
      <c r="R138" s="171" t="s">
        <v>98</v>
      </c>
      <c r="S138" s="398" t="s">
        <v>123</v>
      </c>
      <c r="U138" s="420">
        <v>19</v>
      </c>
      <c r="V138" s="171" t="s">
        <v>98</v>
      </c>
      <c r="W138" s="171" t="s">
        <v>38</v>
      </c>
      <c r="Y138" s="171">
        <v>59</v>
      </c>
      <c r="Z138" s="171" t="s">
        <v>98</v>
      </c>
      <c r="AA138" s="171" t="s">
        <v>123</v>
      </c>
      <c r="AC138" s="505">
        <v>68</v>
      </c>
      <c r="AD138" s="505" t="s">
        <v>98</v>
      </c>
      <c r="AE138" s="505" t="s">
        <v>123</v>
      </c>
      <c r="AG138" s="171">
        <v>38</v>
      </c>
      <c r="AH138" s="171" t="s">
        <v>98</v>
      </c>
      <c r="AI138" s="171" t="s">
        <v>38</v>
      </c>
      <c r="AK138" s="299">
        <v>38</v>
      </c>
      <c r="AL138" s="299" t="s">
        <v>81</v>
      </c>
      <c r="AM138" s="299" t="s">
        <v>106</v>
      </c>
      <c r="AO138" s="299" t="s">
        <v>1343</v>
      </c>
      <c r="AP138" s="299" t="s">
        <v>81</v>
      </c>
      <c r="AQ138" s="299" t="s">
        <v>134</v>
      </c>
    </row>
    <row r="139" spans="1:43" ht="15" customHeight="1" x14ac:dyDescent="0.25">
      <c r="A139">
        <v>20</v>
      </c>
      <c r="B139" t="s">
        <v>98</v>
      </c>
      <c r="C139" t="s">
        <v>38</v>
      </c>
      <c r="E139" s="72">
        <v>67</v>
      </c>
      <c r="F139" t="s">
        <v>98</v>
      </c>
      <c r="G139" t="s">
        <v>123</v>
      </c>
      <c r="I139" s="171">
        <v>71</v>
      </c>
      <c r="J139" s="171" t="s">
        <v>97</v>
      </c>
      <c r="K139" s="171" t="s">
        <v>122</v>
      </c>
      <c r="M139" s="171">
        <v>7</v>
      </c>
      <c r="N139" s="171" t="s">
        <v>97</v>
      </c>
      <c r="O139" s="171" t="s">
        <v>134</v>
      </c>
      <c r="Q139" s="399">
        <v>48</v>
      </c>
      <c r="R139" s="171" t="s">
        <v>98</v>
      </c>
      <c r="S139" s="398" t="s">
        <v>123</v>
      </c>
      <c r="U139" s="420">
        <v>17</v>
      </c>
      <c r="V139" s="171" t="s">
        <v>98</v>
      </c>
      <c r="W139" s="171" t="s">
        <v>38</v>
      </c>
      <c r="Y139" s="171">
        <v>47</v>
      </c>
      <c r="Z139" s="171" t="s">
        <v>98</v>
      </c>
      <c r="AA139" s="171" t="s">
        <v>123</v>
      </c>
      <c r="AC139" s="505">
        <v>34</v>
      </c>
      <c r="AD139" s="505" t="s">
        <v>98</v>
      </c>
      <c r="AE139" s="505" t="s">
        <v>123</v>
      </c>
      <c r="AG139" s="171">
        <v>25</v>
      </c>
      <c r="AH139" s="171" t="s">
        <v>98</v>
      </c>
      <c r="AI139" s="171" t="s">
        <v>38</v>
      </c>
      <c r="AK139" s="299">
        <v>89</v>
      </c>
      <c r="AL139" s="299" t="s">
        <v>81</v>
      </c>
      <c r="AM139" s="299" t="s">
        <v>106</v>
      </c>
      <c r="AO139" s="299">
        <v>4</v>
      </c>
      <c r="AP139" s="299" t="s">
        <v>82</v>
      </c>
      <c r="AQ139" s="299" t="s">
        <v>134</v>
      </c>
    </row>
    <row r="140" spans="1:43" ht="15" customHeight="1" x14ac:dyDescent="0.25">
      <c r="A140">
        <v>23</v>
      </c>
      <c r="B140" t="s">
        <v>98</v>
      </c>
      <c r="C140" t="s">
        <v>38</v>
      </c>
      <c r="E140" s="72">
        <v>66</v>
      </c>
      <c r="F140" t="s">
        <v>97</v>
      </c>
      <c r="G140" t="s">
        <v>688</v>
      </c>
      <c r="I140" s="171">
        <v>34</v>
      </c>
      <c r="J140" s="171" t="s">
        <v>97</v>
      </c>
      <c r="K140" s="171" t="s">
        <v>122</v>
      </c>
      <c r="M140" s="171">
        <v>3</v>
      </c>
      <c r="N140" s="171" t="s">
        <v>97</v>
      </c>
      <c r="O140" s="171" t="s">
        <v>134</v>
      </c>
      <c r="Q140" s="399">
        <v>17</v>
      </c>
      <c r="R140" s="171" t="s">
        <v>98</v>
      </c>
      <c r="S140" s="398" t="s">
        <v>123</v>
      </c>
      <c r="U140" s="420">
        <v>44</v>
      </c>
      <c r="V140" s="171" t="s">
        <v>98</v>
      </c>
      <c r="W140" s="171" t="s">
        <v>38</v>
      </c>
      <c r="Y140" s="171">
        <v>48</v>
      </c>
      <c r="Z140" s="171" t="s">
        <v>98</v>
      </c>
      <c r="AA140" s="171" t="s">
        <v>123</v>
      </c>
      <c r="AC140" s="505">
        <v>56</v>
      </c>
      <c r="AD140" s="505" t="s">
        <v>98</v>
      </c>
      <c r="AE140" s="505" t="s">
        <v>123</v>
      </c>
      <c r="AG140" s="171">
        <v>31</v>
      </c>
      <c r="AH140" s="171" t="s">
        <v>98</v>
      </c>
      <c r="AI140" s="171" t="s">
        <v>38</v>
      </c>
      <c r="AK140" s="299">
        <v>25</v>
      </c>
      <c r="AL140" s="299" t="s">
        <v>81</v>
      </c>
      <c r="AM140" s="299" t="s">
        <v>106</v>
      </c>
      <c r="AO140" s="299">
        <v>4</v>
      </c>
      <c r="AP140" s="299" t="s">
        <v>82</v>
      </c>
      <c r="AQ140" s="299" t="s">
        <v>134</v>
      </c>
    </row>
    <row r="141" spans="1:43" ht="15" customHeight="1" x14ac:dyDescent="0.25">
      <c r="A141">
        <v>34</v>
      </c>
      <c r="B141" t="s">
        <v>98</v>
      </c>
      <c r="C141" t="s">
        <v>38</v>
      </c>
      <c r="E141" s="72">
        <v>66</v>
      </c>
      <c r="F141" t="s">
        <v>98</v>
      </c>
      <c r="G141" t="s">
        <v>688</v>
      </c>
      <c r="I141" s="171">
        <v>20</v>
      </c>
      <c r="J141" s="171" t="s">
        <v>97</v>
      </c>
      <c r="K141" s="171" t="s">
        <v>122</v>
      </c>
      <c r="M141" s="171">
        <v>5</v>
      </c>
      <c r="N141" s="171" t="s">
        <v>98</v>
      </c>
      <c r="O141" s="171" t="s">
        <v>134</v>
      </c>
      <c r="Q141" s="399">
        <v>17</v>
      </c>
      <c r="R141" s="171" t="s">
        <v>98</v>
      </c>
      <c r="S141" s="398" t="s">
        <v>123</v>
      </c>
      <c r="U141" s="420">
        <v>38</v>
      </c>
      <c r="V141" s="171" t="s">
        <v>98</v>
      </c>
      <c r="W141" s="171" t="s">
        <v>38</v>
      </c>
      <c r="Y141" s="171">
        <v>48</v>
      </c>
      <c r="Z141" s="171" t="s">
        <v>98</v>
      </c>
      <c r="AA141" s="171" t="s">
        <v>123</v>
      </c>
      <c r="AC141" s="505">
        <v>37</v>
      </c>
      <c r="AD141" s="505" t="s">
        <v>98</v>
      </c>
      <c r="AE141" s="505" t="s">
        <v>123</v>
      </c>
      <c r="AG141" s="171">
        <v>43</v>
      </c>
      <c r="AH141" s="171" t="s">
        <v>98</v>
      </c>
      <c r="AI141" s="171" t="s">
        <v>38</v>
      </c>
      <c r="AK141" s="299">
        <v>23</v>
      </c>
      <c r="AL141" s="299" t="s">
        <v>81</v>
      </c>
      <c r="AM141" s="299" t="s">
        <v>106</v>
      </c>
      <c r="AO141" s="299">
        <v>5</v>
      </c>
      <c r="AP141" s="299" t="s">
        <v>82</v>
      </c>
      <c r="AQ141" s="299" t="s">
        <v>134</v>
      </c>
    </row>
    <row r="142" spans="1:43" ht="15" customHeight="1" x14ac:dyDescent="0.25">
      <c r="A142">
        <v>19</v>
      </c>
      <c r="B142" t="s">
        <v>98</v>
      </c>
      <c r="C142" t="s">
        <v>38</v>
      </c>
      <c r="E142" s="72">
        <v>66</v>
      </c>
      <c r="F142" t="s">
        <v>97</v>
      </c>
      <c r="G142" t="s">
        <v>688</v>
      </c>
      <c r="I142" s="171">
        <v>56</v>
      </c>
      <c r="J142" s="171" t="s">
        <v>97</v>
      </c>
      <c r="K142" s="171" t="s">
        <v>122</v>
      </c>
      <c r="M142" s="171">
        <v>7</v>
      </c>
      <c r="N142" s="171" t="s">
        <v>97</v>
      </c>
      <c r="O142" s="171" t="s">
        <v>134</v>
      </c>
      <c r="Q142" s="399">
        <v>58</v>
      </c>
      <c r="R142" s="171" t="s">
        <v>98</v>
      </c>
      <c r="S142" s="398" t="s">
        <v>123</v>
      </c>
      <c r="U142" s="420">
        <v>22</v>
      </c>
      <c r="V142" s="171" t="s">
        <v>98</v>
      </c>
      <c r="W142" s="171" t="s">
        <v>38</v>
      </c>
      <c r="Y142" s="171">
        <v>16</v>
      </c>
      <c r="Z142" s="171" t="s">
        <v>98</v>
      </c>
      <c r="AA142" s="171" t="s">
        <v>123</v>
      </c>
      <c r="AC142" s="505">
        <v>58</v>
      </c>
      <c r="AD142" s="505" t="s">
        <v>98</v>
      </c>
      <c r="AE142" s="505" t="s">
        <v>123</v>
      </c>
      <c r="AG142" s="171">
        <v>33</v>
      </c>
      <c r="AH142" s="171" t="s">
        <v>98</v>
      </c>
      <c r="AI142" s="171" t="s">
        <v>38</v>
      </c>
      <c r="AK142" s="299">
        <v>75</v>
      </c>
      <c r="AL142" s="299" t="s">
        <v>81</v>
      </c>
      <c r="AM142" s="299" t="s">
        <v>106</v>
      </c>
      <c r="AO142" s="299">
        <v>10</v>
      </c>
      <c r="AP142" s="299" t="s">
        <v>82</v>
      </c>
      <c r="AQ142" s="299" t="s">
        <v>134</v>
      </c>
    </row>
    <row r="143" spans="1:43" ht="15" customHeight="1" x14ac:dyDescent="0.25">
      <c r="A143">
        <v>27</v>
      </c>
      <c r="B143" t="s">
        <v>98</v>
      </c>
      <c r="C143" t="s">
        <v>38</v>
      </c>
      <c r="E143" s="72">
        <v>66</v>
      </c>
      <c r="F143" t="s">
        <v>98</v>
      </c>
      <c r="G143" t="s">
        <v>688</v>
      </c>
      <c r="I143" s="171">
        <v>75</v>
      </c>
      <c r="J143" s="171" t="s">
        <v>97</v>
      </c>
      <c r="K143" s="171" t="s">
        <v>122</v>
      </c>
      <c r="M143" s="171">
        <v>16</v>
      </c>
      <c r="N143" s="171" t="s">
        <v>98</v>
      </c>
      <c r="O143" s="171" t="s">
        <v>38</v>
      </c>
      <c r="Q143" s="399">
        <v>85</v>
      </c>
      <c r="R143" s="171" t="s">
        <v>98</v>
      </c>
      <c r="S143" s="398" t="s">
        <v>123</v>
      </c>
      <c r="U143" s="420">
        <v>22</v>
      </c>
      <c r="V143" s="171" t="s">
        <v>98</v>
      </c>
      <c r="W143" s="171" t="s">
        <v>38</v>
      </c>
      <c r="Y143" s="171">
        <v>53</v>
      </c>
      <c r="Z143" s="171" t="s">
        <v>98</v>
      </c>
      <c r="AA143" s="171" t="s">
        <v>123</v>
      </c>
      <c r="AC143" s="505">
        <v>51</v>
      </c>
      <c r="AD143" s="505" t="s">
        <v>98</v>
      </c>
      <c r="AE143" s="505" t="s">
        <v>123</v>
      </c>
      <c r="AG143" s="171">
        <v>38</v>
      </c>
      <c r="AH143" s="171" t="s">
        <v>98</v>
      </c>
      <c r="AI143" s="171" t="s">
        <v>38</v>
      </c>
      <c r="AK143" s="299">
        <v>53</v>
      </c>
      <c r="AL143" s="299" t="s">
        <v>81</v>
      </c>
      <c r="AM143" s="299" t="s">
        <v>106</v>
      </c>
      <c r="AO143" s="299">
        <v>9</v>
      </c>
      <c r="AP143" s="299" t="s">
        <v>82</v>
      </c>
      <c r="AQ143" s="299" t="s">
        <v>134</v>
      </c>
    </row>
    <row r="144" spans="1:43" ht="15" customHeight="1" x14ac:dyDescent="0.25">
      <c r="A144">
        <v>27</v>
      </c>
      <c r="B144" t="s">
        <v>98</v>
      </c>
      <c r="C144" t="s">
        <v>38</v>
      </c>
      <c r="E144" s="72">
        <v>66</v>
      </c>
      <c r="F144" t="s">
        <v>97</v>
      </c>
      <c r="G144" t="s">
        <v>122</v>
      </c>
      <c r="I144" s="171">
        <v>54</v>
      </c>
      <c r="J144" s="171" t="s">
        <v>97</v>
      </c>
      <c r="K144" s="171" t="s">
        <v>122</v>
      </c>
      <c r="M144" s="171">
        <v>22</v>
      </c>
      <c r="N144" s="171" t="s">
        <v>98</v>
      </c>
      <c r="O144" s="171" t="s">
        <v>38</v>
      </c>
      <c r="Q144" s="399">
        <v>39</v>
      </c>
      <c r="R144" s="171" t="s">
        <v>98</v>
      </c>
      <c r="S144" s="398" t="s">
        <v>123</v>
      </c>
      <c r="U144" s="420">
        <v>20</v>
      </c>
      <c r="V144" s="171" t="s">
        <v>98</v>
      </c>
      <c r="W144" s="171" t="s">
        <v>38</v>
      </c>
      <c r="Y144" s="171">
        <v>16</v>
      </c>
      <c r="Z144" s="171" t="s">
        <v>98</v>
      </c>
      <c r="AA144" s="171" t="s">
        <v>123</v>
      </c>
      <c r="AC144" s="505">
        <v>78</v>
      </c>
      <c r="AD144" s="505" t="s">
        <v>98</v>
      </c>
      <c r="AE144" s="505" t="s">
        <v>123</v>
      </c>
      <c r="AG144" s="171">
        <v>42</v>
      </c>
      <c r="AH144" s="171" t="s">
        <v>98</v>
      </c>
      <c r="AI144" s="171" t="s">
        <v>38</v>
      </c>
      <c r="AK144" s="299">
        <v>67</v>
      </c>
      <c r="AL144" s="299" t="s">
        <v>81</v>
      </c>
      <c r="AM144" s="299" t="s">
        <v>106</v>
      </c>
      <c r="AO144" s="299">
        <v>7</v>
      </c>
      <c r="AP144" s="299" t="s">
        <v>81</v>
      </c>
      <c r="AQ144" s="299" t="s">
        <v>134</v>
      </c>
    </row>
    <row r="145" spans="1:43" ht="15" customHeight="1" x14ac:dyDescent="0.25">
      <c r="A145">
        <v>37</v>
      </c>
      <c r="B145" t="s">
        <v>98</v>
      </c>
      <c r="C145" t="s">
        <v>38</v>
      </c>
      <c r="E145" s="72">
        <v>65</v>
      </c>
      <c r="F145" t="s">
        <v>97</v>
      </c>
      <c r="G145" t="s">
        <v>688</v>
      </c>
      <c r="I145" s="171">
        <v>79</v>
      </c>
      <c r="J145" s="171" t="s">
        <v>97</v>
      </c>
      <c r="K145" s="171" t="s">
        <v>122</v>
      </c>
      <c r="M145" s="171">
        <v>16</v>
      </c>
      <c r="N145" s="171" t="s">
        <v>98</v>
      </c>
      <c r="O145" s="171" t="s">
        <v>38</v>
      </c>
      <c r="Q145" s="396">
        <v>3</v>
      </c>
      <c r="R145" s="396" t="s">
        <v>98</v>
      </c>
      <c r="S145" s="398" t="s">
        <v>134</v>
      </c>
      <c r="U145" s="171">
        <v>16</v>
      </c>
      <c r="V145" s="171" t="s">
        <v>98</v>
      </c>
      <c r="W145" s="171" t="s">
        <v>56</v>
      </c>
      <c r="Y145" s="171">
        <v>37</v>
      </c>
      <c r="Z145" s="171" t="s">
        <v>98</v>
      </c>
      <c r="AA145" s="171" t="s">
        <v>123</v>
      </c>
      <c r="AC145" s="505">
        <v>56</v>
      </c>
      <c r="AD145" s="505" t="s">
        <v>98</v>
      </c>
      <c r="AE145" s="505" t="s">
        <v>123</v>
      </c>
      <c r="AG145" s="171">
        <v>28</v>
      </c>
      <c r="AH145" s="171" t="s">
        <v>98</v>
      </c>
      <c r="AI145" s="171" t="s">
        <v>38</v>
      </c>
      <c r="AK145" s="299">
        <v>36</v>
      </c>
      <c r="AL145" s="299" t="s">
        <v>81</v>
      </c>
      <c r="AM145" s="299" t="s">
        <v>106</v>
      </c>
      <c r="AO145" s="299" t="s">
        <v>1341</v>
      </c>
      <c r="AP145" s="299" t="s">
        <v>82</v>
      </c>
      <c r="AQ145" s="299" t="s">
        <v>134</v>
      </c>
    </row>
    <row r="146" spans="1:43" ht="15" customHeight="1" x14ac:dyDescent="0.25">
      <c r="A146">
        <v>43</v>
      </c>
      <c r="B146" t="s">
        <v>98</v>
      </c>
      <c r="C146" t="s">
        <v>38</v>
      </c>
      <c r="E146" s="72">
        <v>65</v>
      </c>
      <c r="F146" t="s">
        <v>97</v>
      </c>
      <c r="G146" t="s">
        <v>122</v>
      </c>
      <c r="I146" s="171">
        <v>67</v>
      </c>
      <c r="J146" s="171" t="s">
        <v>97</v>
      </c>
      <c r="K146" s="171" t="s">
        <v>122</v>
      </c>
      <c r="M146" s="171">
        <v>30</v>
      </c>
      <c r="N146" s="171" t="s">
        <v>98</v>
      </c>
      <c r="O146" s="171" t="s">
        <v>38</v>
      </c>
      <c r="Q146" s="399">
        <v>8</v>
      </c>
      <c r="R146" s="399" t="s">
        <v>97</v>
      </c>
      <c r="S146" s="398" t="s">
        <v>134</v>
      </c>
      <c r="U146" s="171">
        <v>35</v>
      </c>
      <c r="V146" s="171" t="s">
        <v>98</v>
      </c>
      <c r="W146" s="171" t="s">
        <v>56</v>
      </c>
      <c r="Y146" s="171">
        <v>32</v>
      </c>
      <c r="Z146" s="171" t="s">
        <v>98</v>
      </c>
      <c r="AA146" s="171" t="s">
        <v>123</v>
      </c>
      <c r="AC146" s="505">
        <v>48</v>
      </c>
      <c r="AD146" s="505" t="s">
        <v>98</v>
      </c>
      <c r="AE146" s="505" t="s">
        <v>123</v>
      </c>
      <c r="AG146" s="171">
        <v>34</v>
      </c>
      <c r="AH146" s="171" t="s">
        <v>98</v>
      </c>
      <c r="AI146" s="171" t="s">
        <v>38</v>
      </c>
      <c r="AK146" s="299">
        <v>43</v>
      </c>
      <c r="AL146" s="299" t="s">
        <v>81</v>
      </c>
      <c r="AM146" s="299" t="s">
        <v>106</v>
      </c>
      <c r="AO146" s="299">
        <v>1</v>
      </c>
      <c r="AP146" s="299" t="s">
        <v>82</v>
      </c>
      <c r="AQ146" s="299" t="s">
        <v>134</v>
      </c>
    </row>
    <row r="147" spans="1:43" ht="15" customHeight="1" x14ac:dyDescent="0.25">
      <c r="A147">
        <v>33</v>
      </c>
      <c r="B147" t="s">
        <v>98</v>
      </c>
      <c r="C147" t="s">
        <v>38</v>
      </c>
      <c r="E147" s="72">
        <v>65</v>
      </c>
      <c r="F147" t="s">
        <v>97</v>
      </c>
      <c r="G147" t="s">
        <v>122</v>
      </c>
      <c r="I147" s="171">
        <v>46</v>
      </c>
      <c r="J147" s="171" t="s">
        <v>97</v>
      </c>
      <c r="K147" s="171" t="s">
        <v>122</v>
      </c>
      <c r="M147" s="171">
        <v>34</v>
      </c>
      <c r="N147" s="171" t="s">
        <v>98</v>
      </c>
      <c r="O147" s="171" t="s">
        <v>38</v>
      </c>
      <c r="Q147" s="399">
        <v>6</v>
      </c>
      <c r="R147" s="399" t="s">
        <v>98</v>
      </c>
      <c r="S147" s="398" t="s">
        <v>134</v>
      </c>
      <c r="U147" s="171">
        <v>21</v>
      </c>
      <c r="V147" s="171" t="s">
        <v>98</v>
      </c>
      <c r="W147" s="171" t="s">
        <v>56</v>
      </c>
      <c r="Y147" s="171">
        <v>53</v>
      </c>
      <c r="Z147" s="171" t="s">
        <v>98</v>
      </c>
      <c r="AA147" s="171" t="s">
        <v>123</v>
      </c>
      <c r="AC147" s="505">
        <v>62</v>
      </c>
      <c r="AD147" s="505" t="s">
        <v>98</v>
      </c>
      <c r="AE147" s="505" t="s">
        <v>123</v>
      </c>
      <c r="AG147" s="171">
        <v>16</v>
      </c>
      <c r="AH147" s="171" t="s">
        <v>98</v>
      </c>
      <c r="AI147" s="171" t="s">
        <v>38</v>
      </c>
      <c r="AK147" s="299">
        <v>68</v>
      </c>
      <c r="AL147" s="299" t="s">
        <v>81</v>
      </c>
      <c r="AM147" s="299" t="s">
        <v>106</v>
      </c>
      <c r="AO147" s="299">
        <v>2</v>
      </c>
      <c r="AP147" s="299" t="s">
        <v>81</v>
      </c>
      <c r="AQ147" s="299" t="s">
        <v>134</v>
      </c>
    </row>
    <row r="148" spans="1:43" ht="15" customHeight="1" x14ac:dyDescent="0.25">
      <c r="A148">
        <v>21</v>
      </c>
      <c r="B148" t="s">
        <v>98</v>
      </c>
      <c r="C148" t="s">
        <v>38</v>
      </c>
      <c r="E148" s="72">
        <v>65</v>
      </c>
      <c r="F148" t="s">
        <v>97</v>
      </c>
      <c r="G148" t="s">
        <v>122</v>
      </c>
      <c r="I148" s="171">
        <v>39</v>
      </c>
      <c r="J148" s="171" t="s">
        <v>97</v>
      </c>
      <c r="K148" s="171" t="s">
        <v>122</v>
      </c>
      <c r="M148" s="171">
        <v>21</v>
      </c>
      <c r="N148" s="171" t="s">
        <v>98</v>
      </c>
      <c r="O148" s="171" t="s">
        <v>38</v>
      </c>
      <c r="Q148" s="399" t="s">
        <v>692</v>
      </c>
      <c r="R148" s="399" t="s">
        <v>97</v>
      </c>
      <c r="S148" s="398" t="s">
        <v>134</v>
      </c>
      <c r="U148" s="171">
        <v>19</v>
      </c>
      <c r="V148" s="171" t="s">
        <v>98</v>
      </c>
      <c r="W148" s="171" t="s">
        <v>56</v>
      </c>
      <c r="Y148" s="171">
        <v>51</v>
      </c>
      <c r="Z148" s="171" t="s">
        <v>98</v>
      </c>
      <c r="AA148" s="171" t="s">
        <v>123</v>
      </c>
      <c r="AC148" s="505">
        <v>35</v>
      </c>
      <c r="AD148" s="505" t="s">
        <v>98</v>
      </c>
      <c r="AE148" s="505" t="s">
        <v>123</v>
      </c>
      <c r="AG148" s="171">
        <v>31</v>
      </c>
      <c r="AH148" s="171" t="s">
        <v>98</v>
      </c>
      <c r="AI148" s="171" t="s">
        <v>38</v>
      </c>
      <c r="AK148" s="299">
        <v>20</v>
      </c>
      <c r="AL148" s="299" t="s">
        <v>81</v>
      </c>
      <c r="AM148" s="299" t="s">
        <v>106</v>
      </c>
      <c r="AO148" s="299">
        <v>1</v>
      </c>
      <c r="AP148" s="299" t="s">
        <v>81</v>
      </c>
      <c r="AQ148" s="299" t="s">
        <v>134</v>
      </c>
    </row>
    <row r="149" spans="1:43" ht="15" customHeight="1" x14ac:dyDescent="0.25">
      <c r="A149">
        <v>25</v>
      </c>
      <c r="B149" t="s">
        <v>98</v>
      </c>
      <c r="C149" t="s">
        <v>38</v>
      </c>
      <c r="E149" s="72">
        <v>65</v>
      </c>
      <c r="F149" t="s">
        <v>98</v>
      </c>
      <c r="G149" t="s">
        <v>123</v>
      </c>
      <c r="I149" s="171">
        <v>36</v>
      </c>
      <c r="J149" s="171" t="s">
        <v>97</v>
      </c>
      <c r="K149" s="171" t="s">
        <v>122</v>
      </c>
      <c r="M149" s="171">
        <v>37</v>
      </c>
      <c r="N149" s="171" t="s">
        <v>98</v>
      </c>
      <c r="O149" s="171" t="s">
        <v>38</v>
      </c>
      <c r="Q149" s="399">
        <v>12</v>
      </c>
      <c r="R149" s="399" t="s">
        <v>97</v>
      </c>
      <c r="S149" s="398" t="s">
        <v>134</v>
      </c>
      <c r="U149" s="171">
        <v>25</v>
      </c>
      <c r="V149" s="171" t="s">
        <v>98</v>
      </c>
      <c r="W149" s="171" t="s">
        <v>56</v>
      </c>
      <c r="Y149" s="171">
        <v>44</v>
      </c>
      <c r="Z149" s="171" t="s">
        <v>98</v>
      </c>
      <c r="AA149" s="171" t="s">
        <v>123</v>
      </c>
      <c r="AC149" s="505">
        <v>65</v>
      </c>
      <c r="AD149" s="505" t="s">
        <v>98</v>
      </c>
      <c r="AE149" s="505" t="s">
        <v>123</v>
      </c>
      <c r="AG149" s="171">
        <v>26</v>
      </c>
      <c r="AH149" s="171" t="s">
        <v>98</v>
      </c>
      <c r="AI149" s="171" t="s">
        <v>38</v>
      </c>
      <c r="AK149" s="299">
        <v>84</v>
      </c>
      <c r="AL149" s="299" t="s">
        <v>81</v>
      </c>
      <c r="AM149" s="299" t="s">
        <v>106</v>
      </c>
      <c r="AO149" s="299">
        <v>8</v>
      </c>
      <c r="AP149" s="299" t="s">
        <v>82</v>
      </c>
      <c r="AQ149" s="299" t="s">
        <v>134</v>
      </c>
    </row>
    <row r="150" spans="1:43" ht="15" customHeight="1" x14ac:dyDescent="0.25">
      <c r="A150">
        <v>19</v>
      </c>
      <c r="B150" t="s">
        <v>98</v>
      </c>
      <c r="C150" t="s">
        <v>38</v>
      </c>
      <c r="E150" s="72">
        <v>65</v>
      </c>
      <c r="F150" t="s">
        <v>98</v>
      </c>
      <c r="G150" t="s">
        <v>123</v>
      </c>
      <c r="I150" s="171">
        <v>28</v>
      </c>
      <c r="J150" s="171" t="s">
        <v>97</v>
      </c>
      <c r="K150" s="171" t="s">
        <v>122</v>
      </c>
      <c r="M150" s="171">
        <v>41</v>
      </c>
      <c r="N150" s="171" t="s">
        <v>98</v>
      </c>
      <c r="O150" s="171" t="s">
        <v>38</v>
      </c>
      <c r="Q150" s="399">
        <v>2</v>
      </c>
      <c r="R150" s="399" t="s">
        <v>97</v>
      </c>
      <c r="S150" s="398" t="s">
        <v>134</v>
      </c>
      <c r="U150" s="171">
        <v>25</v>
      </c>
      <c r="V150" s="171" t="s">
        <v>98</v>
      </c>
      <c r="W150" s="171" t="s">
        <v>56</v>
      </c>
      <c r="Y150" s="171">
        <v>74</v>
      </c>
      <c r="Z150" s="171" t="s">
        <v>98</v>
      </c>
      <c r="AA150" s="171" t="s">
        <v>123</v>
      </c>
      <c r="AC150" s="505">
        <v>40</v>
      </c>
      <c r="AD150" s="505" t="s">
        <v>98</v>
      </c>
      <c r="AE150" s="505" t="s">
        <v>123</v>
      </c>
      <c r="AG150" s="171">
        <v>27</v>
      </c>
      <c r="AH150" s="171" t="s">
        <v>98</v>
      </c>
      <c r="AI150" s="171" t="s">
        <v>38</v>
      </c>
      <c r="AK150" s="299">
        <v>40</v>
      </c>
      <c r="AL150" s="299" t="s">
        <v>81</v>
      </c>
      <c r="AM150" s="299" t="s">
        <v>106</v>
      </c>
      <c r="AO150" s="299">
        <v>4</v>
      </c>
      <c r="AP150" s="299" t="s">
        <v>82</v>
      </c>
      <c r="AQ150" s="299" t="s">
        <v>134</v>
      </c>
    </row>
    <row r="151" spans="1:43" ht="15" customHeight="1" x14ac:dyDescent="0.25">
      <c r="A151">
        <v>35</v>
      </c>
      <c r="B151" t="s">
        <v>98</v>
      </c>
      <c r="C151" t="s">
        <v>38</v>
      </c>
      <c r="E151">
        <v>64</v>
      </c>
      <c r="F151" t="s">
        <v>97</v>
      </c>
      <c r="G151" t="s">
        <v>688</v>
      </c>
      <c r="I151" s="171">
        <v>64</v>
      </c>
      <c r="J151" s="171" t="s">
        <v>97</v>
      </c>
      <c r="K151" s="171" t="s">
        <v>122</v>
      </c>
      <c r="M151" s="171">
        <v>41</v>
      </c>
      <c r="N151" s="171" t="s">
        <v>98</v>
      </c>
      <c r="O151" s="171" t="s">
        <v>38</v>
      </c>
      <c r="Q151" s="399">
        <v>11</v>
      </c>
      <c r="R151" s="399" t="s">
        <v>97</v>
      </c>
      <c r="S151" s="398" t="s">
        <v>134</v>
      </c>
      <c r="U151" s="171">
        <v>40</v>
      </c>
      <c r="V151" s="171" t="s">
        <v>98</v>
      </c>
      <c r="W151" s="171" t="s">
        <v>56</v>
      </c>
      <c r="Y151" s="171">
        <v>54</v>
      </c>
      <c r="Z151" s="171" t="s">
        <v>98</v>
      </c>
      <c r="AA151" s="171" t="s">
        <v>123</v>
      </c>
      <c r="AC151" s="505">
        <v>84</v>
      </c>
      <c r="AD151" s="505" t="s">
        <v>98</v>
      </c>
      <c r="AE151" s="505" t="s">
        <v>123</v>
      </c>
      <c r="AG151" s="171">
        <v>31</v>
      </c>
      <c r="AH151" s="171" t="s">
        <v>98</v>
      </c>
      <c r="AI151" s="171" t="s">
        <v>38</v>
      </c>
      <c r="AK151" s="299">
        <v>26</v>
      </c>
      <c r="AL151" s="299" t="s">
        <v>81</v>
      </c>
      <c r="AM151" s="299" t="s">
        <v>106</v>
      </c>
      <c r="AO151" s="299">
        <v>3</v>
      </c>
      <c r="AP151" s="299" t="s">
        <v>82</v>
      </c>
      <c r="AQ151" s="299" t="s">
        <v>134</v>
      </c>
    </row>
    <row r="152" spans="1:43" ht="15" customHeight="1" x14ac:dyDescent="0.25">
      <c r="A152">
        <v>32</v>
      </c>
      <c r="B152" t="s">
        <v>98</v>
      </c>
      <c r="C152" t="s">
        <v>38</v>
      </c>
      <c r="E152" s="72">
        <v>64</v>
      </c>
      <c r="F152" t="s">
        <v>98</v>
      </c>
      <c r="G152" t="s">
        <v>688</v>
      </c>
      <c r="I152" s="171">
        <v>25</v>
      </c>
      <c r="J152" s="171" t="s">
        <v>97</v>
      </c>
      <c r="K152" s="171" t="s">
        <v>122</v>
      </c>
      <c r="M152" s="171">
        <v>36</v>
      </c>
      <c r="N152" s="171" t="s">
        <v>98</v>
      </c>
      <c r="O152" s="171" t="s">
        <v>38</v>
      </c>
      <c r="Q152" s="399">
        <v>2</v>
      </c>
      <c r="R152" s="399" t="s">
        <v>97</v>
      </c>
      <c r="S152" s="398" t="s">
        <v>134</v>
      </c>
      <c r="U152" s="171">
        <v>35</v>
      </c>
      <c r="V152" s="171" t="s">
        <v>98</v>
      </c>
      <c r="W152" s="171" t="s">
        <v>56</v>
      </c>
      <c r="Y152" s="171">
        <v>57</v>
      </c>
      <c r="Z152" s="171" t="s">
        <v>98</v>
      </c>
      <c r="AA152" s="171" t="s">
        <v>123</v>
      </c>
      <c r="AC152" s="505">
        <v>20</v>
      </c>
      <c r="AD152" s="505" t="s">
        <v>98</v>
      </c>
      <c r="AE152" s="505" t="s">
        <v>123</v>
      </c>
      <c r="AG152" s="171">
        <v>34</v>
      </c>
      <c r="AH152" s="171" t="s">
        <v>98</v>
      </c>
      <c r="AI152" s="171" t="s">
        <v>38</v>
      </c>
      <c r="AK152" s="299">
        <v>44</v>
      </c>
      <c r="AL152" s="299" t="s">
        <v>81</v>
      </c>
      <c r="AM152" s="299" t="s">
        <v>106</v>
      </c>
      <c r="AO152" s="299">
        <v>4</v>
      </c>
      <c r="AP152" s="299" t="s">
        <v>82</v>
      </c>
      <c r="AQ152" s="299" t="s">
        <v>134</v>
      </c>
    </row>
    <row r="153" spans="1:43" ht="15" customHeight="1" x14ac:dyDescent="0.25">
      <c r="A153">
        <v>30</v>
      </c>
      <c r="B153" t="s">
        <v>98</v>
      </c>
      <c r="C153" t="s">
        <v>38</v>
      </c>
      <c r="E153" s="72">
        <v>63</v>
      </c>
      <c r="F153" t="s">
        <v>98</v>
      </c>
      <c r="G153" t="s">
        <v>688</v>
      </c>
      <c r="I153" s="171">
        <v>26</v>
      </c>
      <c r="J153" s="171" t="s">
        <v>97</v>
      </c>
      <c r="K153" s="171" t="s">
        <v>122</v>
      </c>
      <c r="M153" s="171">
        <v>42</v>
      </c>
      <c r="N153" s="171" t="s">
        <v>98</v>
      </c>
      <c r="O153" s="171" t="s">
        <v>38</v>
      </c>
      <c r="Q153" s="399">
        <v>2</v>
      </c>
      <c r="R153" s="399" t="s">
        <v>97</v>
      </c>
      <c r="S153" s="398" t="s">
        <v>134</v>
      </c>
      <c r="U153" s="171">
        <v>19</v>
      </c>
      <c r="V153" s="171" t="s">
        <v>98</v>
      </c>
      <c r="W153" s="171" t="s">
        <v>56</v>
      </c>
      <c r="Y153" s="171">
        <v>62</v>
      </c>
      <c r="Z153" s="171" t="s">
        <v>98</v>
      </c>
      <c r="AA153" s="171" t="s">
        <v>123</v>
      </c>
      <c r="AC153" s="505">
        <v>53</v>
      </c>
      <c r="AD153" s="505" t="s">
        <v>98</v>
      </c>
      <c r="AE153" s="505" t="s">
        <v>123</v>
      </c>
      <c r="AG153" s="171">
        <v>25</v>
      </c>
      <c r="AH153" s="171" t="s">
        <v>98</v>
      </c>
      <c r="AI153" s="171" t="s">
        <v>38</v>
      </c>
      <c r="AK153" s="299">
        <v>15</v>
      </c>
      <c r="AL153" s="299" t="s">
        <v>81</v>
      </c>
      <c r="AM153" s="299" t="s">
        <v>106</v>
      </c>
      <c r="AO153" s="299" t="s">
        <v>1345</v>
      </c>
      <c r="AP153" s="299" t="s">
        <v>81</v>
      </c>
      <c r="AQ153" s="299" t="s">
        <v>134</v>
      </c>
    </row>
    <row r="154" spans="1:43" ht="15" customHeight="1" x14ac:dyDescent="0.25">
      <c r="A154">
        <v>40</v>
      </c>
      <c r="B154" t="s">
        <v>98</v>
      </c>
      <c r="C154" t="s">
        <v>38</v>
      </c>
      <c r="E154" s="72">
        <v>62</v>
      </c>
      <c r="F154" t="s">
        <v>97</v>
      </c>
      <c r="G154" t="s">
        <v>688</v>
      </c>
      <c r="I154" s="171">
        <v>50</v>
      </c>
      <c r="J154" s="171" t="s">
        <v>97</v>
      </c>
      <c r="K154" s="171" t="s">
        <v>122</v>
      </c>
      <c r="M154" s="171">
        <v>21</v>
      </c>
      <c r="N154" s="171" t="s">
        <v>98</v>
      </c>
      <c r="O154" s="171" t="s">
        <v>38</v>
      </c>
      <c r="Q154" s="399">
        <v>3</v>
      </c>
      <c r="R154" s="399" t="s">
        <v>97</v>
      </c>
      <c r="S154" s="398" t="s">
        <v>134</v>
      </c>
      <c r="U154" s="171">
        <v>38</v>
      </c>
      <c r="V154" s="171" t="s">
        <v>98</v>
      </c>
      <c r="W154" s="171" t="s">
        <v>56</v>
      </c>
      <c r="Y154" s="171">
        <v>90</v>
      </c>
      <c r="Z154" s="171" t="s">
        <v>98</v>
      </c>
      <c r="AA154" s="171" t="s">
        <v>123</v>
      </c>
      <c r="AC154" s="505">
        <v>57</v>
      </c>
      <c r="AD154" s="505" t="s">
        <v>98</v>
      </c>
      <c r="AE154" s="505" t="s">
        <v>123</v>
      </c>
      <c r="AG154" s="171">
        <v>17</v>
      </c>
      <c r="AH154" s="171" t="s">
        <v>98</v>
      </c>
      <c r="AI154" s="171" t="s">
        <v>38</v>
      </c>
      <c r="AK154" s="299">
        <v>48</v>
      </c>
      <c r="AL154" s="299" t="s">
        <v>81</v>
      </c>
      <c r="AM154" s="299" t="s">
        <v>106</v>
      </c>
      <c r="AO154" s="299">
        <v>7</v>
      </c>
      <c r="AP154" s="299" t="s">
        <v>82</v>
      </c>
      <c r="AQ154" s="299" t="s">
        <v>134</v>
      </c>
    </row>
    <row r="155" spans="1:43" ht="15" customHeight="1" x14ac:dyDescent="0.25">
      <c r="A155">
        <v>18</v>
      </c>
      <c r="B155" t="s">
        <v>98</v>
      </c>
      <c r="C155" t="s">
        <v>38</v>
      </c>
      <c r="E155" s="72">
        <v>62</v>
      </c>
      <c r="F155" t="s">
        <v>97</v>
      </c>
      <c r="G155" t="s">
        <v>688</v>
      </c>
      <c r="I155" s="171">
        <v>26</v>
      </c>
      <c r="J155" s="171" t="s">
        <v>97</v>
      </c>
      <c r="K155" s="171" t="s">
        <v>122</v>
      </c>
      <c r="M155" s="171">
        <v>18</v>
      </c>
      <c r="N155" s="171" t="s">
        <v>98</v>
      </c>
      <c r="O155" s="171" t="s">
        <v>38</v>
      </c>
      <c r="Q155" s="399">
        <v>12</v>
      </c>
      <c r="R155" s="399" t="s">
        <v>97</v>
      </c>
      <c r="S155" s="398" t="s">
        <v>134</v>
      </c>
      <c r="U155" s="171">
        <v>38</v>
      </c>
      <c r="V155" s="171" t="s">
        <v>98</v>
      </c>
      <c r="W155" s="171" t="s">
        <v>56</v>
      </c>
      <c r="Y155" s="171">
        <v>47</v>
      </c>
      <c r="Z155" s="171" t="s">
        <v>98</v>
      </c>
      <c r="AA155" s="171" t="s">
        <v>123</v>
      </c>
      <c r="AC155" s="505">
        <v>57</v>
      </c>
      <c r="AD155" s="505" t="s">
        <v>98</v>
      </c>
      <c r="AE155" s="505" t="s">
        <v>123</v>
      </c>
      <c r="AG155" s="171">
        <v>38</v>
      </c>
      <c r="AH155" s="171" t="s">
        <v>98</v>
      </c>
      <c r="AI155" s="171" t="s">
        <v>38</v>
      </c>
      <c r="AK155" s="299">
        <v>28</v>
      </c>
      <c r="AL155" s="299" t="s">
        <v>81</v>
      </c>
      <c r="AM155" s="299" t="s">
        <v>106</v>
      </c>
      <c r="AO155" s="299">
        <v>5</v>
      </c>
      <c r="AP155" s="299" t="s">
        <v>82</v>
      </c>
      <c r="AQ155" s="299" t="s">
        <v>134</v>
      </c>
    </row>
    <row r="156" spans="1:43" ht="15" customHeight="1" x14ac:dyDescent="0.25">
      <c r="A156">
        <v>29</v>
      </c>
      <c r="B156" t="s">
        <v>98</v>
      </c>
      <c r="C156" t="s">
        <v>38</v>
      </c>
      <c r="E156" s="72">
        <v>62</v>
      </c>
      <c r="F156" t="s">
        <v>97</v>
      </c>
      <c r="G156" t="s">
        <v>688</v>
      </c>
      <c r="I156" s="171">
        <v>58</v>
      </c>
      <c r="J156" s="171" t="s">
        <v>97</v>
      </c>
      <c r="K156" s="171" t="s">
        <v>122</v>
      </c>
      <c r="M156" s="171">
        <v>27</v>
      </c>
      <c r="N156" s="171" t="s">
        <v>98</v>
      </c>
      <c r="O156" s="171" t="s">
        <v>38</v>
      </c>
      <c r="Q156" s="399">
        <v>6</v>
      </c>
      <c r="R156" s="399" t="s">
        <v>97</v>
      </c>
      <c r="S156" s="398" t="s">
        <v>134</v>
      </c>
      <c r="U156" s="171">
        <v>38</v>
      </c>
      <c r="V156" s="171" t="s">
        <v>98</v>
      </c>
      <c r="W156" s="171" t="s">
        <v>56</v>
      </c>
      <c r="Y156" s="171">
        <v>57</v>
      </c>
      <c r="Z156" s="171" t="s">
        <v>98</v>
      </c>
      <c r="AA156" s="171" t="s">
        <v>123</v>
      </c>
      <c r="AC156" s="505">
        <v>56</v>
      </c>
      <c r="AD156" s="505" t="s">
        <v>98</v>
      </c>
      <c r="AE156" s="505" t="s">
        <v>123</v>
      </c>
      <c r="AG156" s="171">
        <v>26</v>
      </c>
      <c r="AH156" s="171" t="s">
        <v>98</v>
      </c>
      <c r="AI156" s="171" t="s">
        <v>38</v>
      </c>
      <c r="AK156" s="299">
        <v>61</v>
      </c>
      <c r="AL156" s="299" t="s">
        <v>81</v>
      </c>
      <c r="AM156" s="299" t="s">
        <v>106</v>
      </c>
      <c r="AO156" s="299">
        <v>6</v>
      </c>
      <c r="AP156" s="299" t="s">
        <v>81</v>
      </c>
      <c r="AQ156" s="299" t="s">
        <v>134</v>
      </c>
    </row>
    <row r="157" spans="1:43" ht="15" customHeight="1" x14ac:dyDescent="0.25">
      <c r="A157">
        <v>35</v>
      </c>
      <c r="B157" t="s">
        <v>98</v>
      </c>
      <c r="C157" t="s">
        <v>38</v>
      </c>
      <c r="E157" s="72">
        <v>61</v>
      </c>
      <c r="F157" t="s">
        <v>97</v>
      </c>
      <c r="G157" t="s">
        <v>688</v>
      </c>
      <c r="I157" s="171">
        <v>51</v>
      </c>
      <c r="J157" s="171" t="s">
        <v>97</v>
      </c>
      <c r="K157" s="171" t="s">
        <v>122</v>
      </c>
      <c r="M157" s="171">
        <v>23</v>
      </c>
      <c r="N157" s="171" t="s">
        <v>98</v>
      </c>
      <c r="O157" s="171" t="s">
        <v>38</v>
      </c>
      <c r="Q157" s="399" t="s">
        <v>690</v>
      </c>
      <c r="R157" s="399" t="s">
        <v>97</v>
      </c>
      <c r="S157" s="398" t="s">
        <v>134</v>
      </c>
      <c r="U157" s="171">
        <v>40</v>
      </c>
      <c r="V157" s="171" t="s">
        <v>98</v>
      </c>
      <c r="W157" s="171" t="s">
        <v>56</v>
      </c>
      <c r="Y157" s="171">
        <v>88</v>
      </c>
      <c r="Z157" s="171" t="s">
        <v>98</v>
      </c>
      <c r="AA157" s="171" t="s">
        <v>123</v>
      </c>
      <c r="AC157" s="505">
        <v>50</v>
      </c>
      <c r="AD157" s="505" t="s">
        <v>98</v>
      </c>
      <c r="AE157" s="505" t="s">
        <v>123</v>
      </c>
      <c r="AG157" s="171">
        <v>23</v>
      </c>
      <c r="AH157" s="171" t="s">
        <v>98</v>
      </c>
      <c r="AI157" s="171" t="s">
        <v>38</v>
      </c>
      <c r="AK157" s="299">
        <v>53</v>
      </c>
      <c r="AL157" s="299" t="s">
        <v>81</v>
      </c>
      <c r="AM157" s="299" t="s">
        <v>106</v>
      </c>
      <c r="AO157" s="299">
        <v>4</v>
      </c>
      <c r="AP157" s="299" t="s">
        <v>82</v>
      </c>
      <c r="AQ157" s="299" t="s">
        <v>134</v>
      </c>
    </row>
    <row r="158" spans="1:43" ht="15" customHeight="1" x14ac:dyDescent="0.25">
      <c r="A158">
        <v>21</v>
      </c>
      <c r="B158" t="s">
        <v>98</v>
      </c>
      <c r="C158" t="s">
        <v>38</v>
      </c>
      <c r="E158" s="72">
        <v>61</v>
      </c>
      <c r="F158" t="s">
        <v>97</v>
      </c>
      <c r="G158" t="s">
        <v>688</v>
      </c>
      <c r="I158" s="171">
        <v>16</v>
      </c>
      <c r="J158" s="171" t="s">
        <v>97</v>
      </c>
      <c r="K158" s="171" t="s">
        <v>122</v>
      </c>
      <c r="M158" s="171">
        <v>25</v>
      </c>
      <c r="N158" s="171" t="s">
        <v>98</v>
      </c>
      <c r="O158" s="171" t="s">
        <v>38</v>
      </c>
      <c r="Q158" s="399">
        <v>3</v>
      </c>
      <c r="R158" s="399" t="s">
        <v>97</v>
      </c>
      <c r="S158" s="398" t="s">
        <v>134</v>
      </c>
      <c r="U158" s="171">
        <v>24</v>
      </c>
      <c r="V158" s="171" t="s">
        <v>98</v>
      </c>
      <c r="W158" s="171" t="s">
        <v>56</v>
      </c>
      <c r="Y158" s="171">
        <v>2</v>
      </c>
      <c r="Z158" s="171" t="s">
        <v>97</v>
      </c>
      <c r="AA158" s="171" t="s">
        <v>134</v>
      </c>
      <c r="AC158" s="505">
        <v>58</v>
      </c>
      <c r="AD158" s="505" t="s">
        <v>98</v>
      </c>
      <c r="AE158" s="505" t="s">
        <v>123</v>
      </c>
      <c r="AG158" s="171">
        <v>33</v>
      </c>
      <c r="AH158" s="171" t="s">
        <v>98</v>
      </c>
      <c r="AI158" s="171" t="s">
        <v>38</v>
      </c>
      <c r="AK158" s="299">
        <v>14</v>
      </c>
      <c r="AL158" s="299" t="s">
        <v>81</v>
      </c>
      <c r="AM158" s="299" t="s">
        <v>106</v>
      </c>
      <c r="AO158" s="299">
        <v>11</v>
      </c>
      <c r="AP158" s="299" t="s">
        <v>81</v>
      </c>
      <c r="AQ158" s="299" t="s">
        <v>134</v>
      </c>
    </row>
    <row r="159" spans="1:43" ht="15" customHeight="1" x14ac:dyDescent="0.25">
      <c r="A159">
        <v>30</v>
      </c>
      <c r="B159" t="s">
        <v>98</v>
      </c>
      <c r="C159" t="s">
        <v>38</v>
      </c>
      <c r="E159" s="72">
        <v>61</v>
      </c>
      <c r="F159" t="s">
        <v>97</v>
      </c>
      <c r="G159" t="s">
        <v>122</v>
      </c>
      <c r="I159" s="171">
        <v>72</v>
      </c>
      <c r="J159" s="171" t="s">
        <v>97</v>
      </c>
      <c r="K159" s="171" t="s">
        <v>122</v>
      </c>
      <c r="M159" s="171">
        <v>17</v>
      </c>
      <c r="N159" s="171" t="s">
        <v>98</v>
      </c>
      <c r="O159" s="171" t="s">
        <v>38</v>
      </c>
      <c r="Q159" s="399">
        <v>5</v>
      </c>
      <c r="R159" s="399" t="s">
        <v>98</v>
      </c>
      <c r="S159" s="398" t="s">
        <v>134</v>
      </c>
      <c r="U159" s="171">
        <v>34</v>
      </c>
      <c r="V159" s="171" t="s">
        <v>98</v>
      </c>
      <c r="W159" s="171" t="s">
        <v>56</v>
      </c>
      <c r="Y159" s="171">
        <v>10</v>
      </c>
      <c r="Z159" s="171" t="s">
        <v>98</v>
      </c>
      <c r="AA159" s="171" t="s">
        <v>134</v>
      </c>
      <c r="AC159" s="505">
        <v>16</v>
      </c>
      <c r="AD159" s="505" t="s">
        <v>98</v>
      </c>
      <c r="AE159" s="505" t="s">
        <v>123</v>
      </c>
      <c r="AG159" s="171">
        <v>22</v>
      </c>
      <c r="AH159" s="171" t="s">
        <v>98</v>
      </c>
      <c r="AI159" s="171" t="s">
        <v>38</v>
      </c>
      <c r="AK159" s="299">
        <v>55</v>
      </c>
      <c r="AL159" s="299" t="s">
        <v>81</v>
      </c>
      <c r="AM159" s="299" t="s">
        <v>106</v>
      </c>
      <c r="AO159" s="299">
        <v>8</v>
      </c>
      <c r="AP159" s="299" t="s">
        <v>82</v>
      </c>
      <c r="AQ159" s="299" t="s">
        <v>134</v>
      </c>
    </row>
    <row r="160" spans="1:43" ht="15" customHeight="1" x14ac:dyDescent="0.25">
      <c r="A160">
        <v>18</v>
      </c>
      <c r="B160" t="s">
        <v>98</v>
      </c>
      <c r="C160" t="s">
        <v>38</v>
      </c>
      <c r="E160" s="72">
        <v>61</v>
      </c>
      <c r="F160" t="s">
        <v>98</v>
      </c>
      <c r="G160" t="s">
        <v>123</v>
      </c>
      <c r="I160" s="171">
        <v>35</v>
      </c>
      <c r="J160" s="171" t="s">
        <v>97</v>
      </c>
      <c r="K160" s="171" t="s">
        <v>122</v>
      </c>
      <c r="M160" s="171">
        <v>34</v>
      </c>
      <c r="N160" s="171" t="s">
        <v>98</v>
      </c>
      <c r="O160" s="171" t="s">
        <v>38</v>
      </c>
      <c r="Q160" s="399">
        <v>2</v>
      </c>
      <c r="R160" s="399" t="s">
        <v>97</v>
      </c>
      <c r="S160" s="398" t="s">
        <v>134</v>
      </c>
      <c r="U160" s="171">
        <v>27</v>
      </c>
      <c r="V160" s="171" t="s">
        <v>98</v>
      </c>
      <c r="W160" s="171" t="s">
        <v>56</v>
      </c>
      <c r="Y160" s="171" t="s">
        <v>1096</v>
      </c>
      <c r="Z160" s="171" t="s">
        <v>97</v>
      </c>
      <c r="AA160" s="171" t="s">
        <v>134</v>
      </c>
      <c r="AC160" s="505">
        <v>71</v>
      </c>
      <c r="AD160" s="505" t="s">
        <v>98</v>
      </c>
      <c r="AE160" s="505" t="s">
        <v>123</v>
      </c>
      <c r="AG160" s="171">
        <v>33</v>
      </c>
      <c r="AH160" s="171" t="s">
        <v>98</v>
      </c>
      <c r="AI160" s="171" t="s">
        <v>38</v>
      </c>
      <c r="AK160" s="299">
        <v>58</v>
      </c>
      <c r="AL160" s="299" t="s">
        <v>81</v>
      </c>
      <c r="AM160" s="299" t="s">
        <v>106</v>
      </c>
      <c r="AO160" s="299">
        <v>2</v>
      </c>
      <c r="AP160" s="299" t="s">
        <v>82</v>
      </c>
      <c r="AQ160" s="299" t="s">
        <v>134</v>
      </c>
    </row>
    <row r="161" spans="1:43" ht="15" customHeight="1" x14ac:dyDescent="0.25">
      <c r="A161">
        <v>31</v>
      </c>
      <c r="B161" t="s">
        <v>98</v>
      </c>
      <c r="C161" t="s">
        <v>38</v>
      </c>
      <c r="E161" s="72">
        <v>61</v>
      </c>
      <c r="F161" t="s">
        <v>98</v>
      </c>
      <c r="G161" t="s">
        <v>123</v>
      </c>
      <c r="I161" s="171">
        <v>58</v>
      </c>
      <c r="J161" s="171" t="s">
        <v>97</v>
      </c>
      <c r="K161" s="171" t="s">
        <v>122</v>
      </c>
      <c r="M161" s="171">
        <v>30</v>
      </c>
      <c r="N161" s="171" t="s">
        <v>98</v>
      </c>
      <c r="O161" s="171" t="s">
        <v>38</v>
      </c>
      <c r="Q161" s="399" t="s">
        <v>878</v>
      </c>
      <c r="R161" s="399" t="s">
        <v>97</v>
      </c>
      <c r="S161" s="398" t="s">
        <v>134</v>
      </c>
      <c r="U161" s="171">
        <v>26</v>
      </c>
      <c r="V161" s="171" t="s">
        <v>98</v>
      </c>
      <c r="W161" s="171" t="s">
        <v>56</v>
      </c>
      <c r="Y161" s="171" t="s">
        <v>1097</v>
      </c>
      <c r="Z161" s="171" t="s">
        <v>98</v>
      </c>
      <c r="AA161" s="171" t="s">
        <v>134</v>
      </c>
      <c r="AC161" s="505">
        <v>22</v>
      </c>
      <c r="AD161" s="505" t="s">
        <v>98</v>
      </c>
      <c r="AE161" s="505" t="s">
        <v>123</v>
      </c>
      <c r="AG161" s="171">
        <v>37</v>
      </c>
      <c r="AH161" s="171" t="s">
        <v>98</v>
      </c>
      <c r="AI161" s="171" t="s">
        <v>38</v>
      </c>
      <c r="AK161" s="299">
        <v>54</v>
      </c>
      <c r="AL161" s="299" t="s">
        <v>81</v>
      </c>
      <c r="AM161" s="299" t="s">
        <v>106</v>
      </c>
      <c r="AO161" s="299">
        <v>3</v>
      </c>
      <c r="AP161" s="299" t="s">
        <v>82</v>
      </c>
      <c r="AQ161" s="299" t="s">
        <v>134</v>
      </c>
    </row>
    <row r="162" spans="1:43" ht="15" customHeight="1" x14ac:dyDescent="0.25">
      <c r="A162">
        <v>26</v>
      </c>
      <c r="B162" t="s">
        <v>98</v>
      </c>
      <c r="C162" t="s">
        <v>38</v>
      </c>
      <c r="E162" s="72">
        <v>61</v>
      </c>
      <c r="F162" t="s">
        <v>98</v>
      </c>
      <c r="G162" t="s">
        <v>123</v>
      </c>
      <c r="I162" s="171">
        <v>38</v>
      </c>
      <c r="J162" s="171" t="s">
        <v>97</v>
      </c>
      <c r="K162" s="171" t="s">
        <v>122</v>
      </c>
      <c r="M162" s="171">
        <v>32</v>
      </c>
      <c r="N162" s="171" t="s">
        <v>98</v>
      </c>
      <c r="O162" s="171" t="s">
        <v>38</v>
      </c>
      <c r="Q162" s="399">
        <v>3</v>
      </c>
      <c r="R162" s="399" t="s">
        <v>98</v>
      </c>
      <c r="S162" s="398" t="s">
        <v>134</v>
      </c>
      <c r="U162" s="171">
        <v>32</v>
      </c>
      <c r="V162" s="171" t="s">
        <v>98</v>
      </c>
      <c r="W162" s="171" t="s">
        <v>56</v>
      </c>
      <c r="Y162" s="171">
        <v>1</v>
      </c>
      <c r="Z162" s="171" t="s">
        <v>98</v>
      </c>
      <c r="AA162" s="171" t="s">
        <v>134</v>
      </c>
      <c r="AC162" s="505">
        <v>34</v>
      </c>
      <c r="AD162" s="505" t="s">
        <v>98</v>
      </c>
      <c r="AE162" s="505" t="s">
        <v>123</v>
      </c>
      <c r="AG162" s="171">
        <v>33</v>
      </c>
      <c r="AH162" s="171" t="s">
        <v>98</v>
      </c>
      <c r="AI162" s="171" t="s">
        <v>38</v>
      </c>
      <c r="AK162" s="299">
        <v>57</v>
      </c>
      <c r="AL162" s="299" t="s">
        <v>81</v>
      </c>
      <c r="AM162" s="299" t="s">
        <v>106</v>
      </c>
      <c r="AO162" s="299">
        <v>2</v>
      </c>
      <c r="AP162" s="299" t="s">
        <v>82</v>
      </c>
      <c r="AQ162" s="299" t="s">
        <v>134</v>
      </c>
    </row>
    <row r="163" spans="1:43" ht="15" customHeight="1" x14ac:dyDescent="0.25">
      <c r="A163">
        <v>42</v>
      </c>
      <c r="B163" t="s">
        <v>98</v>
      </c>
      <c r="C163" t="s">
        <v>38</v>
      </c>
      <c r="E163" s="72">
        <v>60</v>
      </c>
      <c r="F163" t="s">
        <v>97</v>
      </c>
      <c r="G163" t="s">
        <v>122</v>
      </c>
      <c r="I163" s="171">
        <v>83</v>
      </c>
      <c r="J163" s="171" t="s">
        <v>97</v>
      </c>
      <c r="K163" s="171" t="s">
        <v>122</v>
      </c>
      <c r="M163" s="171">
        <v>19</v>
      </c>
      <c r="N163" s="171" t="s">
        <v>98</v>
      </c>
      <c r="O163" s="171" t="s">
        <v>38</v>
      </c>
      <c r="Q163" s="399">
        <v>2</v>
      </c>
      <c r="R163" s="399" t="s">
        <v>97</v>
      </c>
      <c r="S163" s="398" t="s">
        <v>134</v>
      </c>
      <c r="U163" s="171">
        <v>32</v>
      </c>
      <c r="V163" s="171" t="s">
        <v>98</v>
      </c>
      <c r="W163" s="171" t="s">
        <v>56</v>
      </c>
      <c r="Y163" s="171" t="s">
        <v>1098</v>
      </c>
      <c r="Z163" s="171" t="s">
        <v>97</v>
      </c>
      <c r="AA163" s="171" t="s">
        <v>134</v>
      </c>
      <c r="AC163" s="505">
        <v>24</v>
      </c>
      <c r="AD163" s="505" t="s">
        <v>98</v>
      </c>
      <c r="AE163" s="505" t="s">
        <v>123</v>
      </c>
      <c r="AG163" s="171">
        <v>18</v>
      </c>
      <c r="AH163" s="171" t="s">
        <v>98</v>
      </c>
      <c r="AI163" s="171" t="s">
        <v>38</v>
      </c>
      <c r="AK163" s="299">
        <v>69</v>
      </c>
      <c r="AL163" s="299" t="s">
        <v>81</v>
      </c>
      <c r="AM163" s="299" t="s">
        <v>106</v>
      </c>
      <c r="AO163" s="299">
        <v>3</v>
      </c>
      <c r="AP163" s="299" t="s">
        <v>81</v>
      </c>
      <c r="AQ163" s="299" t="s">
        <v>134</v>
      </c>
    </row>
    <row r="164" spans="1:43" ht="15" customHeight="1" x14ac:dyDescent="0.25">
      <c r="A164">
        <v>27</v>
      </c>
      <c r="B164" t="s">
        <v>98</v>
      </c>
      <c r="C164" t="s">
        <v>38</v>
      </c>
      <c r="E164" s="72">
        <v>60</v>
      </c>
      <c r="F164" t="s">
        <v>97</v>
      </c>
      <c r="G164" t="s">
        <v>122</v>
      </c>
      <c r="I164" s="171">
        <v>24</v>
      </c>
      <c r="J164" s="171" t="s">
        <v>97</v>
      </c>
      <c r="K164" s="171" t="s">
        <v>122</v>
      </c>
      <c r="M164" s="171">
        <v>36</v>
      </c>
      <c r="N164" s="171" t="s">
        <v>98</v>
      </c>
      <c r="O164" s="171" t="s">
        <v>38</v>
      </c>
      <c r="Q164" s="399">
        <v>8</v>
      </c>
      <c r="R164" s="399" t="s">
        <v>97</v>
      </c>
      <c r="S164" s="398" t="s">
        <v>134</v>
      </c>
      <c r="U164" s="171">
        <v>37</v>
      </c>
      <c r="V164" s="171" t="s">
        <v>98</v>
      </c>
      <c r="W164" s="171" t="s">
        <v>56</v>
      </c>
      <c r="Y164" s="171">
        <v>2</v>
      </c>
      <c r="Z164" s="171" t="s">
        <v>98</v>
      </c>
      <c r="AA164" s="171" t="s">
        <v>134</v>
      </c>
      <c r="AC164" s="505">
        <v>70</v>
      </c>
      <c r="AD164" s="505" t="s">
        <v>98</v>
      </c>
      <c r="AE164" s="505" t="s">
        <v>123</v>
      </c>
      <c r="AG164" s="171">
        <v>33</v>
      </c>
      <c r="AH164" s="171" t="s">
        <v>98</v>
      </c>
      <c r="AI164" s="171" t="s">
        <v>56</v>
      </c>
      <c r="AK164" s="299">
        <v>42</v>
      </c>
      <c r="AL164" s="299" t="s">
        <v>81</v>
      </c>
      <c r="AM164" s="299" t="s">
        <v>106</v>
      </c>
      <c r="AO164" s="299" t="s">
        <v>1366</v>
      </c>
      <c r="AP164" s="299" t="s">
        <v>82</v>
      </c>
      <c r="AQ164" s="299" t="s">
        <v>134</v>
      </c>
    </row>
    <row r="165" spans="1:43" ht="15" customHeight="1" x14ac:dyDescent="0.25">
      <c r="A165">
        <v>34</v>
      </c>
      <c r="B165" t="s">
        <v>98</v>
      </c>
      <c r="C165" t="s">
        <v>38</v>
      </c>
      <c r="E165" s="72">
        <v>60</v>
      </c>
      <c r="F165" t="s">
        <v>98</v>
      </c>
      <c r="G165" t="s">
        <v>123</v>
      </c>
      <c r="I165" s="171">
        <v>30</v>
      </c>
      <c r="J165" s="171" t="s">
        <v>97</v>
      </c>
      <c r="K165" s="171" t="s">
        <v>122</v>
      </c>
      <c r="M165" s="171">
        <v>22</v>
      </c>
      <c r="N165" s="171" t="s">
        <v>98</v>
      </c>
      <c r="O165" s="171" t="s">
        <v>38</v>
      </c>
      <c r="Q165" s="399">
        <v>3</v>
      </c>
      <c r="R165" s="399" t="s">
        <v>97</v>
      </c>
      <c r="S165" s="398" t="s">
        <v>134</v>
      </c>
      <c r="U165" s="171">
        <v>31</v>
      </c>
      <c r="V165" s="171" t="s">
        <v>98</v>
      </c>
      <c r="W165" s="171" t="s">
        <v>56</v>
      </c>
      <c r="Y165" s="171">
        <v>2</v>
      </c>
      <c r="Z165" s="171" t="s">
        <v>98</v>
      </c>
      <c r="AA165" s="171" t="s">
        <v>134</v>
      </c>
      <c r="AC165" s="505">
        <v>58</v>
      </c>
      <c r="AD165" s="505" t="s">
        <v>98</v>
      </c>
      <c r="AE165" s="505" t="s">
        <v>123</v>
      </c>
      <c r="AG165" s="171">
        <v>31</v>
      </c>
      <c r="AH165" s="171" t="s">
        <v>98</v>
      </c>
      <c r="AI165" s="171" t="s">
        <v>56</v>
      </c>
      <c r="AK165" s="545">
        <v>45</v>
      </c>
      <c r="AL165" s="545" t="s">
        <v>81</v>
      </c>
      <c r="AM165" s="545" t="s">
        <v>106</v>
      </c>
      <c r="AO165" s="503">
        <v>2</v>
      </c>
      <c r="AP165" s="503" t="s">
        <v>82</v>
      </c>
      <c r="AQ165" s="299" t="s">
        <v>134</v>
      </c>
    </row>
    <row r="166" spans="1:43" ht="15" customHeight="1" x14ac:dyDescent="0.25">
      <c r="A166">
        <v>47</v>
      </c>
      <c r="B166" t="s">
        <v>98</v>
      </c>
      <c r="C166" t="s">
        <v>38</v>
      </c>
      <c r="E166" s="72">
        <v>59</v>
      </c>
      <c r="F166" t="s">
        <v>98</v>
      </c>
      <c r="G166" t="s">
        <v>688</v>
      </c>
      <c r="I166" s="171">
        <v>22</v>
      </c>
      <c r="J166" s="171" t="s">
        <v>97</v>
      </c>
      <c r="K166" s="171" t="s">
        <v>122</v>
      </c>
      <c r="M166" s="171">
        <v>36</v>
      </c>
      <c r="N166" s="171" t="s">
        <v>98</v>
      </c>
      <c r="O166" s="171" t="s">
        <v>38</v>
      </c>
      <c r="Q166" s="399">
        <v>1</v>
      </c>
      <c r="R166" s="399" t="s">
        <v>97</v>
      </c>
      <c r="S166" s="398" t="s">
        <v>134</v>
      </c>
      <c r="U166" s="171">
        <v>39</v>
      </c>
      <c r="V166" s="171" t="s">
        <v>98</v>
      </c>
      <c r="W166" s="171" t="s">
        <v>56</v>
      </c>
      <c r="Y166" s="171">
        <v>11</v>
      </c>
      <c r="Z166" s="171" t="s">
        <v>97</v>
      </c>
      <c r="AA166" s="171" t="s">
        <v>134</v>
      </c>
      <c r="AC166" s="505">
        <v>18</v>
      </c>
      <c r="AD166" s="505" t="s">
        <v>98</v>
      </c>
      <c r="AE166" s="505" t="s">
        <v>123</v>
      </c>
      <c r="AG166" s="171">
        <v>18</v>
      </c>
      <c r="AH166" s="171" t="s">
        <v>98</v>
      </c>
      <c r="AI166" s="171" t="s">
        <v>56</v>
      </c>
      <c r="AK166" s="299">
        <v>45</v>
      </c>
      <c r="AL166" s="299" t="s">
        <v>81</v>
      </c>
      <c r="AM166" s="299" t="s">
        <v>1330</v>
      </c>
      <c r="AO166" s="299">
        <v>8</v>
      </c>
      <c r="AP166" s="299" t="s">
        <v>81</v>
      </c>
      <c r="AQ166" s="299" t="s">
        <v>134</v>
      </c>
    </row>
    <row r="167" spans="1:43" ht="15" customHeight="1" x14ac:dyDescent="0.25">
      <c r="A167">
        <v>34</v>
      </c>
      <c r="B167" t="s">
        <v>98</v>
      </c>
      <c r="C167" t="s">
        <v>38</v>
      </c>
      <c r="E167" s="72">
        <v>59</v>
      </c>
      <c r="F167" t="s">
        <v>98</v>
      </c>
      <c r="G167" t="s">
        <v>688</v>
      </c>
      <c r="I167" s="171">
        <v>78</v>
      </c>
      <c r="J167" s="171" t="s">
        <v>97</v>
      </c>
      <c r="K167" s="171" t="s">
        <v>122</v>
      </c>
      <c r="M167" s="171">
        <v>34</v>
      </c>
      <c r="N167" s="171" t="s">
        <v>98</v>
      </c>
      <c r="O167" s="171" t="s">
        <v>38</v>
      </c>
      <c r="Q167" s="399">
        <v>9</v>
      </c>
      <c r="R167" s="399" t="s">
        <v>98</v>
      </c>
      <c r="S167" s="398" t="s">
        <v>134</v>
      </c>
      <c r="U167" s="171">
        <v>34</v>
      </c>
      <c r="V167" s="171" t="s">
        <v>98</v>
      </c>
      <c r="W167" s="171" t="s">
        <v>56</v>
      </c>
      <c r="Y167" s="171">
        <v>3</v>
      </c>
      <c r="Z167" s="171" t="s">
        <v>98</v>
      </c>
      <c r="AA167" s="171" t="s">
        <v>134</v>
      </c>
      <c r="AC167" s="505">
        <v>34</v>
      </c>
      <c r="AD167" s="505" t="s">
        <v>98</v>
      </c>
      <c r="AE167" s="505" t="s">
        <v>123</v>
      </c>
      <c r="AG167" s="171">
        <v>46</v>
      </c>
      <c r="AH167" s="171" t="s">
        <v>98</v>
      </c>
      <c r="AI167" s="171" t="s">
        <v>56</v>
      </c>
      <c r="AK167" s="299">
        <v>34</v>
      </c>
      <c r="AL167" s="299" t="s">
        <v>81</v>
      </c>
      <c r="AM167" s="299" t="s">
        <v>1330</v>
      </c>
      <c r="AO167" s="299">
        <v>8</v>
      </c>
      <c r="AP167" s="299" t="s">
        <v>81</v>
      </c>
      <c r="AQ167" s="299" t="s">
        <v>134</v>
      </c>
    </row>
    <row r="168" spans="1:43" ht="15" customHeight="1" x14ac:dyDescent="0.25">
      <c r="A168">
        <v>31</v>
      </c>
      <c r="B168" t="s">
        <v>98</v>
      </c>
      <c r="C168" t="s">
        <v>38</v>
      </c>
      <c r="E168" s="72">
        <v>59</v>
      </c>
      <c r="F168" t="s">
        <v>98</v>
      </c>
      <c r="G168" t="s">
        <v>688</v>
      </c>
      <c r="I168" s="171">
        <v>75</v>
      </c>
      <c r="J168" s="171" t="s">
        <v>97</v>
      </c>
      <c r="K168" s="171" t="s">
        <v>122</v>
      </c>
      <c r="M168" s="171">
        <v>16</v>
      </c>
      <c r="N168" s="171" t="s">
        <v>98</v>
      </c>
      <c r="O168" s="171" t="s">
        <v>38</v>
      </c>
      <c r="Q168" s="399">
        <v>12</v>
      </c>
      <c r="R168" s="399" t="s">
        <v>97</v>
      </c>
      <c r="S168" s="398" t="s">
        <v>134</v>
      </c>
      <c r="U168" s="171">
        <v>33</v>
      </c>
      <c r="V168" s="171" t="s">
        <v>98</v>
      </c>
      <c r="W168" s="171" t="s">
        <v>56</v>
      </c>
      <c r="Y168" s="171">
        <v>4</v>
      </c>
      <c r="Z168" s="171" t="s">
        <v>97</v>
      </c>
      <c r="AA168" s="171" t="s">
        <v>134</v>
      </c>
      <c r="AC168" s="505">
        <v>40</v>
      </c>
      <c r="AD168" s="505" t="s">
        <v>98</v>
      </c>
      <c r="AE168" s="505" t="s">
        <v>123</v>
      </c>
      <c r="AG168" s="171">
        <v>22</v>
      </c>
      <c r="AH168" s="171" t="s">
        <v>98</v>
      </c>
      <c r="AI168" s="171" t="s">
        <v>56</v>
      </c>
      <c r="AK168" s="299">
        <v>38</v>
      </c>
      <c r="AL168" s="299" t="s">
        <v>81</v>
      </c>
      <c r="AM168" s="299" t="s">
        <v>1330</v>
      </c>
      <c r="AO168" s="299">
        <v>11</v>
      </c>
      <c r="AP168" s="299" t="s">
        <v>82</v>
      </c>
      <c r="AQ168" s="299" t="s">
        <v>134</v>
      </c>
    </row>
    <row r="169" spans="1:43" ht="15" customHeight="1" x14ac:dyDescent="0.25">
      <c r="A169">
        <v>20</v>
      </c>
      <c r="B169" t="s">
        <v>98</v>
      </c>
      <c r="C169" t="s">
        <v>38</v>
      </c>
      <c r="E169" s="72">
        <v>59</v>
      </c>
      <c r="F169" t="s">
        <v>97</v>
      </c>
      <c r="G169" t="s">
        <v>122</v>
      </c>
      <c r="I169" s="171">
        <v>36</v>
      </c>
      <c r="J169" s="171" t="s">
        <v>97</v>
      </c>
      <c r="K169" s="171" t="s">
        <v>122</v>
      </c>
      <c r="M169" s="171">
        <v>40</v>
      </c>
      <c r="N169" s="171" t="s">
        <v>98</v>
      </c>
      <c r="O169" s="171" t="s">
        <v>38</v>
      </c>
      <c r="Q169" s="399">
        <v>2</v>
      </c>
      <c r="R169" s="399" t="s">
        <v>97</v>
      </c>
      <c r="S169" s="398" t="s">
        <v>134</v>
      </c>
      <c r="U169" s="171">
        <v>36</v>
      </c>
      <c r="V169" s="171" t="s">
        <v>98</v>
      </c>
      <c r="W169" s="171" t="s">
        <v>56</v>
      </c>
      <c r="Y169" s="171">
        <v>2</v>
      </c>
      <c r="Z169" s="171" t="s">
        <v>97</v>
      </c>
      <c r="AA169" s="171" t="s">
        <v>134</v>
      </c>
      <c r="AC169" s="505">
        <v>84</v>
      </c>
      <c r="AD169" s="505" t="s">
        <v>98</v>
      </c>
      <c r="AE169" s="505" t="s">
        <v>123</v>
      </c>
      <c r="AG169" s="171">
        <v>19</v>
      </c>
      <c r="AH169" s="171" t="s">
        <v>98</v>
      </c>
      <c r="AI169" s="171" t="s">
        <v>56</v>
      </c>
      <c r="AK169" s="299">
        <v>26</v>
      </c>
      <c r="AL169" s="299" t="s">
        <v>81</v>
      </c>
      <c r="AM169" s="299" t="s">
        <v>1330</v>
      </c>
      <c r="AO169" s="299" t="s">
        <v>1344</v>
      </c>
      <c r="AP169" s="299" t="s">
        <v>81</v>
      </c>
      <c r="AQ169" s="299" t="s">
        <v>134</v>
      </c>
    </row>
    <row r="170" spans="1:43" ht="15" customHeight="1" x14ac:dyDescent="0.25">
      <c r="A170">
        <v>60</v>
      </c>
      <c r="B170" t="s">
        <v>98</v>
      </c>
      <c r="C170" t="s">
        <v>38</v>
      </c>
      <c r="E170" s="72">
        <v>59</v>
      </c>
      <c r="F170" t="s">
        <v>98</v>
      </c>
      <c r="G170" t="s">
        <v>123</v>
      </c>
      <c r="I170" s="171">
        <v>84</v>
      </c>
      <c r="J170" s="171" t="s">
        <v>97</v>
      </c>
      <c r="K170" s="171" t="s">
        <v>122</v>
      </c>
      <c r="M170" s="171">
        <v>47</v>
      </c>
      <c r="N170" s="171" t="s">
        <v>98</v>
      </c>
      <c r="O170" s="171" t="s">
        <v>38</v>
      </c>
      <c r="Q170" s="399">
        <v>7</v>
      </c>
      <c r="R170" s="399" t="s">
        <v>97</v>
      </c>
      <c r="S170" s="398" t="s">
        <v>134</v>
      </c>
      <c r="U170" s="171">
        <v>34</v>
      </c>
      <c r="V170" s="171" t="s">
        <v>98</v>
      </c>
      <c r="W170" s="171" t="s">
        <v>56</v>
      </c>
      <c r="Y170" s="171">
        <v>3</v>
      </c>
      <c r="Z170" s="171" t="s">
        <v>98</v>
      </c>
      <c r="AA170" s="171" t="s">
        <v>134</v>
      </c>
      <c r="AC170" s="505">
        <v>55</v>
      </c>
      <c r="AD170" s="505" t="s">
        <v>98</v>
      </c>
      <c r="AE170" s="505" t="s">
        <v>123</v>
      </c>
      <c r="AG170" s="171">
        <v>35</v>
      </c>
      <c r="AH170" s="171" t="s">
        <v>98</v>
      </c>
      <c r="AI170" s="171" t="s">
        <v>56</v>
      </c>
      <c r="AK170" s="299">
        <v>23</v>
      </c>
      <c r="AL170" s="299" t="s">
        <v>81</v>
      </c>
      <c r="AM170" s="299" t="s">
        <v>1330</v>
      </c>
      <c r="AO170" s="299">
        <v>8</v>
      </c>
      <c r="AP170" s="299" t="s">
        <v>82</v>
      </c>
      <c r="AQ170" s="299" t="s">
        <v>134</v>
      </c>
    </row>
    <row r="171" spans="1:43" ht="15" customHeight="1" x14ac:dyDescent="0.25">
      <c r="A171">
        <v>34</v>
      </c>
      <c r="B171" t="s">
        <v>98</v>
      </c>
      <c r="C171" t="s">
        <v>38</v>
      </c>
      <c r="E171" s="72">
        <v>58</v>
      </c>
      <c r="F171" t="s">
        <v>98</v>
      </c>
      <c r="G171" t="s">
        <v>688</v>
      </c>
      <c r="I171" s="171">
        <v>52</v>
      </c>
      <c r="J171" s="171" t="s">
        <v>97</v>
      </c>
      <c r="K171" s="171" t="s">
        <v>122</v>
      </c>
      <c r="M171" s="171">
        <v>25</v>
      </c>
      <c r="N171" s="171" t="s">
        <v>98</v>
      </c>
      <c r="O171" s="171" t="s">
        <v>38</v>
      </c>
      <c r="Q171" s="399">
        <v>1</v>
      </c>
      <c r="R171" s="399" t="s">
        <v>97</v>
      </c>
      <c r="S171" s="398" t="s">
        <v>134</v>
      </c>
      <c r="U171" s="171">
        <v>37</v>
      </c>
      <c r="V171" s="171" t="s">
        <v>98</v>
      </c>
      <c r="W171" s="171" t="s">
        <v>56</v>
      </c>
      <c r="Y171" s="171">
        <v>3</v>
      </c>
      <c r="Z171" s="171" t="s">
        <v>97</v>
      </c>
      <c r="AA171" s="171" t="s">
        <v>134</v>
      </c>
      <c r="AC171" s="505">
        <v>85</v>
      </c>
      <c r="AD171" s="505" t="s">
        <v>98</v>
      </c>
      <c r="AE171" s="505" t="s">
        <v>123</v>
      </c>
      <c r="AG171" s="171">
        <v>40</v>
      </c>
      <c r="AH171" s="171" t="s">
        <v>98</v>
      </c>
      <c r="AI171" s="171" t="s">
        <v>56</v>
      </c>
      <c r="AK171" s="299">
        <v>17</v>
      </c>
      <c r="AL171" s="299" t="s">
        <v>81</v>
      </c>
      <c r="AM171" s="299" t="s">
        <v>1330</v>
      </c>
      <c r="AO171" s="299">
        <v>2</v>
      </c>
      <c r="AP171" s="299" t="s">
        <v>81</v>
      </c>
      <c r="AQ171" s="299" t="s">
        <v>134</v>
      </c>
    </row>
    <row r="172" spans="1:43" ht="15" customHeight="1" x14ac:dyDescent="0.25">
      <c r="A172">
        <v>32</v>
      </c>
      <c r="B172" t="s">
        <v>98</v>
      </c>
      <c r="C172" t="s">
        <v>38</v>
      </c>
      <c r="E172" s="72">
        <v>58</v>
      </c>
      <c r="F172" t="s">
        <v>97</v>
      </c>
      <c r="G172" t="s">
        <v>122</v>
      </c>
      <c r="I172" s="171">
        <v>47</v>
      </c>
      <c r="J172" s="171" t="s">
        <v>97</v>
      </c>
      <c r="K172" s="171" t="s">
        <v>122</v>
      </c>
      <c r="M172" s="171">
        <v>31</v>
      </c>
      <c r="N172" s="171" t="s">
        <v>98</v>
      </c>
      <c r="O172" s="171" t="s">
        <v>38</v>
      </c>
      <c r="Q172" s="399">
        <v>8</v>
      </c>
      <c r="R172" s="399" t="s">
        <v>98</v>
      </c>
      <c r="S172" s="398" t="s">
        <v>134</v>
      </c>
      <c r="U172" s="171">
        <v>30</v>
      </c>
      <c r="V172" s="171" t="s">
        <v>98</v>
      </c>
      <c r="W172" s="171" t="s">
        <v>56</v>
      </c>
      <c r="Y172" s="171">
        <v>11</v>
      </c>
      <c r="Z172" s="171" t="s">
        <v>98</v>
      </c>
      <c r="AA172" s="171" t="s">
        <v>134</v>
      </c>
      <c r="AC172" s="505">
        <v>61</v>
      </c>
      <c r="AD172" s="505" t="s">
        <v>98</v>
      </c>
      <c r="AE172" s="505" t="s">
        <v>123</v>
      </c>
      <c r="AG172" s="171">
        <v>28</v>
      </c>
      <c r="AH172" s="171" t="s">
        <v>98</v>
      </c>
      <c r="AI172" s="171" t="s">
        <v>56</v>
      </c>
      <c r="AK172" s="299">
        <v>27</v>
      </c>
      <c r="AL172" s="299" t="s">
        <v>81</v>
      </c>
      <c r="AM172" s="299" t="s">
        <v>1330</v>
      </c>
      <c r="AO172" s="299">
        <v>3</v>
      </c>
      <c r="AP172" s="299" t="s">
        <v>82</v>
      </c>
      <c r="AQ172" s="299" t="s">
        <v>134</v>
      </c>
    </row>
    <row r="173" spans="1:43" ht="15" customHeight="1" x14ac:dyDescent="0.25">
      <c r="A173">
        <v>26</v>
      </c>
      <c r="B173" t="s">
        <v>98</v>
      </c>
      <c r="C173" t="s">
        <v>38</v>
      </c>
      <c r="E173" s="72">
        <v>58</v>
      </c>
      <c r="F173" t="s">
        <v>97</v>
      </c>
      <c r="G173" t="s">
        <v>122</v>
      </c>
      <c r="I173" s="171">
        <v>54</v>
      </c>
      <c r="J173" s="171" t="s">
        <v>97</v>
      </c>
      <c r="K173" s="171" t="s">
        <v>122</v>
      </c>
      <c r="M173" s="171">
        <v>33</v>
      </c>
      <c r="N173" s="171" t="s">
        <v>98</v>
      </c>
      <c r="O173" s="171" t="s">
        <v>38</v>
      </c>
      <c r="Q173" s="399">
        <v>5</v>
      </c>
      <c r="R173" s="399" t="s">
        <v>98</v>
      </c>
      <c r="S173" s="398" t="s">
        <v>134</v>
      </c>
      <c r="U173" s="171">
        <v>31</v>
      </c>
      <c r="V173" s="171" t="s">
        <v>98</v>
      </c>
      <c r="W173" s="171" t="s">
        <v>56</v>
      </c>
      <c r="Y173" s="171">
        <v>7</v>
      </c>
      <c r="Z173" s="171" t="s">
        <v>98</v>
      </c>
      <c r="AA173" s="171" t="s">
        <v>134</v>
      </c>
      <c r="AC173" s="505">
        <v>49</v>
      </c>
      <c r="AD173" s="505" t="s">
        <v>98</v>
      </c>
      <c r="AE173" s="505" t="s">
        <v>123</v>
      </c>
      <c r="AG173" s="171">
        <v>32</v>
      </c>
      <c r="AH173" s="171" t="s">
        <v>98</v>
      </c>
      <c r="AI173" s="171" t="s">
        <v>56</v>
      </c>
      <c r="AK173" s="299">
        <v>60</v>
      </c>
      <c r="AL173" s="299" t="s">
        <v>81</v>
      </c>
      <c r="AM173" s="299" t="s">
        <v>1330</v>
      </c>
      <c r="AO173" s="299">
        <v>2</v>
      </c>
      <c r="AP173" s="299" t="s">
        <v>82</v>
      </c>
      <c r="AQ173" s="299" t="s">
        <v>134</v>
      </c>
    </row>
    <row r="174" spans="1:43" ht="15" customHeight="1" x14ac:dyDescent="0.25">
      <c r="A174">
        <v>21</v>
      </c>
      <c r="B174" t="s">
        <v>98</v>
      </c>
      <c r="C174" t="s">
        <v>38</v>
      </c>
      <c r="E174" s="72">
        <v>58</v>
      </c>
      <c r="F174" t="s">
        <v>98</v>
      </c>
      <c r="G174" t="s">
        <v>123</v>
      </c>
      <c r="I174" s="171">
        <v>61</v>
      </c>
      <c r="J174" s="171" t="s">
        <v>97</v>
      </c>
      <c r="K174" s="171" t="s">
        <v>122</v>
      </c>
      <c r="M174" s="171">
        <v>31</v>
      </c>
      <c r="N174" s="171" t="s">
        <v>98</v>
      </c>
      <c r="O174" s="171" t="s">
        <v>38</v>
      </c>
      <c r="Q174" s="399" t="s">
        <v>707</v>
      </c>
      <c r="R174" s="399" t="s">
        <v>97</v>
      </c>
      <c r="S174" s="398" t="s">
        <v>134</v>
      </c>
      <c r="U174" s="171">
        <v>23</v>
      </c>
      <c r="V174" s="171" t="s">
        <v>98</v>
      </c>
      <c r="W174" s="171" t="s">
        <v>56</v>
      </c>
      <c r="Y174" s="171">
        <v>1</v>
      </c>
      <c r="Z174" s="171" t="s">
        <v>98</v>
      </c>
      <c r="AA174" s="171" t="s">
        <v>134</v>
      </c>
      <c r="AC174" s="505">
        <v>38</v>
      </c>
      <c r="AD174" s="505" t="s">
        <v>98</v>
      </c>
      <c r="AE174" s="505" t="s">
        <v>123</v>
      </c>
      <c r="AG174" s="171">
        <v>23</v>
      </c>
      <c r="AH174" s="171" t="s">
        <v>98</v>
      </c>
      <c r="AI174" s="171" t="s">
        <v>56</v>
      </c>
      <c r="AK174" s="299">
        <v>28</v>
      </c>
      <c r="AL174" s="299" t="s">
        <v>81</v>
      </c>
      <c r="AM174" s="299" t="s">
        <v>1330</v>
      </c>
      <c r="AO174" s="299" t="s">
        <v>1345</v>
      </c>
      <c r="AP174" s="299" t="s">
        <v>82</v>
      </c>
      <c r="AQ174" s="299" t="s">
        <v>134</v>
      </c>
    </row>
    <row r="175" spans="1:43" ht="15" customHeight="1" x14ac:dyDescent="0.25">
      <c r="A175">
        <v>28</v>
      </c>
      <c r="B175" t="s">
        <v>98</v>
      </c>
      <c r="C175" t="s">
        <v>38</v>
      </c>
      <c r="E175" s="72">
        <v>58</v>
      </c>
      <c r="F175" t="s">
        <v>98</v>
      </c>
      <c r="G175" t="s">
        <v>123</v>
      </c>
      <c r="I175" s="171">
        <v>16</v>
      </c>
      <c r="J175" s="171" t="s">
        <v>97</v>
      </c>
      <c r="K175" s="171" t="s">
        <v>122</v>
      </c>
      <c r="M175" s="171">
        <v>37</v>
      </c>
      <c r="N175" s="171" t="s">
        <v>98</v>
      </c>
      <c r="O175" s="171" t="s">
        <v>38</v>
      </c>
      <c r="Q175" s="399">
        <v>2</v>
      </c>
      <c r="R175" s="399" t="s">
        <v>98</v>
      </c>
      <c r="S175" s="398" t="s">
        <v>134</v>
      </c>
      <c r="U175" s="171">
        <v>35</v>
      </c>
      <c r="V175" s="171" t="s">
        <v>98</v>
      </c>
      <c r="W175" s="171" t="s">
        <v>56</v>
      </c>
      <c r="Y175" s="171">
        <v>7</v>
      </c>
      <c r="Z175" s="171" t="s">
        <v>98</v>
      </c>
      <c r="AA175" s="171" t="s">
        <v>134</v>
      </c>
      <c r="AC175" s="505">
        <v>18</v>
      </c>
      <c r="AD175" s="505" t="s">
        <v>98</v>
      </c>
      <c r="AE175" s="505" t="s">
        <v>123</v>
      </c>
      <c r="AG175" s="171">
        <v>41</v>
      </c>
      <c r="AH175" s="171" t="s">
        <v>98</v>
      </c>
      <c r="AI175" s="171" t="s">
        <v>56</v>
      </c>
      <c r="AK175" s="299">
        <v>35</v>
      </c>
      <c r="AL175" s="299" t="s">
        <v>81</v>
      </c>
      <c r="AM175" s="299" t="s">
        <v>1330</v>
      </c>
      <c r="AO175" s="299">
        <v>4</v>
      </c>
      <c r="AP175" s="299" t="s">
        <v>81</v>
      </c>
      <c r="AQ175" s="299" t="s">
        <v>134</v>
      </c>
    </row>
    <row r="176" spans="1:43" ht="15" customHeight="1" x14ac:dyDescent="0.25">
      <c r="A176">
        <v>25</v>
      </c>
      <c r="B176" t="s">
        <v>98</v>
      </c>
      <c r="C176" t="s">
        <v>38</v>
      </c>
      <c r="E176" s="72">
        <v>57</v>
      </c>
      <c r="F176" t="s">
        <v>98</v>
      </c>
      <c r="G176" t="s">
        <v>123</v>
      </c>
      <c r="I176" s="171">
        <v>61</v>
      </c>
      <c r="J176" s="171" t="s">
        <v>97</v>
      </c>
      <c r="K176" s="171" t="s">
        <v>122</v>
      </c>
      <c r="M176" s="171">
        <v>32</v>
      </c>
      <c r="N176" s="171" t="s">
        <v>98</v>
      </c>
      <c r="O176" s="171" t="s">
        <v>38</v>
      </c>
      <c r="Q176" s="399">
        <v>1</v>
      </c>
      <c r="R176" s="399" t="s">
        <v>97</v>
      </c>
      <c r="S176" s="398" t="s">
        <v>134</v>
      </c>
      <c r="U176" s="171">
        <v>19</v>
      </c>
      <c r="V176" s="171" t="s">
        <v>98</v>
      </c>
      <c r="W176" s="171" t="s">
        <v>56</v>
      </c>
      <c r="Y176" s="171">
        <v>11</v>
      </c>
      <c r="Z176" s="171" t="s">
        <v>97</v>
      </c>
      <c r="AA176" s="171" t="s">
        <v>134</v>
      </c>
      <c r="AC176" s="505">
        <v>45</v>
      </c>
      <c r="AD176" s="505" t="s">
        <v>98</v>
      </c>
      <c r="AE176" s="505" t="s">
        <v>123</v>
      </c>
      <c r="AG176" s="171">
        <v>32</v>
      </c>
      <c r="AH176" s="171" t="s">
        <v>98</v>
      </c>
      <c r="AI176" s="171" t="s">
        <v>56</v>
      </c>
      <c r="AK176" s="299">
        <v>31</v>
      </c>
      <c r="AL176" s="299" t="s">
        <v>81</v>
      </c>
      <c r="AM176" s="299" t="s">
        <v>1330</v>
      </c>
      <c r="AO176" s="299">
        <v>2</v>
      </c>
      <c r="AP176" s="299" t="s">
        <v>82</v>
      </c>
      <c r="AQ176" s="299" t="s">
        <v>134</v>
      </c>
    </row>
    <row r="177" spans="1:43" ht="15" customHeight="1" x14ac:dyDescent="0.25">
      <c r="A177">
        <v>32</v>
      </c>
      <c r="B177" t="s">
        <v>98</v>
      </c>
      <c r="C177" t="s">
        <v>38</v>
      </c>
      <c r="E177" s="72">
        <v>57</v>
      </c>
      <c r="F177" t="s">
        <v>98</v>
      </c>
      <c r="G177" t="s">
        <v>123</v>
      </c>
      <c r="I177" s="171">
        <v>49</v>
      </c>
      <c r="J177" s="171" t="s">
        <v>97</v>
      </c>
      <c r="K177" s="171" t="s">
        <v>122</v>
      </c>
      <c r="M177" s="171">
        <v>32</v>
      </c>
      <c r="N177" s="171" t="s">
        <v>98</v>
      </c>
      <c r="O177" s="171" t="s">
        <v>38</v>
      </c>
      <c r="Q177" s="399">
        <v>6</v>
      </c>
      <c r="R177" s="399" t="s">
        <v>98</v>
      </c>
      <c r="S177" s="398" t="s">
        <v>134</v>
      </c>
      <c r="U177" s="171">
        <v>39</v>
      </c>
      <c r="V177" s="171" t="s">
        <v>98</v>
      </c>
      <c r="W177" s="171" t="s">
        <v>56</v>
      </c>
      <c r="Y177" s="171">
        <v>7</v>
      </c>
      <c r="Z177" s="171" t="s">
        <v>98</v>
      </c>
      <c r="AA177" s="171" t="s">
        <v>134</v>
      </c>
      <c r="AC177" s="505">
        <v>61</v>
      </c>
      <c r="AD177" s="505" t="s">
        <v>98</v>
      </c>
      <c r="AE177" s="505" t="s">
        <v>123</v>
      </c>
      <c r="AG177" s="171">
        <v>35</v>
      </c>
      <c r="AH177" s="171" t="s">
        <v>98</v>
      </c>
      <c r="AI177" s="171" t="s">
        <v>56</v>
      </c>
      <c r="AK177" s="299">
        <v>43</v>
      </c>
      <c r="AL177" s="299" t="s">
        <v>81</v>
      </c>
      <c r="AM177" s="299" t="s">
        <v>1330</v>
      </c>
      <c r="AO177" s="299">
        <v>7</v>
      </c>
      <c r="AP177" s="299" t="s">
        <v>81</v>
      </c>
      <c r="AQ177" s="299" t="s">
        <v>134</v>
      </c>
    </row>
    <row r="178" spans="1:43" ht="15" customHeight="1" x14ac:dyDescent="0.25">
      <c r="A178">
        <v>20</v>
      </c>
      <c r="B178" t="s">
        <v>98</v>
      </c>
      <c r="C178" t="s">
        <v>38</v>
      </c>
      <c r="E178" s="72">
        <v>56</v>
      </c>
      <c r="F178" t="s">
        <v>97</v>
      </c>
      <c r="G178" t="s">
        <v>688</v>
      </c>
      <c r="I178" s="171">
        <v>63</v>
      </c>
      <c r="J178" s="171" t="s">
        <v>97</v>
      </c>
      <c r="K178" s="171" t="s">
        <v>122</v>
      </c>
      <c r="M178" s="171">
        <v>38</v>
      </c>
      <c r="N178" s="171" t="s">
        <v>98</v>
      </c>
      <c r="O178" s="171" t="s">
        <v>38</v>
      </c>
      <c r="Q178" s="399">
        <v>4</v>
      </c>
      <c r="R178" s="399" t="s">
        <v>97</v>
      </c>
      <c r="S178" s="398" t="s">
        <v>134</v>
      </c>
      <c r="U178" s="171">
        <v>29</v>
      </c>
      <c r="V178" s="171" t="s">
        <v>98</v>
      </c>
      <c r="W178" s="171" t="s">
        <v>56</v>
      </c>
      <c r="Y178" s="171" t="s">
        <v>1099</v>
      </c>
      <c r="Z178" s="171" t="s">
        <v>97</v>
      </c>
      <c r="AA178" s="171" t="s">
        <v>134</v>
      </c>
      <c r="AC178" s="505">
        <v>20</v>
      </c>
      <c r="AD178" s="505" t="s">
        <v>98</v>
      </c>
      <c r="AE178" s="505" t="s">
        <v>123</v>
      </c>
      <c r="AG178" s="171">
        <v>28</v>
      </c>
      <c r="AH178" s="171" t="s">
        <v>98</v>
      </c>
      <c r="AI178" s="171" t="s">
        <v>56</v>
      </c>
      <c r="AK178" s="299">
        <v>16</v>
      </c>
      <c r="AL178" s="299" t="s">
        <v>81</v>
      </c>
      <c r="AM178" s="299" t="s">
        <v>1330</v>
      </c>
      <c r="AO178" s="299">
        <v>2</v>
      </c>
      <c r="AP178" s="299" t="s">
        <v>82</v>
      </c>
      <c r="AQ178" s="299" t="s">
        <v>134</v>
      </c>
    </row>
    <row r="179" spans="1:43" ht="15" customHeight="1" x14ac:dyDescent="0.25">
      <c r="A179">
        <v>37</v>
      </c>
      <c r="B179" t="s">
        <v>98</v>
      </c>
      <c r="C179" t="s">
        <v>38</v>
      </c>
      <c r="E179" s="72">
        <v>56</v>
      </c>
      <c r="F179" t="s">
        <v>98</v>
      </c>
      <c r="G179" t="s">
        <v>688</v>
      </c>
      <c r="I179" s="171">
        <v>66</v>
      </c>
      <c r="J179" s="171" t="s">
        <v>97</v>
      </c>
      <c r="K179" s="171" t="s">
        <v>122</v>
      </c>
      <c r="M179" s="171">
        <v>30</v>
      </c>
      <c r="N179" s="171" t="s">
        <v>98</v>
      </c>
      <c r="O179" s="171" t="s">
        <v>38</v>
      </c>
      <c r="Q179" s="399">
        <v>3</v>
      </c>
      <c r="R179" s="399" t="s">
        <v>98</v>
      </c>
      <c r="S179" s="398" t="s">
        <v>134</v>
      </c>
      <c r="U179" s="171">
        <v>40</v>
      </c>
      <c r="V179" s="171" t="s">
        <v>98</v>
      </c>
      <c r="W179" s="171" t="s">
        <v>56</v>
      </c>
      <c r="Y179" s="171" t="s">
        <v>1100</v>
      </c>
      <c r="Z179" s="171" t="s">
        <v>97</v>
      </c>
      <c r="AA179" s="171" t="s">
        <v>134</v>
      </c>
      <c r="AC179" s="505">
        <v>62</v>
      </c>
      <c r="AD179" s="505" t="s">
        <v>98</v>
      </c>
      <c r="AE179" s="505" t="s">
        <v>123</v>
      </c>
      <c r="AG179" s="171">
        <v>16</v>
      </c>
      <c r="AH179" s="171" t="s">
        <v>98</v>
      </c>
      <c r="AI179" s="171" t="s">
        <v>56</v>
      </c>
      <c r="AK179" s="299">
        <v>25</v>
      </c>
      <c r="AL179" s="299" t="s">
        <v>81</v>
      </c>
      <c r="AM179" s="299" t="s">
        <v>1330</v>
      </c>
      <c r="AO179" s="299">
        <v>4</v>
      </c>
      <c r="AP179" s="299" t="s">
        <v>82</v>
      </c>
      <c r="AQ179" s="299" t="s">
        <v>134</v>
      </c>
    </row>
    <row r="180" spans="1:43" ht="15" customHeight="1" x14ac:dyDescent="0.25">
      <c r="A180">
        <v>41</v>
      </c>
      <c r="B180" t="s">
        <v>98</v>
      </c>
      <c r="C180" t="s">
        <v>38</v>
      </c>
      <c r="E180" s="72">
        <v>55</v>
      </c>
      <c r="F180" t="s">
        <v>97</v>
      </c>
      <c r="G180" t="s">
        <v>688</v>
      </c>
      <c r="I180" s="171">
        <v>28</v>
      </c>
      <c r="J180" s="171" t="s">
        <v>97</v>
      </c>
      <c r="K180" s="171" t="s">
        <v>122</v>
      </c>
      <c r="M180" s="171">
        <v>30</v>
      </c>
      <c r="N180" s="171" t="s">
        <v>98</v>
      </c>
      <c r="O180" s="171" t="s">
        <v>38</v>
      </c>
      <c r="Q180" s="399">
        <v>9</v>
      </c>
      <c r="R180" s="399" t="s">
        <v>97</v>
      </c>
      <c r="S180" s="398" t="s">
        <v>134</v>
      </c>
      <c r="U180" s="171">
        <v>34</v>
      </c>
      <c r="V180" s="171" t="s">
        <v>98</v>
      </c>
      <c r="W180" s="171" t="s">
        <v>56</v>
      </c>
      <c r="Y180" s="171">
        <v>9</v>
      </c>
      <c r="Z180" s="171" t="s">
        <v>97</v>
      </c>
      <c r="AA180" s="171" t="s">
        <v>134</v>
      </c>
      <c r="AC180" s="505">
        <v>45</v>
      </c>
      <c r="AD180" s="505" t="s">
        <v>98</v>
      </c>
      <c r="AE180" s="505" t="s">
        <v>123</v>
      </c>
      <c r="AG180" s="171">
        <v>21</v>
      </c>
      <c r="AH180" s="171" t="s">
        <v>98</v>
      </c>
      <c r="AI180" s="171" t="s">
        <v>56</v>
      </c>
      <c r="AK180" s="299">
        <v>36</v>
      </c>
      <c r="AL180" s="299" t="s">
        <v>81</v>
      </c>
      <c r="AM180" s="299" t="s">
        <v>1330</v>
      </c>
      <c r="AO180" s="299">
        <v>9</v>
      </c>
      <c r="AP180" s="299" t="s">
        <v>82</v>
      </c>
      <c r="AQ180" s="299" t="s">
        <v>134</v>
      </c>
    </row>
    <row r="181" spans="1:43" ht="15" customHeight="1" x14ac:dyDescent="0.25">
      <c r="A181">
        <v>36</v>
      </c>
      <c r="B181" t="s">
        <v>98</v>
      </c>
      <c r="C181" t="s">
        <v>38</v>
      </c>
      <c r="E181" s="72">
        <v>55</v>
      </c>
      <c r="F181" t="s">
        <v>98</v>
      </c>
      <c r="G181" t="s">
        <v>688</v>
      </c>
      <c r="I181" s="171">
        <v>78</v>
      </c>
      <c r="J181" s="171" t="s">
        <v>97</v>
      </c>
      <c r="K181" s="171" t="s">
        <v>122</v>
      </c>
      <c r="M181" s="171">
        <v>38</v>
      </c>
      <c r="N181" s="171" t="s">
        <v>98</v>
      </c>
      <c r="O181" s="171" t="s">
        <v>38</v>
      </c>
      <c r="Q181" s="399">
        <v>6</v>
      </c>
      <c r="R181" s="399" t="s">
        <v>98</v>
      </c>
      <c r="S181" s="398" t="s">
        <v>134</v>
      </c>
      <c r="U181" s="171">
        <v>31</v>
      </c>
      <c r="V181" s="171" t="s">
        <v>98</v>
      </c>
      <c r="W181" s="171" t="s">
        <v>56</v>
      </c>
      <c r="Y181" s="171">
        <v>1</v>
      </c>
      <c r="Z181" s="171" t="s">
        <v>97</v>
      </c>
      <c r="AA181" s="171" t="s">
        <v>134</v>
      </c>
      <c r="AC181" s="505">
        <v>15</v>
      </c>
      <c r="AD181" s="505" t="s">
        <v>98</v>
      </c>
      <c r="AE181" s="505" t="s">
        <v>123</v>
      </c>
      <c r="AG181" s="171">
        <v>23</v>
      </c>
      <c r="AH181" s="171" t="s">
        <v>98</v>
      </c>
      <c r="AI181" s="171" t="s">
        <v>56</v>
      </c>
      <c r="AK181" s="299">
        <v>36</v>
      </c>
      <c r="AL181" s="299" t="s">
        <v>81</v>
      </c>
      <c r="AM181" s="299" t="s">
        <v>1330</v>
      </c>
      <c r="AO181" s="299">
        <v>4</v>
      </c>
      <c r="AP181" s="299" t="s">
        <v>81</v>
      </c>
      <c r="AQ181" s="299" t="s">
        <v>134</v>
      </c>
    </row>
    <row r="182" spans="1:43" ht="15" customHeight="1" x14ac:dyDescent="0.25">
      <c r="A182">
        <v>25</v>
      </c>
      <c r="B182" t="s">
        <v>98</v>
      </c>
      <c r="C182" t="s">
        <v>38</v>
      </c>
      <c r="E182" s="72">
        <v>55</v>
      </c>
      <c r="F182" t="s">
        <v>97</v>
      </c>
      <c r="G182" t="s">
        <v>122</v>
      </c>
      <c r="I182" s="171">
        <v>42</v>
      </c>
      <c r="J182" s="171" t="s">
        <v>97</v>
      </c>
      <c r="K182" s="171" t="s">
        <v>122</v>
      </c>
      <c r="M182" s="171">
        <v>23</v>
      </c>
      <c r="N182" s="171" t="s">
        <v>98</v>
      </c>
      <c r="O182" s="171" t="s">
        <v>38</v>
      </c>
      <c r="Q182" s="399">
        <v>1</v>
      </c>
      <c r="R182" s="399" t="s">
        <v>97</v>
      </c>
      <c r="S182" s="398" t="s">
        <v>134</v>
      </c>
      <c r="U182" s="171">
        <v>33</v>
      </c>
      <c r="V182" s="171" t="s">
        <v>98</v>
      </c>
      <c r="W182" s="171" t="s">
        <v>56</v>
      </c>
      <c r="Y182" s="171">
        <v>3</v>
      </c>
      <c r="Z182" s="171" t="s">
        <v>97</v>
      </c>
      <c r="AA182" s="171" t="s">
        <v>134</v>
      </c>
      <c r="AC182" s="505">
        <v>92</v>
      </c>
      <c r="AD182" s="505" t="s">
        <v>98</v>
      </c>
      <c r="AE182" s="505" t="s">
        <v>123</v>
      </c>
      <c r="AG182" s="171">
        <v>42</v>
      </c>
      <c r="AH182" s="171" t="s">
        <v>98</v>
      </c>
      <c r="AI182" s="171" t="s">
        <v>56</v>
      </c>
      <c r="AK182" s="299">
        <v>30</v>
      </c>
      <c r="AL182" s="299" t="s">
        <v>81</v>
      </c>
      <c r="AM182" s="299" t="s">
        <v>1330</v>
      </c>
      <c r="AO182" s="299">
        <v>4</v>
      </c>
      <c r="AP182" s="299" t="s">
        <v>81</v>
      </c>
      <c r="AQ182" s="299" t="s">
        <v>134</v>
      </c>
    </row>
    <row r="183" spans="1:43" ht="15" customHeight="1" x14ac:dyDescent="0.25">
      <c r="A183">
        <v>20</v>
      </c>
      <c r="B183" t="s">
        <v>98</v>
      </c>
      <c r="C183" t="s">
        <v>38</v>
      </c>
      <c r="E183" s="72">
        <v>55</v>
      </c>
      <c r="F183" t="s">
        <v>97</v>
      </c>
      <c r="G183" t="s">
        <v>122</v>
      </c>
      <c r="I183" s="171">
        <v>34</v>
      </c>
      <c r="J183" s="171" t="s">
        <v>97</v>
      </c>
      <c r="K183" s="171" t="s">
        <v>122</v>
      </c>
      <c r="M183" s="171">
        <v>16</v>
      </c>
      <c r="N183" s="171" t="s">
        <v>98</v>
      </c>
      <c r="O183" s="171" t="s">
        <v>38</v>
      </c>
      <c r="Q183" s="399">
        <v>9</v>
      </c>
      <c r="R183" s="399" t="s">
        <v>97</v>
      </c>
      <c r="S183" s="398" t="s">
        <v>134</v>
      </c>
      <c r="U183" s="171">
        <v>32</v>
      </c>
      <c r="V183" s="171" t="s">
        <v>98</v>
      </c>
      <c r="W183" s="171" t="s">
        <v>56</v>
      </c>
      <c r="Y183" s="171">
        <v>3</v>
      </c>
      <c r="Z183" s="171" t="s">
        <v>97</v>
      </c>
      <c r="AA183" s="171" t="s">
        <v>134</v>
      </c>
      <c r="AC183" s="505">
        <v>49</v>
      </c>
      <c r="AD183" s="505" t="s">
        <v>98</v>
      </c>
      <c r="AE183" s="505" t="s">
        <v>123</v>
      </c>
      <c r="AG183" s="171">
        <v>24</v>
      </c>
      <c r="AH183" s="171" t="s">
        <v>98</v>
      </c>
      <c r="AI183" s="171" t="s">
        <v>56</v>
      </c>
      <c r="AK183" s="299">
        <v>25</v>
      </c>
      <c r="AL183" s="299" t="s">
        <v>81</v>
      </c>
      <c r="AM183" s="299" t="s">
        <v>1330</v>
      </c>
      <c r="AO183" s="299" t="s">
        <v>1345</v>
      </c>
      <c r="AP183" s="299" t="s">
        <v>81</v>
      </c>
      <c r="AQ183" s="299" t="s">
        <v>134</v>
      </c>
    </row>
    <row r="184" spans="1:43" ht="15" customHeight="1" x14ac:dyDescent="0.25">
      <c r="A184">
        <v>20</v>
      </c>
      <c r="B184" t="s">
        <v>98</v>
      </c>
      <c r="C184" t="s">
        <v>38</v>
      </c>
      <c r="E184" s="72">
        <v>55</v>
      </c>
      <c r="F184" t="s">
        <v>97</v>
      </c>
      <c r="G184" t="s">
        <v>122</v>
      </c>
      <c r="I184" s="171">
        <v>15</v>
      </c>
      <c r="J184" s="171" t="s">
        <v>97</v>
      </c>
      <c r="K184" s="171" t="s">
        <v>122</v>
      </c>
      <c r="M184" s="171">
        <v>20</v>
      </c>
      <c r="N184" s="171" t="s">
        <v>98</v>
      </c>
      <c r="O184" s="171" t="s">
        <v>38</v>
      </c>
      <c r="Q184" s="399">
        <v>6</v>
      </c>
      <c r="R184" s="399" t="s">
        <v>98</v>
      </c>
      <c r="S184" s="398" t="s">
        <v>134</v>
      </c>
      <c r="U184" s="171">
        <v>23</v>
      </c>
      <c r="V184" s="171" t="s">
        <v>98</v>
      </c>
      <c r="W184" s="171" t="s">
        <v>56</v>
      </c>
      <c r="Y184" s="171" t="s">
        <v>1101</v>
      </c>
      <c r="Z184" s="171" t="s">
        <v>98</v>
      </c>
      <c r="AA184" s="171" t="s">
        <v>134</v>
      </c>
      <c r="AC184" s="505">
        <v>40</v>
      </c>
      <c r="AD184" s="505" t="s">
        <v>98</v>
      </c>
      <c r="AE184" s="505" t="s">
        <v>123</v>
      </c>
      <c r="AG184" s="171">
        <v>39</v>
      </c>
      <c r="AH184" s="171" t="s">
        <v>98</v>
      </c>
      <c r="AI184" s="171" t="s">
        <v>56</v>
      </c>
      <c r="AK184" s="299">
        <v>25</v>
      </c>
      <c r="AL184" s="299" t="s">
        <v>81</v>
      </c>
      <c r="AM184" s="299" t="s">
        <v>1330</v>
      </c>
      <c r="AO184" s="299">
        <v>3</v>
      </c>
      <c r="AP184" s="299" t="s">
        <v>81</v>
      </c>
      <c r="AQ184" s="299" t="s">
        <v>134</v>
      </c>
    </row>
    <row r="185" spans="1:43" ht="15" customHeight="1" x14ac:dyDescent="0.25">
      <c r="A185">
        <v>29</v>
      </c>
      <c r="B185" t="s">
        <v>98</v>
      </c>
      <c r="C185" t="s">
        <v>38</v>
      </c>
      <c r="E185" s="72">
        <v>54</v>
      </c>
      <c r="F185" t="s">
        <v>98</v>
      </c>
      <c r="G185" t="s">
        <v>688</v>
      </c>
      <c r="I185" s="171">
        <v>26</v>
      </c>
      <c r="J185" s="171" t="s">
        <v>97</v>
      </c>
      <c r="K185" s="171" t="s">
        <v>122</v>
      </c>
      <c r="M185" s="171">
        <v>24</v>
      </c>
      <c r="N185" s="171" t="s">
        <v>98</v>
      </c>
      <c r="O185" s="171" t="s">
        <v>38</v>
      </c>
      <c r="Q185" s="399">
        <v>6</v>
      </c>
      <c r="R185" s="399" t="s">
        <v>98</v>
      </c>
      <c r="S185" s="398" t="s">
        <v>134</v>
      </c>
      <c r="U185" s="171">
        <v>32</v>
      </c>
      <c r="V185" s="171" t="s">
        <v>98</v>
      </c>
      <c r="W185" s="171" t="s">
        <v>56</v>
      </c>
      <c r="Y185" s="171">
        <v>7</v>
      </c>
      <c r="Z185" s="171" t="s">
        <v>97</v>
      </c>
      <c r="AA185" s="171" t="s">
        <v>134</v>
      </c>
      <c r="AC185" s="505">
        <v>51</v>
      </c>
      <c r="AD185" s="505" t="s">
        <v>98</v>
      </c>
      <c r="AE185" s="505" t="s">
        <v>123</v>
      </c>
      <c r="AG185" s="171">
        <v>30</v>
      </c>
      <c r="AH185" s="171" t="s">
        <v>98</v>
      </c>
      <c r="AI185" s="171" t="s">
        <v>56</v>
      </c>
      <c r="AK185" s="299">
        <v>22</v>
      </c>
      <c r="AL185" s="299" t="s">
        <v>81</v>
      </c>
      <c r="AM185" s="299" t="s">
        <v>1330</v>
      </c>
      <c r="AO185" s="299" t="s">
        <v>1366</v>
      </c>
      <c r="AP185" s="299" t="s">
        <v>82</v>
      </c>
      <c r="AQ185" s="299" t="s">
        <v>134</v>
      </c>
    </row>
    <row r="186" spans="1:43" ht="15" customHeight="1" x14ac:dyDescent="0.25">
      <c r="A186">
        <v>28</v>
      </c>
      <c r="B186" t="s">
        <v>98</v>
      </c>
      <c r="C186" t="s">
        <v>38</v>
      </c>
      <c r="E186" s="72">
        <v>54</v>
      </c>
      <c r="F186" t="s">
        <v>98</v>
      </c>
      <c r="G186" t="s">
        <v>688</v>
      </c>
      <c r="I186" s="171">
        <v>52</v>
      </c>
      <c r="J186" s="171" t="s">
        <v>97</v>
      </c>
      <c r="K186" s="171" t="s">
        <v>122</v>
      </c>
      <c r="M186" s="171">
        <v>25</v>
      </c>
      <c r="N186" s="171" t="s">
        <v>98</v>
      </c>
      <c r="O186" s="171" t="s">
        <v>38</v>
      </c>
      <c r="Q186" s="399">
        <v>2</v>
      </c>
      <c r="R186" s="399" t="s">
        <v>97</v>
      </c>
      <c r="S186" s="398" t="s">
        <v>134</v>
      </c>
      <c r="U186" s="171">
        <v>21</v>
      </c>
      <c r="V186" s="171" t="s">
        <v>98</v>
      </c>
      <c r="W186" s="171" t="s">
        <v>56</v>
      </c>
      <c r="Y186" s="171">
        <v>4</v>
      </c>
      <c r="Z186" s="171" t="s">
        <v>98</v>
      </c>
      <c r="AA186" s="171" t="s">
        <v>134</v>
      </c>
      <c r="AC186" s="505">
        <v>51</v>
      </c>
      <c r="AD186" s="505" t="s">
        <v>98</v>
      </c>
      <c r="AE186" s="505" t="s">
        <v>123</v>
      </c>
      <c r="AG186" s="171">
        <v>36</v>
      </c>
      <c r="AH186" s="171" t="s">
        <v>98</v>
      </c>
      <c r="AI186" s="171" t="s">
        <v>56</v>
      </c>
      <c r="AK186" s="299">
        <v>38</v>
      </c>
      <c r="AL186" s="299" t="s">
        <v>81</v>
      </c>
      <c r="AM186" s="299" t="s">
        <v>1330</v>
      </c>
      <c r="AO186" s="299">
        <v>4</v>
      </c>
      <c r="AP186" s="299" t="s">
        <v>81</v>
      </c>
      <c r="AQ186" s="299" t="s">
        <v>134</v>
      </c>
    </row>
    <row r="187" spans="1:43" ht="15" customHeight="1" x14ac:dyDescent="0.25">
      <c r="A187">
        <v>22</v>
      </c>
      <c r="B187" t="s">
        <v>98</v>
      </c>
      <c r="C187" t="s">
        <v>38</v>
      </c>
      <c r="E187" s="72">
        <v>54</v>
      </c>
      <c r="F187" t="s">
        <v>97</v>
      </c>
      <c r="G187" t="s">
        <v>122</v>
      </c>
      <c r="I187" s="171">
        <v>65</v>
      </c>
      <c r="J187" s="171" t="s">
        <v>97</v>
      </c>
      <c r="K187" s="171" t="s">
        <v>122</v>
      </c>
      <c r="M187" s="171">
        <v>32</v>
      </c>
      <c r="N187" s="171" t="s">
        <v>98</v>
      </c>
      <c r="O187" s="171" t="s">
        <v>38</v>
      </c>
      <c r="Q187" s="399">
        <v>5</v>
      </c>
      <c r="R187" s="399" t="s">
        <v>98</v>
      </c>
      <c r="S187" s="398" t="s">
        <v>134</v>
      </c>
      <c r="U187" s="171">
        <v>27</v>
      </c>
      <c r="V187" s="171" t="s">
        <v>98</v>
      </c>
      <c r="W187" s="171" t="s">
        <v>56</v>
      </c>
      <c r="Y187" s="171">
        <v>2</v>
      </c>
      <c r="Z187" s="171" t="s">
        <v>98</v>
      </c>
      <c r="AA187" s="171" t="s">
        <v>134</v>
      </c>
      <c r="AC187" s="505">
        <v>68</v>
      </c>
      <c r="AD187" s="505" t="s">
        <v>98</v>
      </c>
      <c r="AE187" s="505" t="s">
        <v>123</v>
      </c>
      <c r="AG187" s="171">
        <v>27</v>
      </c>
      <c r="AH187" s="171" t="s">
        <v>98</v>
      </c>
      <c r="AI187" s="171" t="s">
        <v>56</v>
      </c>
      <c r="AK187" s="299">
        <v>24</v>
      </c>
      <c r="AL187" s="299" t="s">
        <v>81</v>
      </c>
      <c r="AM187" s="299" t="s">
        <v>1330</v>
      </c>
      <c r="AO187" s="299">
        <v>9</v>
      </c>
      <c r="AP187" s="299" t="s">
        <v>81</v>
      </c>
      <c r="AQ187" s="299" t="s">
        <v>134</v>
      </c>
    </row>
    <row r="188" spans="1:43" ht="15" customHeight="1" x14ac:dyDescent="0.25">
      <c r="A188">
        <v>19</v>
      </c>
      <c r="B188" t="s">
        <v>98</v>
      </c>
      <c r="C188" t="s">
        <v>38</v>
      </c>
      <c r="E188" s="72">
        <v>54</v>
      </c>
      <c r="F188" t="s">
        <v>98</v>
      </c>
      <c r="G188" t="s">
        <v>123</v>
      </c>
      <c r="I188" s="171">
        <v>1</v>
      </c>
      <c r="J188" s="171" t="s">
        <v>97</v>
      </c>
      <c r="K188" s="171" t="s">
        <v>134</v>
      </c>
      <c r="M188" s="171">
        <v>38</v>
      </c>
      <c r="N188" s="171" t="s">
        <v>98</v>
      </c>
      <c r="O188" s="171" t="s">
        <v>38</v>
      </c>
      <c r="Q188" s="399">
        <v>1</v>
      </c>
      <c r="R188" s="399" t="s">
        <v>98</v>
      </c>
      <c r="S188" s="398" t="s">
        <v>134</v>
      </c>
      <c r="U188" s="171">
        <v>32</v>
      </c>
      <c r="V188" s="171" t="s">
        <v>98</v>
      </c>
      <c r="W188" s="171" t="s">
        <v>56</v>
      </c>
      <c r="Y188" s="171">
        <v>10</v>
      </c>
      <c r="Z188" s="171" t="s">
        <v>97</v>
      </c>
      <c r="AA188" s="171" t="s">
        <v>134</v>
      </c>
      <c r="AC188" s="505">
        <v>31</v>
      </c>
      <c r="AD188" s="505" t="s">
        <v>98</v>
      </c>
      <c r="AE188" s="505" t="s">
        <v>123</v>
      </c>
      <c r="AG188" s="171">
        <v>19</v>
      </c>
      <c r="AH188" s="171" t="s">
        <v>98</v>
      </c>
      <c r="AI188" s="171" t="s">
        <v>56</v>
      </c>
      <c r="AK188" s="299">
        <v>39</v>
      </c>
      <c r="AL188" s="299" t="s">
        <v>81</v>
      </c>
      <c r="AM188" s="299" t="s">
        <v>1330</v>
      </c>
      <c r="AO188" s="299" t="s">
        <v>1345</v>
      </c>
      <c r="AP188" s="299" t="s">
        <v>82</v>
      </c>
      <c r="AQ188" s="299" t="s">
        <v>134</v>
      </c>
    </row>
    <row r="189" spans="1:43" ht="15" customHeight="1" x14ac:dyDescent="0.25">
      <c r="A189">
        <v>37</v>
      </c>
      <c r="B189" t="s">
        <v>98</v>
      </c>
      <c r="C189" t="s">
        <v>38</v>
      </c>
      <c r="E189" s="72">
        <v>54</v>
      </c>
      <c r="F189" t="s">
        <v>98</v>
      </c>
      <c r="G189" t="s">
        <v>123</v>
      </c>
      <c r="I189" s="171">
        <v>1</v>
      </c>
      <c r="J189" s="171" t="s">
        <v>97</v>
      </c>
      <c r="K189" s="171" t="s">
        <v>134</v>
      </c>
      <c r="M189" s="171">
        <v>42</v>
      </c>
      <c r="N189" s="171" t="s">
        <v>98</v>
      </c>
      <c r="O189" s="171" t="s">
        <v>38</v>
      </c>
      <c r="Q189" s="399">
        <v>3</v>
      </c>
      <c r="R189" s="399" t="s">
        <v>97</v>
      </c>
      <c r="S189" s="398" t="s">
        <v>134</v>
      </c>
      <c r="U189" s="171">
        <v>32</v>
      </c>
      <c r="V189" s="171" t="s">
        <v>98</v>
      </c>
      <c r="W189" s="171" t="s">
        <v>56</v>
      </c>
      <c r="Y189" s="171">
        <v>1</v>
      </c>
      <c r="Z189" s="171" t="s">
        <v>98</v>
      </c>
      <c r="AA189" s="171" t="s">
        <v>134</v>
      </c>
      <c r="AC189" s="505">
        <v>14</v>
      </c>
      <c r="AD189" s="505" t="s">
        <v>98</v>
      </c>
      <c r="AE189" s="505" t="s">
        <v>123</v>
      </c>
      <c r="AG189" s="171">
        <v>20</v>
      </c>
      <c r="AH189" s="171" t="s">
        <v>98</v>
      </c>
      <c r="AI189" s="171" t="s">
        <v>56</v>
      </c>
      <c r="AK189" s="299">
        <v>24</v>
      </c>
      <c r="AL189" s="299" t="s">
        <v>81</v>
      </c>
      <c r="AM189" s="299" t="s">
        <v>1330</v>
      </c>
      <c r="AO189" s="299">
        <v>2</v>
      </c>
      <c r="AP189" s="299" t="s">
        <v>81</v>
      </c>
      <c r="AQ189" s="299" t="s">
        <v>134</v>
      </c>
    </row>
    <row r="190" spans="1:43" ht="15" customHeight="1" x14ac:dyDescent="0.25">
      <c r="A190">
        <v>21</v>
      </c>
      <c r="B190" t="s">
        <v>98</v>
      </c>
      <c r="C190" t="s">
        <v>38</v>
      </c>
      <c r="E190" s="72">
        <v>54</v>
      </c>
      <c r="F190" t="s">
        <v>98</v>
      </c>
      <c r="G190" t="s">
        <v>123</v>
      </c>
      <c r="I190" s="171">
        <v>2</v>
      </c>
      <c r="J190" s="171" t="s">
        <v>97</v>
      </c>
      <c r="K190" s="171" t="s">
        <v>134</v>
      </c>
      <c r="M190" s="171">
        <v>60</v>
      </c>
      <c r="N190" s="171" t="s">
        <v>98</v>
      </c>
      <c r="O190" s="171" t="s">
        <v>38</v>
      </c>
      <c r="Q190" s="399">
        <v>3</v>
      </c>
      <c r="R190" s="399" t="s">
        <v>97</v>
      </c>
      <c r="S190" s="398" t="s">
        <v>134</v>
      </c>
      <c r="U190" s="171">
        <v>39</v>
      </c>
      <c r="V190" s="171" t="s">
        <v>98</v>
      </c>
      <c r="W190" s="171" t="s">
        <v>56</v>
      </c>
      <c r="Y190" s="171">
        <v>3</v>
      </c>
      <c r="Z190" s="171" t="s">
        <v>97</v>
      </c>
      <c r="AA190" s="171" t="s">
        <v>134</v>
      </c>
      <c r="AC190" s="505">
        <v>60</v>
      </c>
      <c r="AD190" s="505" t="s">
        <v>98</v>
      </c>
      <c r="AE190" s="505" t="s">
        <v>123</v>
      </c>
      <c r="AG190" s="171">
        <v>31</v>
      </c>
      <c r="AH190" s="171" t="s">
        <v>98</v>
      </c>
      <c r="AI190" s="171" t="s">
        <v>56</v>
      </c>
      <c r="AK190" s="299">
        <v>19</v>
      </c>
      <c r="AL190" s="299" t="s">
        <v>81</v>
      </c>
      <c r="AM190" s="299" t="s">
        <v>1330</v>
      </c>
      <c r="AO190" s="299">
        <v>7</v>
      </c>
      <c r="AP190" s="299" t="s">
        <v>81</v>
      </c>
      <c r="AQ190" s="299" t="s">
        <v>134</v>
      </c>
    </row>
    <row r="191" spans="1:43" ht="15" customHeight="1" x14ac:dyDescent="0.25">
      <c r="A191">
        <v>30</v>
      </c>
      <c r="B191" t="s">
        <v>98</v>
      </c>
      <c r="C191" t="s">
        <v>38</v>
      </c>
      <c r="E191" s="72">
        <v>52</v>
      </c>
      <c r="F191" t="s">
        <v>98</v>
      </c>
      <c r="G191" t="s">
        <v>688</v>
      </c>
      <c r="I191" s="171">
        <v>1</v>
      </c>
      <c r="J191" s="171" t="s">
        <v>97</v>
      </c>
      <c r="K191" s="171" t="s">
        <v>134</v>
      </c>
      <c r="M191" s="171">
        <v>38</v>
      </c>
      <c r="N191" s="171" t="s">
        <v>98</v>
      </c>
      <c r="O191" s="171" t="s">
        <v>38</v>
      </c>
      <c r="Q191" s="399" t="s">
        <v>689</v>
      </c>
      <c r="R191" s="399" t="s">
        <v>97</v>
      </c>
      <c r="S191" s="398" t="s">
        <v>134</v>
      </c>
      <c r="U191" s="171">
        <v>39</v>
      </c>
      <c r="V191" s="171" t="s">
        <v>98</v>
      </c>
      <c r="W191" s="171" t="s">
        <v>56</v>
      </c>
      <c r="Y191" s="171">
        <v>5</v>
      </c>
      <c r="Z191" s="171" t="s">
        <v>97</v>
      </c>
      <c r="AA191" s="171" t="s">
        <v>134</v>
      </c>
      <c r="AC191" s="505">
        <v>34</v>
      </c>
      <c r="AD191" s="505" t="s">
        <v>98</v>
      </c>
      <c r="AE191" s="505" t="s">
        <v>123</v>
      </c>
      <c r="AG191" s="171">
        <v>18</v>
      </c>
      <c r="AH191" s="171" t="s">
        <v>98</v>
      </c>
      <c r="AI191" s="171" t="s">
        <v>56</v>
      </c>
      <c r="AK191" s="299">
        <v>38</v>
      </c>
      <c r="AL191" s="299" t="s">
        <v>81</v>
      </c>
      <c r="AM191" s="299" t="s">
        <v>1330</v>
      </c>
      <c r="AO191" s="299">
        <v>1</v>
      </c>
      <c r="AP191" s="299" t="s">
        <v>81</v>
      </c>
      <c r="AQ191" s="299" t="s">
        <v>134</v>
      </c>
    </row>
    <row r="192" spans="1:43" ht="15" customHeight="1" x14ac:dyDescent="0.25">
      <c r="A192">
        <v>26</v>
      </c>
      <c r="B192" t="s">
        <v>98</v>
      </c>
      <c r="C192" t="s">
        <v>38</v>
      </c>
      <c r="E192" s="72">
        <v>52</v>
      </c>
      <c r="F192" t="s">
        <v>97</v>
      </c>
      <c r="G192" t="s">
        <v>688</v>
      </c>
      <c r="I192" s="171" t="s">
        <v>693</v>
      </c>
      <c r="J192" s="171" t="s">
        <v>98</v>
      </c>
      <c r="K192" s="171" t="s">
        <v>134</v>
      </c>
      <c r="M192" s="171">
        <v>25</v>
      </c>
      <c r="N192" s="171" t="s">
        <v>98</v>
      </c>
      <c r="O192" s="171" t="s">
        <v>38</v>
      </c>
      <c r="Q192" s="399">
        <v>3</v>
      </c>
      <c r="R192" s="399" t="s">
        <v>98</v>
      </c>
      <c r="S192" s="398" t="s">
        <v>134</v>
      </c>
      <c r="U192" s="171">
        <v>16</v>
      </c>
      <c r="V192" s="171" t="s">
        <v>98</v>
      </c>
      <c r="W192" s="171" t="s">
        <v>56</v>
      </c>
      <c r="Y192" s="171">
        <v>4</v>
      </c>
      <c r="Z192" s="171" t="s">
        <v>98</v>
      </c>
      <c r="AA192" s="171" t="s">
        <v>134</v>
      </c>
      <c r="AC192" s="505">
        <v>55</v>
      </c>
      <c r="AD192" s="505" t="s">
        <v>98</v>
      </c>
      <c r="AE192" s="505" t="s">
        <v>123</v>
      </c>
      <c r="AG192" s="171">
        <v>19</v>
      </c>
      <c r="AH192" s="171" t="s">
        <v>98</v>
      </c>
      <c r="AI192" s="171" t="s">
        <v>56</v>
      </c>
      <c r="AK192" s="299">
        <v>44</v>
      </c>
      <c r="AL192" s="299" t="s">
        <v>81</v>
      </c>
      <c r="AM192" s="299" t="s">
        <v>1330</v>
      </c>
      <c r="AO192" s="299">
        <v>4</v>
      </c>
      <c r="AP192" s="299" t="s">
        <v>81</v>
      </c>
      <c r="AQ192" s="299" t="s">
        <v>134</v>
      </c>
    </row>
    <row r="193" spans="1:43" ht="15" customHeight="1" x14ac:dyDescent="0.25">
      <c r="A193">
        <v>41</v>
      </c>
      <c r="B193" t="s">
        <v>98</v>
      </c>
      <c r="C193" t="s">
        <v>55</v>
      </c>
      <c r="E193" s="72">
        <v>52</v>
      </c>
      <c r="F193" t="s">
        <v>97</v>
      </c>
      <c r="G193" t="s">
        <v>688</v>
      </c>
      <c r="I193" s="171">
        <v>3</v>
      </c>
      <c r="J193" s="171" t="s">
        <v>98</v>
      </c>
      <c r="K193" s="171" t="s">
        <v>134</v>
      </c>
      <c r="M193" s="171">
        <v>26</v>
      </c>
      <c r="N193" s="171" t="s">
        <v>98</v>
      </c>
      <c r="O193" s="171" t="s">
        <v>38</v>
      </c>
      <c r="Q193" s="399">
        <v>7</v>
      </c>
      <c r="R193" s="399" t="s">
        <v>97</v>
      </c>
      <c r="S193" s="398" t="s">
        <v>134</v>
      </c>
      <c r="U193" s="171">
        <v>41</v>
      </c>
      <c r="V193" s="171" t="s">
        <v>98</v>
      </c>
      <c r="W193" s="171" t="s">
        <v>56</v>
      </c>
      <c r="Y193" s="171">
        <v>5</v>
      </c>
      <c r="Z193" s="171" t="s">
        <v>97</v>
      </c>
      <c r="AA193" s="171" t="s">
        <v>134</v>
      </c>
      <c r="AC193" s="505">
        <v>58</v>
      </c>
      <c r="AD193" s="505" t="s">
        <v>98</v>
      </c>
      <c r="AE193" s="505" t="s">
        <v>123</v>
      </c>
      <c r="AG193" s="171">
        <v>24</v>
      </c>
      <c r="AH193" s="171" t="s">
        <v>98</v>
      </c>
      <c r="AI193" s="171" t="s">
        <v>56</v>
      </c>
      <c r="AK193" s="299">
        <v>27</v>
      </c>
      <c r="AL193" s="299" t="s">
        <v>81</v>
      </c>
      <c r="AM193" s="299" t="s">
        <v>1330</v>
      </c>
      <c r="AO193" s="299">
        <v>3</v>
      </c>
      <c r="AP193" s="299" t="s">
        <v>82</v>
      </c>
      <c r="AQ193" s="299" t="s">
        <v>134</v>
      </c>
    </row>
    <row r="194" spans="1:43" ht="15" customHeight="1" x14ac:dyDescent="0.25">
      <c r="A194">
        <v>26</v>
      </c>
      <c r="B194" t="s">
        <v>98</v>
      </c>
      <c r="C194" t="s">
        <v>55</v>
      </c>
      <c r="E194" s="72">
        <v>52</v>
      </c>
      <c r="F194" t="s">
        <v>97</v>
      </c>
      <c r="G194" t="s">
        <v>122</v>
      </c>
      <c r="I194" s="171" t="s">
        <v>692</v>
      </c>
      <c r="J194" s="171" t="s">
        <v>97</v>
      </c>
      <c r="K194" s="171" t="s">
        <v>134</v>
      </c>
      <c r="M194" s="171">
        <v>23</v>
      </c>
      <c r="N194" s="171" t="s">
        <v>98</v>
      </c>
      <c r="O194" s="171" t="s">
        <v>38</v>
      </c>
      <c r="Q194" s="399">
        <v>4</v>
      </c>
      <c r="R194" s="399" t="s">
        <v>98</v>
      </c>
      <c r="S194" s="398" t="s">
        <v>134</v>
      </c>
      <c r="U194" s="171">
        <v>18</v>
      </c>
      <c r="V194" s="171" t="s">
        <v>98</v>
      </c>
      <c r="W194" s="171" t="s">
        <v>56</v>
      </c>
      <c r="Y194" s="171">
        <v>2</v>
      </c>
      <c r="Z194" s="171" t="s">
        <v>98</v>
      </c>
      <c r="AA194" s="171" t="s">
        <v>134</v>
      </c>
      <c r="AC194" s="505">
        <v>25</v>
      </c>
      <c r="AD194" s="505" t="s">
        <v>98</v>
      </c>
      <c r="AE194" s="505" t="s">
        <v>123</v>
      </c>
      <c r="AG194" s="171">
        <v>24</v>
      </c>
      <c r="AH194" s="171" t="s">
        <v>98</v>
      </c>
      <c r="AI194" s="171" t="s">
        <v>56</v>
      </c>
      <c r="AK194" s="299">
        <v>36</v>
      </c>
      <c r="AL194" s="299" t="s">
        <v>81</v>
      </c>
      <c r="AM194" s="299" t="s">
        <v>1330</v>
      </c>
      <c r="AO194" s="299">
        <v>2</v>
      </c>
      <c r="AP194" s="299" t="s">
        <v>82</v>
      </c>
      <c r="AQ194" s="299" t="s">
        <v>134</v>
      </c>
    </row>
    <row r="195" spans="1:43" ht="15" customHeight="1" x14ac:dyDescent="0.25">
      <c r="A195">
        <v>30</v>
      </c>
      <c r="B195" t="s">
        <v>98</v>
      </c>
      <c r="C195" t="s">
        <v>55</v>
      </c>
      <c r="E195" s="72">
        <v>52</v>
      </c>
      <c r="F195" t="s">
        <v>97</v>
      </c>
      <c r="G195" t="s">
        <v>122</v>
      </c>
      <c r="I195" s="171">
        <v>9</v>
      </c>
      <c r="J195" s="171" t="s">
        <v>97</v>
      </c>
      <c r="K195" s="171" t="s">
        <v>134</v>
      </c>
      <c r="M195" s="171">
        <v>25</v>
      </c>
      <c r="N195" s="171" t="s">
        <v>98</v>
      </c>
      <c r="O195" s="171" t="s">
        <v>56</v>
      </c>
      <c r="Q195" s="399">
        <v>10</v>
      </c>
      <c r="R195" s="399" t="s">
        <v>98</v>
      </c>
      <c r="S195" s="398" t="s">
        <v>134</v>
      </c>
      <c r="U195" s="171">
        <v>25</v>
      </c>
      <c r="V195" s="171" t="s">
        <v>98</v>
      </c>
      <c r="W195" s="171" t="s">
        <v>56</v>
      </c>
      <c r="Y195" s="171">
        <v>4</v>
      </c>
      <c r="Z195" s="171" t="s">
        <v>97</v>
      </c>
      <c r="AA195" s="171" t="s">
        <v>134</v>
      </c>
      <c r="AC195" s="505">
        <v>19</v>
      </c>
      <c r="AD195" s="505" t="s">
        <v>98</v>
      </c>
      <c r="AE195" s="505" t="s">
        <v>123</v>
      </c>
      <c r="AG195" s="171">
        <v>19</v>
      </c>
      <c r="AH195" s="171" t="s">
        <v>98</v>
      </c>
      <c r="AI195" s="171" t="s">
        <v>56</v>
      </c>
      <c r="AK195" s="299">
        <v>33</v>
      </c>
      <c r="AL195" s="299" t="s">
        <v>81</v>
      </c>
      <c r="AM195" s="299" t="s">
        <v>1330</v>
      </c>
      <c r="AO195" s="299" t="s">
        <v>1365</v>
      </c>
      <c r="AP195" s="299" t="s">
        <v>81</v>
      </c>
      <c r="AQ195" s="299" t="s">
        <v>134</v>
      </c>
    </row>
    <row r="196" spans="1:43" ht="15" customHeight="1" x14ac:dyDescent="0.25">
      <c r="A196">
        <v>42</v>
      </c>
      <c r="B196" t="s">
        <v>98</v>
      </c>
      <c r="C196" t="s">
        <v>55</v>
      </c>
      <c r="E196" s="72">
        <v>51</v>
      </c>
      <c r="F196" t="s">
        <v>97</v>
      </c>
      <c r="G196" t="s">
        <v>688</v>
      </c>
      <c r="I196" s="171">
        <v>1</v>
      </c>
      <c r="J196" s="171" t="s">
        <v>97</v>
      </c>
      <c r="K196" s="171" t="s">
        <v>134</v>
      </c>
      <c r="M196" s="171">
        <v>37</v>
      </c>
      <c r="N196" s="171" t="s">
        <v>98</v>
      </c>
      <c r="O196" s="171" t="s">
        <v>56</v>
      </c>
      <c r="Q196" s="399">
        <v>1</v>
      </c>
      <c r="R196" s="399" t="s">
        <v>97</v>
      </c>
      <c r="S196" s="398" t="s">
        <v>134</v>
      </c>
      <c r="U196" s="171">
        <v>32</v>
      </c>
      <c r="V196" s="171" t="s">
        <v>98</v>
      </c>
      <c r="W196" s="171" t="s">
        <v>56</v>
      </c>
      <c r="Y196" s="171">
        <v>12</v>
      </c>
      <c r="Z196" s="171" t="s">
        <v>98</v>
      </c>
      <c r="AA196" s="171" t="s">
        <v>134</v>
      </c>
      <c r="AC196" s="505">
        <v>53</v>
      </c>
      <c r="AD196" s="505" t="s">
        <v>98</v>
      </c>
      <c r="AE196" s="505" t="s">
        <v>123</v>
      </c>
      <c r="AG196" s="171">
        <v>25</v>
      </c>
      <c r="AH196" s="171" t="s">
        <v>98</v>
      </c>
      <c r="AI196" s="171" t="s">
        <v>56</v>
      </c>
      <c r="AK196" s="299">
        <v>28</v>
      </c>
      <c r="AL196" s="299" t="s">
        <v>81</v>
      </c>
      <c r="AM196" s="299" t="s">
        <v>1330</v>
      </c>
      <c r="AO196" s="299" t="s">
        <v>1367</v>
      </c>
      <c r="AP196" s="299" t="s">
        <v>82</v>
      </c>
      <c r="AQ196" s="299" t="s">
        <v>134</v>
      </c>
    </row>
    <row r="197" spans="1:43" ht="15" customHeight="1" x14ac:dyDescent="0.25">
      <c r="A197">
        <v>34</v>
      </c>
      <c r="B197" t="s">
        <v>98</v>
      </c>
      <c r="C197" t="s">
        <v>55</v>
      </c>
      <c r="E197" s="72">
        <v>51</v>
      </c>
      <c r="F197" t="s">
        <v>98</v>
      </c>
      <c r="G197" t="s">
        <v>123</v>
      </c>
      <c r="I197" s="171">
        <v>1</v>
      </c>
      <c r="J197" s="171" t="s">
        <v>97</v>
      </c>
      <c r="K197" s="171" t="s">
        <v>134</v>
      </c>
      <c r="M197" s="171">
        <v>38</v>
      </c>
      <c r="N197" s="171" t="s">
        <v>98</v>
      </c>
      <c r="O197" s="171" t="s">
        <v>56</v>
      </c>
      <c r="Q197" s="399">
        <v>1</v>
      </c>
      <c r="R197" s="399" t="s">
        <v>97</v>
      </c>
      <c r="S197" s="398" t="s">
        <v>134</v>
      </c>
      <c r="U197" s="171">
        <v>20</v>
      </c>
      <c r="V197" s="171" t="s">
        <v>98</v>
      </c>
      <c r="W197" s="171" t="s">
        <v>56</v>
      </c>
      <c r="Y197" s="171">
        <v>1</v>
      </c>
      <c r="Z197" s="171" t="s">
        <v>98</v>
      </c>
      <c r="AA197" s="171" t="s">
        <v>134</v>
      </c>
      <c r="AC197" s="505">
        <v>35</v>
      </c>
      <c r="AD197" s="505" t="s">
        <v>98</v>
      </c>
      <c r="AE197" s="505" t="s">
        <v>123</v>
      </c>
      <c r="AG197" s="505">
        <v>36</v>
      </c>
      <c r="AH197" s="171" t="s">
        <v>98</v>
      </c>
      <c r="AI197" s="171" t="s">
        <v>56</v>
      </c>
      <c r="AK197" s="503">
        <v>42</v>
      </c>
      <c r="AL197" s="299" t="s">
        <v>81</v>
      </c>
      <c r="AM197" s="299" t="s">
        <v>1330</v>
      </c>
      <c r="AO197" s="503">
        <v>3</v>
      </c>
      <c r="AP197" s="299" t="s">
        <v>82</v>
      </c>
      <c r="AQ197" s="299" t="s">
        <v>134</v>
      </c>
    </row>
    <row r="198" spans="1:43" ht="15" customHeight="1" x14ac:dyDescent="0.25">
      <c r="A198">
        <v>26</v>
      </c>
      <c r="B198" t="s">
        <v>98</v>
      </c>
      <c r="C198" t="s">
        <v>55</v>
      </c>
      <c r="E198" s="72">
        <v>51</v>
      </c>
      <c r="F198" t="s">
        <v>98</v>
      </c>
      <c r="G198" t="s">
        <v>123</v>
      </c>
      <c r="I198" s="171">
        <v>1</v>
      </c>
      <c r="J198" s="171" t="s">
        <v>97</v>
      </c>
      <c r="K198" s="171" t="s">
        <v>134</v>
      </c>
      <c r="M198" s="171">
        <v>32</v>
      </c>
      <c r="N198" s="171" t="s">
        <v>98</v>
      </c>
      <c r="O198" s="171" t="s">
        <v>56</v>
      </c>
      <c r="Q198" s="399">
        <v>10</v>
      </c>
      <c r="R198" s="399" t="s">
        <v>97</v>
      </c>
      <c r="S198" s="398" t="s">
        <v>134</v>
      </c>
      <c r="U198" s="171">
        <v>27</v>
      </c>
      <c r="V198" s="171" t="s">
        <v>98</v>
      </c>
      <c r="W198" s="171" t="s">
        <v>56</v>
      </c>
      <c r="Y198" s="171">
        <v>10</v>
      </c>
      <c r="Z198" s="171" t="s">
        <v>97</v>
      </c>
      <c r="AA198" s="171" t="s">
        <v>134</v>
      </c>
      <c r="AC198" s="505">
        <v>4</v>
      </c>
      <c r="AD198" s="505" t="s">
        <v>97</v>
      </c>
      <c r="AE198" s="505" t="s">
        <v>134</v>
      </c>
      <c r="AG198" s="171">
        <v>15</v>
      </c>
      <c r="AH198" s="171" t="s">
        <v>98</v>
      </c>
      <c r="AI198" s="171" t="s">
        <v>56</v>
      </c>
      <c r="AK198" s="299">
        <v>29</v>
      </c>
      <c r="AL198" s="299" t="s">
        <v>81</v>
      </c>
      <c r="AM198" s="299" t="s">
        <v>1330</v>
      </c>
      <c r="AO198" s="299">
        <v>2</v>
      </c>
      <c r="AP198" s="299" t="s">
        <v>81</v>
      </c>
      <c r="AQ198" s="299" t="s">
        <v>134</v>
      </c>
    </row>
    <row r="199" spans="1:43" ht="15" customHeight="1" x14ac:dyDescent="0.25">
      <c r="A199">
        <v>30</v>
      </c>
      <c r="B199" t="s">
        <v>98</v>
      </c>
      <c r="C199" t="s">
        <v>55</v>
      </c>
      <c r="E199" s="72">
        <v>50</v>
      </c>
      <c r="F199" t="s">
        <v>97</v>
      </c>
      <c r="G199" t="s">
        <v>688</v>
      </c>
      <c r="I199" s="171" t="s">
        <v>690</v>
      </c>
      <c r="J199" s="171" t="s">
        <v>97</v>
      </c>
      <c r="K199" s="171" t="s">
        <v>134</v>
      </c>
      <c r="M199" s="171">
        <v>35</v>
      </c>
      <c r="N199" s="171" t="s">
        <v>98</v>
      </c>
      <c r="O199" s="171" t="s">
        <v>56</v>
      </c>
      <c r="Q199" s="399">
        <v>12</v>
      </c>
      <c r="R199" s="399" t="s">
        <v>97</v>
      </c>
      <c r="S199" s="398" t="s">
        <v>134</v>
      </c>
      <c r="U199" s="171">
        <v>31</v>
      </c>
      <c r="V199" s="171" t="s">
        <v>98</v>
      </c>
      <c r="W199" s="171" t="s">
        <v>56</v>
      </c>
      <c r="Y199" s="171">
        <v>1</v>
      </c>
      <c r="Z199" s="171" t="s">
        <v>97</v>
      </c>
      <c r="AA199" s="171" t="s">
        <v>134</v>
      </c>
      <c r="AC199" s="505" t="s">
        <v>1100</v>
      </c>
      <c r="AD199" s="505" t="s">
        <v>98</v>
      </c>
      <c r="AE199" s="505" t="s">
        <v>134</v>
      </c>
      <c r="AG199" s="171">
        <v>20</v>
      </c>
      <c r="AH199" s="171" t="s">
        <v>98</v>
      </c>
      <c r="AI199" s="171" t="s">
        <v>56</v>
      </c>
      <c r="AK199" s="299">
        <v>35</v>
      </c>
      <c r="AL199" s="299" t="s">
        <v>81</v>
      </c>
      <c r="AM199" s="299" t="s">
        <v>1330</v>
      </c>
      <c r="AO199" s="299">
        <v>6</v>
      </c>
      <c r="AP199" s="299" t="s">
        <v>82</v>
      </c>
      <c r="AQ199" s="299" t="s">
        <v>134</v>
      </c>
    </row>
    <row r="200" spans="1:43" ht="15" customHeight="1" x14ac:dyDescent="0.25">
      <c r="A200">
        <v>16</v>
      </c>
      <c r="B200" t="s">
        <v>98</v>
      </c>
      <c r="C200" t="s">
        <v>55</v>
      </c>
      <c r="E200" s="72">
        <v>50</v>
      </c>
      <c r="F200" t="s">
        <v>97</v>
      </c>
      <c r="G200" t="s">
        <v>688</v>
      </c>
      <c r="I200" s="171">
        <v>4</v>
      </c>
      <c r="J200" s="171" t="s">
        <v>97</v>
      </c>
      <c r="K200" s="171" t="s">
        <v>134</v>
      </c>
      <c r="M200" s="171">
        <v>36</v>
      </c>
      <c r="N200" s="171" t="s">
        <v>98</v>
      </c>
      <c r="O200" s="171" t="s">
        <v>56</v>
      </c>
      <c r="Q200" s="399">
        <v>4</v>
      </c>
      <c r="R200" s="399" t="s">
        <v>97</v>
      </c>
      <c r="S200" s="398" t="s">
        <v>134</v>
      </c>
      <c r="U200" s="171">
        <v>21</v>
      </c>
      <c r="V200" s="171" t="s">
        <v>98</v>
      </c>
      <c r="W200" s="171" t="s">
        <v>56</v>
      </c>
      <c r="Y200" s="171">
        <v>2</v>
      </c>
      <c r="Z200" s="171" t="s">
        <v>97</v>
      </c>
      <c r="AA200" s="171" t="s">
        <v>134</v>
      </c>
      <c r="AC200" s="505" t="s">
        <v>1096</v>
      </c>
      <c r="AD200" s="505" t="s">
        <v>97</v>
      </c>
      <c r="AE200" s="505" t="s">
        <v>134</v>
      </c>
      <c r="AG200" s="171">
        <v>20</v>
      </c>
      <c r="AH200" s="171" t="s">
        <v>98</v>
      </c>
      <c r="AI200" s="171" t="s">
        <v>56</v>
      </c>
      <c r="AK200" s="299">
        <v>42</v>
      </c>
      <c r="AL200" s="299" t="s">
        <v>81</v>
      </c>
      <c r="AM200" s="299" t="s">
        <v>1330</v>
      </c>
      <c r="AO200" s="299">
        <v>3</v>
      </c>
      <c r="AP200" s="299" t="s">
        <v>82</v>
      </c>
      <c r="AQ200" s="299" t="s">
        <v>134</v>
      </c>
    </row>
    <row r="201" spans="1:43" ht="15" customHeight="1" x14ac:dyDescent="0.25">
      <c r="A201">
        <v>37</v>
      </c>
      <c r="B201" t="s">
        <v>98</v>
      </c>
      <c r="C201" t="s">
        <v>55</v>
      </c>
      <c r="E201" s="72">
        <v>50</v>
      </c>
      <c r="F201" t="s">
        <v>98</v>
      </c>
      <c r="G201" t="s">
        <v>688</v>
      </c>
      <c r="I201" s="171">
        <v>11</v>
      </c>
      <c r="J201" s="171" t="s">
        <v>97</v>
      </c>
      <c r="K201" s="171" t="s">
        <v>134</v>
      </c>
      <c r="M201" s="171">
        <v>29</v>
      </c>
      <c r="N201" s="171" t="s">
        <v>98</v>
      </c>
      <c r="O201" s="171" t="s">
        <v>56</v>
      </c>
      <c r="Q201" s="399" t="s">
        <v>691</v>
      </c>
      <c r="R201" s="399" t="s">
        <v>97</v>
      </c>
      <c r="S201" s="398" t="s">
        <v>134</v>
      </c>
      <c r="U201" s="171">
        <v>21</v>
      </c>
      <c r="V201" s="171" t="s">
        <v>98</v>
      </c>
      <c r="W201" s="171" t="s">
        <v>56</v>
      </c>
      <c r="Y201" s="171">
        <v>6</v>
      </c>
      <c r="Z201" s="171" t="s">
        <v>98</v>
      </c>
      <c r="AA201" s="171" t="s">
        <v>134</v>
      </c>
      <c r="AC201" s="505">
        <v>2</v>
      </c>
      <c r="AD201" s="505" t="s">
        <v>98</v>
      </c>
      <c r="AE201" s="505" t="s">
        <v>134</v>
      </c>
      <c r="AG201" s="171">
        <v>32</v>
      </c>
      <c r="AH201" s="171" t="s">
        <v>98</v>
      </c>
      <c r="AI201" s="171" t="s">
        <v>56</v>
      </c>
      <c r="AK201" s="299">
        <v>31</v>
      </c>
      <c r="AL201" s="299" t="s">
        <v>81</v>
      </c>
      <c r="AM201" s="299" t="s">
        <v>1330</v>
      </c>
      <c r="AO201" s="299">
        <v>10</v>
      </c>
      <c r="AP201" s="299" t="s">
        <v>81</v>
      </c>
      <c r="AQ201" s="299" t="s">
        <v>134</v>
      </c>
    </row>
    <row r="202" spans="1:43" ht="15" customHeight="1" x14ac:dyDescent="0.25">
      <c r="A202">
        <v>24</v>
      </c>
      <c r="B202" t="s">
        <v>98</v>
      </c>
      <c r="C202" t="s">
        <v>55</v>
      </c>
      <c r="E202" s="72">
        <v>50</v>
      </c>
      <c r="F202" t="s">
        <v>97</v>
      </c>
      <c r="G202" t="s">
        <v>122</v>
      </c>
      <c r="I202" s="171">
        <v>1</v>
      </c>
      <c r="J202" s="171" t="s">
        <v>97</v>
      </c>
      <c r="K202" s="171" t="s">
        <v>134</v>
      </c>
      <c r="M202" s="171">
        <v>25</v>
      </c>
      <c r="N202" s="171" t="s">
        <v>98</v>
      </c>
      <c r="O202" s="171" t="s">
        <v>56</v>
      </c>
      <c r="Q202" s="399">
        <v>3</v>
      </c>
      <c r="R202" s="399" t="s">
        <v>98</v>
      </c>
      <c r="S202" s="398" t="s">
        <v>134</v>
      </c>
      <c r="U202" s="171">
        <v>19</v>
      </c>
      <c r="V202" s="171" t="s">
        <v>98</v>
      </c>
      <c r="W202" s="171" t="s">
        <v>56</v>
      </c>
      <c r="Y202" s="171">
        <v>7</v>
      </c>
      <c r="Z202" s="171" t="s">
        <v>98</v>
      </c>
      <c r="AA202" s="171" t="s">
        <v>134</v>
      </c>
      <c r="AC202" s="505">
        <v>2</v>
      </c>
      <c r="AD202" s="505" t="s">
        <v>97</v>
      </c>
      <c r="AE202" s="505" t="s">
        <v>134</v>
      </c>
      <c r="AG202" s="171">
        <v>35</v>
      </c>
      <c r="AH202" s="171" t="s">
        <v>98</v>
      </c>
      <c r="AI202" s="171" t="s">
        <v>56</v>
      </c>
      <c r="AK202" s="299">
        <v>43</v>
      </c>
      <c r="AL202" s="299" t="s">
        <v>81</v>
      </c>
      <c r="AM202" s="299" t="s">
        <v>1330</v>
      </c>
      <c r="AO202" s="299">
        <v>5</v>
      </c>
      <c r="AP202" s="299" t="s">
        <v>82</v>
      </c>
      <c r="AQ202" s="299" t="s">
        <v>134</v>
      </c>
    </row>
    <row r="203" spans="1:43" ht="15" customHeight="1" x14ac:dyDescent="0.25">
      <c r="A203">
        <v>25</v>
      </c>
      <c r="B203" t="s">
        <v>98</v>
      </c>
      <c r="C203" t="s">
        <v>55</v>
      </c>
      <c r="E203" s="72">
        <v>50</v>
      </c>
      <c r="F203" t="s">
        <v>97</v>
      </c>
      <c r="G203" t="s">
        <v>122</v>
      </c>
      <c r="I203" s="171">
        <v>2</v>
      </c>
      <c r="J203" s="171" t="s">
        <v>97</v>
      </c>
      <c r="K203" s="171" t="s">
        <v>134</v>
      </c>
      <c r="M203" s="171">
        <v>28</v>
      </c>
      <c r="N203" s="171" t="s">
        <v>98</v>
      </c>
      <c r="O203" s="171" t="s">
        <v>56</v>
      </c>
      <c r="Q203" s="399">
        <v>8</v>
      </c>
      <c r="R203" s="399" t="s">
        <v>98</v>
      </c>
      <c r="S203" s="398" t="s">
        <v>134</v>
      </c>
      <c r="U203" s="171">
        <v>27</v>
      </c>
      <c r="V203" s="171" t="s">
        <v>98</v>
      </c>
      <c r="W203" s="171" t="s">
        <v>56</v>
      </c>
      <c r="Y203" s="171" t="s">
        <v>1097</v>
      </c>
      <c r="Z203" s="171" t="s">
        <v>98</v>
      </c>
      <c r="AA203" s="171" t="s">
        <v>134</v>
      </c>
      <c r="AC203" s="505">
        <v>5</v>
      </c>
      <c r="AD203" s="505" t="s">
        <v>97</v>
      </c>
      <c r="AE203" s="505" t="s">
        <v>134</v>
      </c>
      <c r="AG203" s="171">
        <v>27</v>
      </c>
      <c r="AH203" s="171" t="s">
        <v>98</v>
      </c>
      <c r="AI203" s="171" t="s">
        <v>56</v>
      </c>
      <c r="AK203" s="299">
        <v>43</v>
      </c>
      <c r="AL203" s="299" t="s">
        <v>81</v>
      </c>
      <c r="AM203" s="299" t="s">
        <v>1330</v>
      </c>
      <c r="AO203" s="299" t="s">
        <v>1342</v>
      </c>
      <c r="AP203" s="299" t="s">
        <v>82</v>
      </c>
      <c r="AQ203" s="299" t="s">
        <v>134</v>
      </c>
    </row>
    <row r="204" spans="1:43" ht="15" customHeight="1" x14ac:dyDescent="0.25">
      <c r="A204">
        <v>12</v>
      </c>
      <c r="B204" t="s">
        <v>98</v>
      </c>
      <c r="C204" t="s">
        <v>55</v>
      </c>
      <c r="E204" s="72">
        <v>50</v>
      </c>
      <c r="F204" t="s">
        <v>98</v>
      </c>
      <c r="G204" t="s">
        <v>123</v>
      </c>
      <c r="I204" s="171">
        <v>3</v>
      </c>
      <c r="J204" s="171" t="s">
        <v>98</v>
      </c>
      <c r="K204" s="171" t="s">
        <v>134</v>
      </c>
      <c r="M204" s="171">
        <v>38</v>
      </c>
      <c r="N204" s="171" t="s">
        <v>98</v>
      </c>
      <c r="O204" s="171" t="s">
        <v>56</v>
      </c>
      <c r="Q204" s="399">
        <v>3</v>
      </c>
      <c r="R204" s="399" t="s">
        <v>98</v>
      </c>
      <c r="S204" s="398" t="s">
        <v>134</v>
      </c>
      <c r="U204" s="171">
        <v>34</v>
      </c>
      <c r="V204" s="171" t="s">
        <v>98</v>
      </c>
      <c r="W204" s="171" t="s">
        <v>56</v>
      </c>
      <c r="Y204" s="171">
        <v>7</v>
      </c>
      <c r="Z204" s="171" t="s">
        <v>97</v>
      </c>
      <c r="AA204" s="171" t="s">
        <v>134</v>
      </c>
      <c r="AC204" s="505">
        <v>8</v>
      </c>
      <c r="AD204" s="505" t="s">
        <v>98</v>
      </c>
      <c r="AE204" s="505" t="s">
        <v>134</v>
      </c>
      <c r="AG204" s="171">
        <v>25</v>
      </c>
      <c r="AH204" s="171" t="s">
        <v>98</v>
      </c>
      <c r="AI204" s="171" t="s">
        <v>56</v>
      </c>
      <c r="AK204" s="299">
        <v>27</v>
      </c>
      <c r="AL204" s="299" t="s">
        <v>81</v>
      </c>
      <c r="AM204" s="299" t="s">
        <v>1330</v>
      </c>
      <c r="AO204" s="299">
        <v>5</v>
      </c>
      <c r="AP204" s="299" t="s">
        <v>81</v>
      </c>
      <c r="AQ204" s="299" t="s">
        <v>134</v>
      </c>
    </row>
    <row r="205" spans="1:43" ht="15" customHeight="1" x14ac:dyDescent="0.25">
      <c r="A205">
        <v>38</v>
      </c>
      <c r="B205" t="s">
        <v>98</v>
      </c>
      <c r="C205" t="s">
        <v>55</v>
      </c>
      <c r="E205" s="72">
        <v>50</v>
      </c>
      <c r="F205" t="s">
        <v>98</v>
      </c>
      <c r="G205" t="s">
        <v>123</v>
      </c>
      <c r="I205" s="171">
        <v>2</v>
      </c>
      <c r="J205" s="171" t="s">
        <v>97</v>
      </c>
      <c r="K205" s="171" t="s">
        <v>134</v>
      </c>
      <c r="M205" s="171">
        <v>25</v>
      </c>
      <c r="N205" s="171" t="s">
        <v>98</v>
      </c>
      <c r="O205" s="171" t="s">
        <v>56</v>
      </c>
      <c r="Q205" s="399" t="s">
        <v>689</v>
      </c>
      <c r="R205" s="399" t="s">
        <v>97</v>
      </c>
      <c r="S205" s="398" t="s">
        <v>134</v>
      </c>
      <c r="U205" s="171">
        <v>35</v>
      </c>
      <c r="V205" s="171" t="s">
        <v>98</v>
      </c>
      <c r="W205" s="171" t="s">
        <v>56</v>
      </c>
      <c r="Y205" s="171" t="s">
        <v>1102</v>
      </c>
      <c r="Z205" s="171" t="s">
        <v>97</v>
      </c>
      <c r="AA205" s="171" t="s">
        <v>134</v>
      </c>
      <c r="AC205" s="505" t="s">
        <v>1096</v>
      </c>
      <c r="AD205" s="505" t="s">
        <v>97</v>
      </c>
      <c r="AE205" s="505" t="s">
        <v>134</v>
      </c>
      <c r="AG205" s="171">
        <v>40</v>
      </c>
      <c r="AH205" s="171" t="s">
        <v>98</v>
      </c>
      <c r="AI205" s="171" t="s">
        <v>56</v>
      </c>
      <c r="AK205" s="299">
        <v>19</v>
      </c>
      <c r="AL205" s="299" t="s">
        <v>81</v>
      </c>
      <c r="AM205" s="299" t="s">
        <v>1330</v>
      </c>
      <c r="AO205" s="299">
        <v>5</v>
      </c>
      <c r="AP205" s="299" t="s">
        <v>82</v>
      </c>
      <c r="AQ205" s="299" t="s">
        <v>134</v>
      </c>
    </row>
    <row r="206" spans="1:43" ht="15" customHeight="1" x14ac:dyDescent="0.25">
      <c r="A206">
        <v>18</v>
      </c>
      <c r="B206" t="s">
        <v>98</v>
      </c>
      <c r="C206" t="s">
        <v>55</v>
      </c>
      <c r="E206" s="72">
        <v>50</v>
      </c>
      <c r="F206" t="s">
        <v>98</v>
      </c>
      <c r="G206" t="s">
        <v>123</v>
      </c>
      <c r="I206" s="171">
        <v>1</v>
      </c>
      <c r="J206" s="171" t="s">
        <v>97</v>
      </c>
      <c r="K206" s="171" t="s">
        <v>134</v>
      </c>
      <c r="M206" s="171">
        <v>25</v>
      </c>
      <c r="N206" s="171" t="s">
        <v>98</v>
      </c>
      <c r="O206" s="171" t="s">
        <v>56</v>
      </c>
      <c r="Q206" s="399">
        <v>1</v>
      </c>
      <c r="R206" s="399" t="s">
        <v>97</v>
      </c>
      <c r="S206" s="398" t="s">
        <v>134</v>
      </c>
      <c r="U206" s="171">
        <v>39</v>
      </c>
      <c r="V206" s="171" t="s">
        <v>98</v>
      </c>
      <c r="W206" s="171" t="s">
        <v>56</v>
      </c>
      <c r="Y206" s="171">
        <v>3</v>
      </c>
      <c r="Z206" s="171" t="s">
        <v>97</v>
      </c>
      <c r="AA206" s="171" t="s">
        <v>134</v>
      </c>
      <c r="AC206" s="505">
        <v>12</v>
      </c>
      <c r="AD206" s="505" t="s">
        <v>98</v>
      </c>
      <c r="AE206" s="505" t="s">
        <v>134</v>
      </c>
      <c r="AG206" s="171">
        <v>31</v>
      </c>
      <c r="AH206" s="171" t="s">
        <v>98</v>
      </c>
      <c r="AI206" s="171" t="s">
        <v>56</v>
      </c>
      <c r="AK206" s="299">
        <v>19</v>
      </c>
      <c r="AL206" s="299" t="s">
        <v>81</v>
      </c>
      <c r="AM206" s="299" t="s">
        <v>1330</v>
      </c>
      <c r="AO206" s="299">
        <v>25</v>
      </c>
      <c r="AP206" s="299" t="s">
        <v>81</v>
      </c>
      <c r="AQ206" s="299" t="s">
        <v>1368</v>
      </c>
    </row>
    <row r="207" spans="1:43" ht="15" customHeight="1" x14ac:dyDescent="0.25">
      <c r="A207">
        <v>44</v>
      </c>
      <c r="B207" t="s">
        <v>98</v>
      </c>
      <c r="C207" t="s">
        <v>55</v>
      </c>
      <c r="E207" s="72">
        <v>50</v>
      </c>
      <c r="F207" t="s">
        <v>98</v>
      </c>
      <c r="G207" t="s">
        <v>123</v>
      </c>
      <c r="I207" s="171">
        <v>3</v>
      </c>
      <c r="J207" s="171" t="s">
        <v>98</v>
      </c>
      <c r="K207" s="171" t="s">
        <v>134</v>
      </c>
      <c r="M207" s="171">
        <v>39</v>
      </c>
      <c r="N207" s="171" t="s">
        <v>98</v>
      </c>
      <c r="O207" s="171" t="s">
        <v>56</v>
      </c>
      <c r="Q207" s="399">
        <v>3</v>
      </c>
      <c r="R207" s="399" t="s">
        <v>97</v>
      </c>
      <c r="S207" s="398" t="s">
        <v>134</v>
      </c>
      <c r="U207" s="171">
        <v>23</v>
      </c>
      <c r="V207" s="171" t="s">
        <v>98</v>
      </c>
      <c r="W207" s="171" t="s">
        <v>56</v>
      </c>
      <c r="Y207" s="171">
        <v>6</v>
      </c>
      <c r="Z207" s="171" t="s">
        <v>98</v>
      </c>
      <c r="AA207" s="171" t="s">
        <v>134</v>
      </c>
      <c r="AC207" s="505">
        <v>7</v>
      </c>
      <c r="AD207" s="505" t="s">
        <v>98</v>
      </c>
      <c r="AE207" s="505" t="s">
        <v>134</v>
      </c>
      <c r="AG207" s="171">
        <v>35</v>
      </c>
      <c r="AH207" s="171" t="s">
        <v>98</v>
      </c>
      <c r="AI207" s="171" t="s">
        <v>56</v>
      </c>
      <c r="AK207" s="299">
        <v>33</v>
      </c>
      <c r="AL207" s="299" t="s">
        <v>81</v>
      </c>
      <c r="AM207" s="299" t="s">
        <v>1330</v>
      </c>
      <c r="AO207" s="299">
        <v>34</v>
      </c>
      <c r="AP207" s="299" t="s">
        <v>81</v>
      </c>
      <c r="AQ207" s="299" t="s">
        <v>1368</v>
      </c>
    </row>
    <row r="208" spans="1:43" ht="15" customHeight="1" x14ac:dyDescent="0.25">
      <c r="A208">
        <v>40</v>
      </c>
      <c r="B208" t="s">
        <v>98</v>
      </c>
      <c r="C208" t="s">
        <v>55</v>
      </c>
      <c r="E208" s="72">
        <v>49</v>
      </c>
      <c r="F208" t="s">
        <v>97</v>
      </c>
      <c r="G208" t="s">
        <v>688</v>
      </c>
      <c r="I208" s="171">
        <v>12</v>
      </c>
      <c r="J208" s="171" t="s">
        <v>98</v>
      </c>
      <c r="K208" s="171" t="s">
        <v>134</v>
      </c>
      <c r="M208" s="171">
        <v>18</v>
      </c>
      <c r="N208" s="171" t="s">
        <v>98</v>
      </c>
      <c r="O208" s="171" t="s">
        <v>56</v>
      </c>
      <c r="Q208" s="399">
        <v>1</v>
      </c>
      <c r="R208" s="399" t="s">
        <v>97</v>
      </c>
      <c r="S208" s="398" t="s">
        <v>134</v>
      </c>
      <c r="U208" s="171">
        <v>30</v>
      </c>
      <c r="V208" s="171" t="s">
        <v>98</v>
      </c>
      <c r="W208" s="171" t="s">
        <v>56</v>
      </c>
      <c r="Y208" s="171">
        <v>10</v>
      </c>
      <c r="Z208" s="171" t="s">
        <v>97</v>
      </c>
      <c r="AA208" s="171" t="s">
        <v>134</v>
      </c>
      <c r="AC208" s="505" t="s">
        <v>704</v>
      </c>
      <c r="AD208" s="505" t="s">
        <v>97</v>
      </c>
      <c r="AE208" s="505" t="s">
        <v>134</v>
      </c>
      <c r="AG208" s="171">
        <v>42</v>
      </c>
      <c r="AH208" s="171" t="s">
        <v>98</v>
      </c>
      <c r="AI208" s="171" t="s">
        <v>56</v>
      </c>
      <c r="AK208" s="299">
        <v>35</v>
      </c>
      <c r="AL208" s="299" t="s">
        <v>81</v>
      </c>
      <c r="AM208" s="299" t="s">
        <v>1330</v>
      </c>
      <c r="AO208" s="299">
        <v>30</v>
      </c>
      <c r="AP208" s="299" t="s">
        <v>81</v>
      </c>
      <c r="AQ208" s="299" t="s">
        <v>1368</v>
      </c>
    </row>
    <row r="209" spans="1:43" ht="15" customHeight="1" x14ac:dyDescent="0.25">
      <c r="A209">
        <v>39</v>
      </c>
      <c r="B209" t="s">
        <v>98</v>
      </c>
      <c r="C209" t="s">
        <v>55</v>
      </c>
      <c r="E209" s="72">
        <v>49</v>
      </c>
      <c r="F209" t="s">
        <v>97</v>
      </c>
      <c r="G209" t="s">
        <v>688</v>
      </c>
      <c r="I209" s="171">
        <v>8</v>
      </c>
      <c r="J209" s="171" t="s">
        <v>97</v>
      </c>
      <c r="K209" s="171" t="s">
        <v>134</v>
      </c>
      <c r="M209" s="171">
        <v>25</v>
      </c>
      <c r="N209" s="171" t="s">
        <v>98</v>
      </c>
      <c r="O209" s="171" t="s">
        <v>56</v>
      </c>
      <c r="Q209" s="399">
        <v>7</v>
      </c>
      <c r="R209" s="399" t="s">
        <v>98</v>
      </c>
      <c r="S209" s="398" t="s">
        <v>134</v>
      </c>
      <c r="U209" s="171">
        <v>37</v>
      </c>
      <c r="V209" s="171" t="s">
        <v>98</v>
      </c>
      <c r="W209" s="171" t="s">
        <v>56</v>
      </c>
      <c r="Y209" s="171">
        <v>9</v>
      </c>
      <c r="Z209" s="171" t="s">
        <v>98</v>
      </c>
      <c r="AA209" s="171" t="s">
        <v>134</v>
      </c>
      <c r="AC209" s="505" t="s">
        <v>1102</v>
      </c>
      <c r="AD209" s="505" t="s">
        <v>97</v>
      </c>
      <c r="AE209" s="505" t="s">
        <v>134</v>
      </c>
      <c r="AG209" s="171">
        <v>40</v>
      </c>
      <c r="AH209" s="171" t="s">
        <v>98</v>
      </c>
      <c r="AI209" s="171" t="s">
        <v>56</v>
      </c>
      <c r="AK209" s="299">
        <v>32</v>
      </c>
      <c r="AL209" s="299" t="s">
        <v>81</v>
      </c>
      <c r="AM209" s="299" t="s">
        <v>1330</v>
      </c>
      <c r="AO209" s="299">
        <v>15</v>
      </c>
      <c r="AP209" s="299" t="s">
        <v>81</v>
      </c>
      <c r="AQ209" s="299" t="s">
        <v>1368</v>
      </c>
    </row>
    <row r="210" spans="1:43" ht="15" customHeight="1" x14ac:dyDescent="0.25">
      <c r="A210">
        <v>29</v>
      </c>
      <c r="B210" t="s">
        <v>98</v>
      </c>
      <c r="C210" t="s">
        <v>55</v>
      </c>
      <c r="E210" s="72">
        <v>49</v>
      </c>
      <c r="F210" t="s">
        <v>98</v>
      </c>
      <c r="G210" t="s">
        <v>38</v>
      </c>
      <c r="I210" s="171">
        <v>3</v>
      </c>
      <c r="J210" s="171" t="s">
        <v>97</v>
      </c>
      <c r="K210" s="171" t="s">
        <v>134</v>
      </c>
      <c r="M210" s="171">
        <v>32</v>
      </c>
      <c r="N210" s="171" t="s">
        <v>98</v>
      </c>
      <c r="O210" s="171" t="s">
        <v>56</v>
      </c>
      <c r="Q210" s="399" t="s">
        <v>690</v>
      </c>
      <c r="R210" s="399" t="s">
        <v>97</v>
      </c>
      <c r="S210" s="398" t="s">
        <v>134</v>
      </c>
      <c r="U210" s="171">
        <v>29</v>
      </c>
      <c r="V210" s="171" t="s">
        <v>98</v>
      </c>
      <c r="W210" s="171" t="s">
        <v>56</v>
      </c>
      <c r="Y210" s="171">
        <v>1</v>
      </c>
      <c r="Z210" s="171" t="s">
        <v>98</v>
      </c>
      <c r="AA210" s="171" t="s">
        <v>134</v>
      </c>
      <c r="AC210" s="505">
        <v>1</v>
      </c>
      <c r="AD210" s="505" t="s">
        <v>97</v>
      </c>
      <c r="AE210" s="505" t="s">
        <v>134</v>
      </c>
      <c r="AG210" s="171">
        <v>32</v>
      </c>
      <c r="AH210" s="171" t="s">
        <v>98</v>
      </c>
      <c r="AI210" s="171" t="s">
        <v>56</v>
      </c>
      <c r="AK210" s="299">
        <v>36</v>
      </c>
      <c r="AL210" s="299" t="s">
        <v>81</v>
      </c>
      <c r="AM210" s="299" t="s">
        <v>1330</v>
      </c>
      <c r="AO210" s="299">
        <v>29</v>
      </c>
      <c r="AP210" s="299" t="s">
        <v>81</v>
      </c>
      <c r="AQ210" s="299" t="s">
        <v>1368</v>
      </c>
    </row>
    <row r="211" spans="1:43" ht="15" customHeight="1" x14ac:dyDescent="0.25">
      <c r="A211">
        <v>21</v>
      </c>
      <c r="B211" t="s">
        <v>98</v>
      </c>
      <c r="C211" t="s">
        <v>55</v>
      </c>
      <c r="E211" s="72">
        <v>48</v>
      </c>
      <c r="F211" t="s">
        <v>97</v>
      </c>
      <c r="G211" t="s">
        <v>688</v>
      </c>
      <c r="I211" s="171" t="s">
        <v>708</v>
      </c>
      <c r="J211" s="171" t="s">
        <v>97</v>
      </c>
      <c r="K211" s="171" t="s">
        <v>134</v>
      </c>
      <c r="M211" s="171">
        <v>31</v>
      </c>
      <c r="N211" s="171" t="s">
        <v>98</v>
      </c>
      <c r="O211" s="171" t="s">
        <v>56</v>
      </c>
      <c r="Q211" s="399">
        <v>2</v>
      </c>
      <c r="R211" s="399" t="s">
        <v>98</v>
      </c>
      <c r="S211" s="398" t="s">
        <v>134</v>
      </c>
      <c r="U211" s="171">
        <v>25</v>
      </c>
      <c r="V211" s="171" t="s">
        <v>98</v>
      </c>
      <c r="W211" s="171" t="s">
        <v>56</v>
      </c>
      <c r="Y211" s="171">
        <v>2</v>
      </c>
      <c r="Z211" s="171" t="s">
        <v>97</v>
      </c>
      <c r="AA211" s="171" t="s">
        <v>134</v>
      </c>
      <c r="AC211" s="505">
        <v>2</v>
      </c>
      <c r="AD211" s="505" t="s">
        <v>97</v>
      </c>
      <c r="AE211" s="505" t="s">
        <v>134</v>
      </c>
      <c r="AG211" s="171">
        <v>23</v>
      </c>
      <c r="AH211" s="171" t="s">
        <v>98</v>
      </c>
      <c r="AI211" s="171" t="s">
        <v>56</v>
      </c>
      <c r="AK211" s="299">
        <v>42</v>
      </c>
      <c r="AL211" s="299" t="s">
        <v>81</v>
      </c>
      <c r="AM211" s="299" t="s">
        <v>1330</v>
      </c>
      <c r="AO211" s="299">
        <v>24</v>
      </c>
      <c r="AP211" s="299" t="s">
        <v>81</v>
      </c>
      <c r="AQ211" s="299" t="s">
        <v>1368</v>
      </c>
    </row>
    <row r="212" spans="1:43" ht="15" customHeight="1" x14ac:dyDescent="0.25">
      <c r="A212">
        <v>25</v>
      </c>
      <c r="B212" t="s">
        <v>98</v>
      </c>
      <c r="C212" t="s">
        <v>55</v>
      </c>
      <c r="E212" s="72">
        <v>48</v>
      </c>
      <c r="F212" t="s">
        <v>98</v>
      </c>
      <c r="G212" t="s">
        <v>688</v>
      </c>
      <c r="I212" s="171">
        <v>4</v>
      </c>
      <c r="J212" s="171" t="s">
        <v>98</v>
      </c>
      <c r="K212" s="171" t="s">
        <v>134</v>
      </c>
      <c r="M212" s="171">
        <v>25</v>
      </c>
      <c r="N212" s="171" t="s">
        <v>98</v>
      </c>
      <c r="O212" s="171" t="s">
        <v>56</v>
      </c>
      <c r="Q212" s="399" t="s">
        <v>690</v>
      </c>
      <c r="R212" s="399" t="s">
        <v>98</v>
      </c>
      <c r="S212" s="398" t="s">
        <v>134</v>
      </c>
      <c r="U212" s="171">
        <v>31</v>
      </c>
      <c r="V212" s="171" t="s">
        <v>98</v>
      </c>
      <c r="W212" s="171" t="s">
        <v>56</v>
      </c>
      <c r="Y212" s="171">
        <v>2</v>
      </c>
      <c r="Z212" s="171" t="s">
        <v>98</v>
      </c>
      <c r="AA212" s="171" t="s">
        <v>134</v>
      </c>
      <c r="AC212" s="505">
        <v>1</v>
      </c>
      <c r="AD212" s="505" t="s">
        <v>98</v>
      </c>
      <c r="AE212" s="505" t="s">
        <v>134</v>
      </c>
      <c r="AG212" s="171">
        <v>35</v>
      </c>
      <c r="AH212" s="171" t="s">
        <v>98</v>
      </c>
      <c r="AI212" s="171" t="s">
        <v>56</v>
      </c>
      <c r="AK212" s="299">
        <v>34</v>
      </c>
      <c r="AL212" s="299" t="s">
        <v>81</v>
      </c>
      <c r="AM212" s="299" t="s">
        <v>1330</v>
      </c>
      <c r="AO212" s="299">
        <v>33</v>
      </c>
      <c r="AP212" s="299" t="s">
        <v>81</v>
      </c>
      <c r="AQ212" s="299" t="s">
        <v>1368</v>
      </c>
    </row>
    <row r="213" spans="1:43" ht="15" customHeight="1" x14ac:dyDescent="0.25">
      <c r="A213">
        <v>42</v>
      </c>
      <c r="B213" t="s">
        <v>98</v>
      </c>
      <c r="C213" t="s">
        <v>55</v>
      </c>
      <c r="E213" s="72">
        <v>48</v>
      </c>
      <c r="F213" t="s">
        <v>97</v>
      </c>
      <c r="G213" t="s">
        <v>688</v>
      </c>
      <c r="I213" s="171">
        <v>10</v>
      </c>
      <c r="J213" s="171" t="s">
        <v>97</v>
      </c>
      <c r="K213" s="171" t="s">
        <v>134</v>
      </c>
      <c r="M213" s="171">
        <v>36</v>
      </c>
      <c r="N213" s="171" t="s">
        <v>98</v>
      </c>
      <c r="O213" s="171" t="s">
        <v>56</v>
      </c>
      <c r="Q213" s="399" t="s">
        <v>709</v>
      </c>
      <c r="R213" s="399" t="s">
        <v>98</v>
      </c>
      <c r="S213" s="398" t="s">
        <v>134</v>
      </c>
      <c r="U213" s="171">
        <v>23</v>
      </c>
      <c r="V213" s="171" t="s">
        <v>98</v>
      </c>
      <c r="W213" s="171" t="s">
        <v>56</v>
      </c>
      <c r="Y213" s="171">
        <v>6</v>
      </c>
      <c r="Z213" s="171" t="s">
        <v>97</v>
      </c>
      <c r="AA213" s="171" t="s">
        <v>134</v>
      </c>
      <c r="AC213" s="505">
        <v>2</v>
      </c>
      <c r="AD213" s="505" t="s">
        <v>98</v>
      </c>
      <c r="AE213" s="505" t="s">
        <v>134</v>
      </c>
      <c r="AG213" s="171">
        <v>23</v>
      </c>
      <c r="AH213" s="171" t="s">
        <v>98</v>
      </c>
      <c r="AI213" s="171" t="s">
        <v>56</v>
      </c>
      <c r="AK213" s="299">
        <v>22</v>
      </c>
      <c r="AL213" s="299" t="s">
        <v>81</v>
      </c>
      <c r="AM213" s="299" t="s">
        <v>1330</v>
      </c>
      <c r="AO213" s="299">
        <v>60</v>
      </c>
      <c r="AP213" s="299" t="s">
        <v>81</v>
      </c>
      <c r="AQ213" s="299" t="s">
        <v>1368</v>
      </c>
    </row>
    <row r="214" spans="1:43" ht="15" customHeight="1" x14ac:dyDescent="0.25">
      <c r="A214">
        <v>33</v>
      </c>
      <c r="B214" t="s">
        <v>98</v>
      </c>
      <c r="C214" t="s">
        <v>55</v>
      </c>
      <c r="E214" s="72">
        <v>48</v>
      </c>
      <c r="F214" t="s">
        <v>97</v>
      </c>
      <c r="G214" t="s">
        <v>688</v>
      </c>
      <c r="I214" s="171">
        <v>5</v>
      </c>
      <c r="J214" s="171" t="s">
        <v>97</v>
      </c>
      <c r="K214" s="171" t="s">
        <v>134</v>
      </c>
      <c r="M214" s="171">
        <v>36</v>
      </c>
      <c r="N214" s="171" t="s">
        <v>98</v>
      </c>
      <c r="O214" s="171" t="s">
        <v>56</v>
      </c>
      <c r="Q214" s="399">
        <v>5</v>
      </c>
      <c r="R214" s="399" t="s">
        <v>97</v>
      </c>
      <c r="S214" s="398" t="s">
        <v>134</v>
      </c>
      <c r="U214" s="171">
        <v>32</v>
      </c>
      <c r="V214" s="171" t="s">
        <v>98</v>
      </c>
      <c r="W214" s="171" t="s">
        <v>56</v>
      </c>
      <c r="Y214" s="171" t="s">
        <v>1100</v>
      </c>
      <c r="Z214" s="171" t="s">
        <v>98</v>
      </c>
      <c r="AA214" s="171" t="s">
        <v>134</v>
      </c>
      <c r="AC214" s="505">
        <v>2</v>
      </c>
      <c r="AD214" s="505" t="s">
        <v>97</v>
      </c>
      <c r="AE214" s="505" t="s">
        <v>134</v>
      </c>
      <c r="AG214" s="171">
        <v>42</v>
      </c>
      <c r="AH214" s="171" t="s">
        <v>98</v>
      </c>
      <c r="AI214" s="171" t="s">
        <v>56</v>
      </c>
      <c r="AK214" s="299">
        <v>29</v>
      </c>
      <c r="AL214" s="299" t="s">
        <v>81</v>
      </c>
      <c r="AM214" s="299" t="s">
        <v>1330</v>
      </c>
      <c r="AO214" s="299">
        <v>35</v>
      </c>
      <c r="AP214" s="299" t="s">
        <v>81</v>
      </c>
      <c r="AQ214" s="299" t="s">
        <v>1368</v>
      </c>
    </row>
    <row r="215" spans="1:43" ht="15" customHeight="1" x14ac:dyDescent="0.25">
      <c r="A215">
        <v>20</v>
      </c>
      <c r="B215" t="s">
        <v>98</v>
      </c>
      <c r="C215" t="s">
        <v>55</v>
      </c>
      <c r="E215" s="72">
        <v>48</v>
      </c>
      <c r="F215" t="s">
        <v>98</v>
      </c>
      <c r="G215" t="s">
        <v>55</v>
      </c>
      <c r="I215" s="171">
        <v>10</v>
      </c>
      <c r="J215" s="171" t="s">
        <v>97</v>
      </c>
      <c r="K215" s="171" t="s">
        <v>134</v>
      </c>
      <c r="M215" s="171">
        <v>20</v>
      </c>
      <c r="N215" s="171" t="s">
        <v>98</v>
      </c>
      <c r="O215" s="171" t="s">
        <v>56</v>
      </c>
      <c r="Q215" s="399">
        <v>10</v>
      </c>
      <c r="R215" s="399" t="s">
        <v>97</v>
      </c>
      <c r="S215" s="398" t="s">
        <v>134</v>
      </c>
      <c r="U215" s="171">
        <v>41</v>
      </c>
      <c r="V215" s="171" t="s">
        <v>98</v>
      </c>
      <c r="W215" s="171" t="s">
        <v>56</v>
      </c>
      <c r="Y215" s="171" t="s">
        <v>704</v>
      </c>
      <c r="Z215" s="171" t="s">
        <v>97</v>
      </c>
      <c r="AA215" s="171" t="s">
        <v>134</v>
      </c>
      <c r="AC215" s="505">
        <v>8</v>
      </c>
      <c r="AD215" s="505" t="s">
        <v>97</v>
      </c>
      <c r="AE215" s="505" t="s">
        <v>134</v>
      </c>
      <c r="AG215" s="171">
        <v>23</v>
      </c>
      <c r="AH215" s="171" t="s">
        <v>98</v>
      </c>
      <c r="AI215" s="171" t="s">
        <v>56</v>
      </c>
      <c r="AK215" s="299">
        <v>49</v>
      </c>
      <c r="AL215" s="299" t="s">
        <v>81</v>
      </c>
      <c r="AM215" s="299" t="s">
        <v>1330</v>
      </c>
      <c r="AO215" s="299">
        <v>24</v>
      </c>
      <c r="AP215" s="299" t="s">
        <v>81</v>
      </c>
      <c r="AQ215" s="299" t="s">
        <v>1368</v>
      </c>
    </row>
    <row r="216" spans="1:43" ht="15" customHeight="1" x14ac:dyDescent="0.25">
      <c r="A216">
        <v>25</v>
      </c>
      <c r="B216" t="s">
        <v>98</v>
      </c>
      <c r="C216" t="s">
        <v>55</v>
      </c>
      <c r="E216" s="72">
        <v>48</v>
      </c>
      <c r="F216" t="s">
        <v>98</v>
      </c>
      <c r="G216" t="s">
        <v>123</v>
      </c>
      <c r="I216" s="171">
        <v>1</v>
      </c>
      <c r="J216" s="171" t="s">
        <v>97</v>
      </c>
      <c r="K216" s="171" t="s">
        <v>134</v>
      </c>
      <c r="M216" s="171">
        <v>35</v>
      </c>
      <c r="N216" s="171" t="s">
        <v>98</v>
      </c>
      <c r="O216" s="171" t="s">
        <v>56</v>
      </c>
      <c r="Q216" s="399">
        <v>3</v>
      </c>
      <c r="R216" s="399" t="s">
        <v>98</v>
      </c>
      <c r="S216" s="398" t="s">
        <v>134</v>
      </c>
      <c r="U216" s="171">
        <v>19</v>
      </c>
      <c r="V216" s="171" t="s">
        <v>98</v>
      </c>
      <c r="W216" s="171" t="s">
        <v>56</v>
      </c>
      <c r="Y216" s="171">
        <v>7</v>
      </c>
      <c r="Z216" s="171" t="s">
        <v>97</v>
      </c>
      <c r="AA216" s="171" t="s">
        <v>134</v>
      </c>
      <c r="AC216" s="505">
        <v>4</v>
      </c>
      <c r="AD216" s="505" t="s">
        <v>98</v>
      </c>
      <c r="AE216" s="505" t="s">
        <v>134</v>
      </c>
      <c r="AG216" s="171">
        <v>29</v>
      </c>
      <c r="AH216" s="171" t="s">
        <v>98</v>
      </c>
      <c r="AI216" s="171" t="s">
        <v>56</v>
      </c>
      <c r="AK216" s="299">
        <v>25</v>
      </c>
      <c r="AL216" s="299" t="s">
        <v>81</v>
      </c>
      <c r="AM216" s="299" t="s">
        <v>1330</v>
      </c>
      <c r="AO216" s="299">
        <v>29</v>
      </c>
      <c r="AP216" s="299" t="s">
        <v>81</v>
      </c>
      <c r="AQ216" s="299" t="s">
        <v>1368</v>
      </c>
    </row>
    <row r="217" spans="1:43" ht="15" customHeight="1" x14ac:dyDescent="0.25">
      <c r="A217">
        <v>26</v>
      </c>
      <c r="B217" t="s">
        <v>98</v>
      </c>
      <c r="C217" t="s">
        <v>55</v>
      </c>
      <c r="E217" s="72">
        <v>48</v>
      </c>
      <c r="F217" t="s">
        <v>98</v>
      </c>
      <c r="G217" t="s">
        <v>123</v>
      </c>
      <c r="I217" s="171">
        <v>3</v>
      </c>
      <c r="J217" s="171" t="s">
        <v>98</v>
      </c>
      <c r="K217" s="171" t="s">
        <v>134</v>
      </c>
      <c r="M217" s="171">
        <v>33</v>
      </c>
      <c r="N217" s="171" t="s">
        <v>98</v>
      </c>
      <c r="O217" s="171" t="s">
        <v>56</v>
      </c>
      <c r="Q217" s="399">
        <v>4</v>
      </c>
      <c r="R217" s="399" t="s">
        <v>98</v>
      </c>
      <c r="S217" s="398" t="s">
        <v>134</v>
      </c>
      <c r="U217" s="171">
        <v>19</v>
      </c>
      <c r="V217" s="171" t="s">
        <v>98</v>
      </c>
      <c r="W217" s="171" t="s">
        <v>56</v>
      </c>
      <c r="Y217" s="171">
        <v>7</v>
      </c>
      <c r="Z217" s="171" t="s">
        <v>98</v>
      </c>
      <c r="AA217" s="171" t="s">
        <v>134</v>
      </c>
      <c r="AC217" s="505">
        <v>1</v>
      </c>
      <c r="AD217" s="505" t="s">
        <v>98</v>
      </c>
      <c r="AE217" s="505" t="s">
        <v>134</v>
      </c>
      <c r="AG217" s="171">
        <v>28</v>
      </c>
      <c r="AH217" s="171" t="s">
        <v>98</v>
      </c>
      <c r="AI217" s="171" t="s">
        <v>56</v>
      </c>
      <c r="AK217" s="299">
        <v>36</v>
      </c>
      <c r="AL217" s="299" t="s">
        <v>81</v>
      </c>
      <c r="AM217" s="299" t="s">
        <v>1330</v>
      </c>
      <c r="AO217" s="299">
        <v>26</v>
      </c>
      <c r="AP217" s="299" t="s">
        <v>81</v>
      </c>
      <c r="AQ217" s="299" t="s">
        <v>1368</v>
      </c>
    </row>
    <row r="218" spans="1:43" ht="15" customHeight="1" x14ac:dyDescent="0.25">
      <c r="A218">
        <v>18</v>
      </c>
      <c r="B218" t="s">
        <v>98</v>
      </c>
      <c r="C218" t="s">
        <v>55</v>
      </c>
      <c r="E218" s="72">
        <v>47</v>
      </c>
      <c r="F218" t="s">
        <v>98</v>
      </c>
      <c r="G218" t="s">
        <v>688</v>
      </c>
      <c r="I218" s="171">
        <v>7</v>
      </c>
      <c r="J218" s="171" t="s">
        <v>97</v>
      </c>
      <c r="K218" s="171" t="s">
        <v>134</v>
      </c>
      <c r="M218" s="171">
        <v>25</v>
      </c>
      <c r="N218" s="171" t="s">
        <v>98</v>
      </c>
      <c r="O218" s="171" t="s">
        <v>56</v>
      </c>
      <c r="Q218" s="399">
        <v>4</v>
      </c>
      <c r="R218" s="399" t="s">
        <v>98</v>
      </c>
      <c r="S218" s="398" t="s">
        <v>134</v>
      </c>
      <c r="U218" s="171">
        <v>32</v>
      </c>
      <c r="V218" s="171" t="s">
        <v>98</v>
      </c>
      <c r="W218" s="171" t="s">
        <v>56</v>
      </c>
      <c r="Y218" s="171">
        <v>4</v>
      </c>
      <c r="Z218" s="171" t="s">
        <v>98</v>
      </c>
      <c r="AA218" s="171" t="s">
        <v>134</v>
      </c>
      <c r="AC218" s="505">
        <v>2</v>
      </c>
      <c r="AD218" s="505" t="s">
        <v>97</v>
      </c>
      <c r="AE218" s="505" t="s">
        <v>134</v>
      </c>
      <c r="AG218" s="171">
        <v>19</v>
      </c>
      <c r="AH218" s="171" t="s">
        <v>98</v>
      </c>
      <c r="AI218" s="171" t="s">
        <v>56</v>
      </c>
      <c r="AK218" s="299">
        <v>29</v>
      </c>
      <c r="AL218" s="299" t="s">
        <v>81</v>
      </c>
      <c r="AM218" s="299" t="s">
        <v>1330</v>
      </c>
      <c r="AO218" s="299">
        <v>50</v>
      </c>
      <c r="AP218" s="299" t="s">
        <v>81</v>
      </c>
      <c r="AQ218" s="299" t="s">
        <v>1368</v>
      </c>
    </row>
    <row r="219" spans="1:43" ht="15" customHeight="1" x14ac:dyDescent="0.25">
      <c r="A219">
        <v>20</v>
      </c>
      <c r="B219" t="s">
        <v>98</v>
      </c>
      <c r="C219" t="s">
        <v>55</v>
      </c>
      <c r="E219" s="72">
        <v>47</v>
      </c>
      <c r="F219" t="s">
        <v>98</v>
      </c>
      <c r="G219" t="s">
        <v>688</v>
      </c>
      <c r="I219" s="171">
        <v>8</v>
      </c>
      <c r="J219" s="171" t="s">
        <v>98</v>
      </c>
      <c r="K219" s="171" t="s">
        <v>134</v>
      </c>
      <c r="M219" s="171">
        <v>22</v>
      </c>
      <c r="N219" s="171" t="s">
        <v>98</v>
      </c>
      <c r="O219" s="171" t="s">
        <v>56</v>
      </c>
      <c r="Q219" s="399">
        <v>3</v>
      </c>
      <c r="R219" s="399" t="s">
        <v>97</v>
      </c>
      <c r="S219" s="398" t="s">
        <v>134</v>
      </c>
      <c r="U219" s="171">
        <v>25</v>
      </c>
      <c r="V219" s="171" t="s">
        <v>98</v>
      </c>
      <c r="W219" s="171" t="s">
        <v>56</v>
      </c>
      <c r="Y219" s="171">
        <v>6</v>
      </c>
      <c r="Z219" s="171" t="s">
        <v>98</v>
      </c>
      <c r="AA219" s="171" t="s">
        <v>134</v>
      </c>
      <c r="AC219" s="505">
        <v>8</v>
      </c>
      <c r="AD219" s="505" t="s">
        <v>98</v>
      </c>
      <c r="AE219" s="505" t="s">
        <v>134</v>
      </c>
      <c r="AG219" s="171">
        <v>34</v>
      </c>
      <c r="AH219" s="171" t="s">
        <v>98</v>
      </c>
      <c r="AI219" s="171" t="s">
        <v>56</v>
      </c>
      <c r="AK219" s="299">
        <v>33</v>
      </c>
      <c r="AL219" s="299" t="s">
        <v>81</v>
      </c>
      <c r="AM219" s="299" t="s">
        <v>1330</v>
      </c>
      <c r="AO219" s="299">
        <v>21</v>
      </c>
      <c r="AP219" s="299" t="s">
        <v>81</v>
      </c>
      <c r="AQ219" s="299" t="s">
        <v>1368</v>
      </c>
    </row>
    <row r="220" spans="1:43" ht="15" customHeight="1" x14ac:dyDescent="0.25">
      <c r="A220">
        <v>31</v>
      </c>
      <c r="B220" t="s">
        <v>98</v>
      </c>
      <c r="C220" t="s">
        <v>55</v>
      </c>
      <c r="E220" s="72">
        <v>47</v>
      </c>
      <c r="F220" t="s">
        <v>98</v>
      </c>
      <c r="G220" t="s">
        <v>38</v>
      </c>
      <c r="I220" s="171">
        <v>1</v>
      </c>
      <c r="J220" s="171" t="s">
        <v>97</v>
      </c>
      <c r="K220" s="171" t="s">
        <v>134</v>
      </c>
      <c r="M220" s="171">
        <v>32</v>
      </c>
      <c r="N220" s="171" t="s">
        <v>98</v>
      </c>
      <c r="O220" s="171" t="s">
        <v>56</v>
      </c>
      <c r="Q220" s="399" t="s">
        <v>707</v>
      </c>
      <c r="R220" s="399" t="s">
        <v>97</v>
      </c>
      <c r="S220" s="398" t="s">
        <v>134</v>
      </c>
      <c r="U220" s="171">
        <v>31</v>
      </c>
      <c r="V220" s="171" t="s">
        <v>98</v>
      </c>
      <c r="W220" s="171" t="s">
        <v>56</v>
      </c>
      <c r="Y220" s="171">
        <v>4</v>
      </c>
      <c r="Z220" s="171" t="s">
        <v>98</v>
      </c>
      <c r="AA220" s="171" t="s">
        <v>134</v>
      </c>
      <c r="AC220" s="505">
        <v>9</v>
      </c>
      <c r="AD220" s="505" t="s">
        <v>98</v>
      </c>
      <c r="AE220" s="505" t="s">
        <v>134</v>
      </c>
      <c r="AG220" s="171">
        <v>28</v>
      </c>
      <c r="AH220" s="171" t="s">
        <v>98</v>
      </c>
      <c r="AI220" s="171" t="s">
        <v>56</v>
      </c>
      <c r="AK220" s="299">
        <v>30</v>
      </c>
      <c r="AL220" s="299" t="s">
        <v>81</v>
      </c>
      <c r="AM220" s="299" t="s">
        <v>1330</v>
      </c>
      <c r="AO220" s="299">
        <v>27</v>
      </c>
      <c r="AP220" s="299" t="s">
        <v>81</v>
      </c>
      <c r="AQ220" s="299" t="s">
        <v>1368</v>
      </c>
    </row>
    <row r="221" spans="1:43" ht="15" customHeight="1" x14ac:dyDescent="0.25">
      <c r="A221">
        <v>27</v>
      </c>
      <c r="B221" t="s">
        <v>98</v>
      </c>
      <c r="C221" t="s">
        <v>55</v>
      </c>
      <c r="E221" s="72">
        <v>47</v>
      </c>
      <c r="F221" t="s">
        <v>97</v>
      </c>
      <c r="G221" t="s">
        <v>122</v>
      </c>
      <c r="I221" s="171">
        <v>12</v>
      </c>
      <c r="J221" s="171" t="s">
        <v>97</v>
      </c>
      <c r="K221" s="171" t="s">
        <v>134</v>
      </c>
      <c r="M221" s="171">
        <v>31</v>
      </c>
      <c r="N221" s="171" t="s">
        <v>98</v>
      </c>
      <c r="O221" s="171" t="s">
        <v>56</v>
      </c>
      <c r="Q221" s="396">
        <v>23</v>
      </c>
      <c r="R221" s="396" t="s">
        <v>98</v>
      </c>
      <c r="S221" s="398" t="s">
        <v>38</v>
      </c>
      <c r="U221" s="171">
        <v>21</v>
      </c>
      <c r="V221" s="171" t="s">
        <v>98</v>
      </c>
      <c r="W221" s="171" t="s">
        <v>56</v>
      </c>
      <c r="Y221" s="171">
        <v>2</v>
      </c>
      <c r="Z221" s="171" t="s">
        <v>98</v>
      </c>
      <c r="AA221" s="171" t="s">
        <v>134</v>
      </c>
      <c r="AC221" s="505">
        <v>11</v>
      </c>
      <c r="AD221" s="505" t="s">
        <v>98</v>
      </c>
      <c r="AE221" s="505" t="s">
        <v>134</v>
      </c>
      <c r="AG221" s="171">
        <v>25</v>
      </c>
      <c r="AH221" s="171" t="s">
        <v>98</v>
      </c>
      <c r="AI221" s="171" t="s">
        <v>56</v>
      </c>
      <c r="AK221" s="299">
        <v>29</v>
      </c>
      <c r="AL221" s="299" t="s">
        <v>81</v>
      </c>
      <c r="AM221" s="299" t="s">
        <v>1330</v>
      </c>
      <c r="AO221" s="299">
        <v>42</v>
      </c>
      <c r="AP221" s="299" t="s">
        <v>81</v>
      </c>
      <c r="AQ221" s="299" t="s">
        <v>1368</v>
      </c>
    </row>
    <row r="222" spans="1:43" ht="15" customHeight="1" x14ac:dyDescent="0.25">
      <c r="A222">
        <v>29</v>
      </c>
      <c r="B222" t="s">
        <v>98</v>
      </c>
      <c r="C222" t="s">
        <v>55</v>
      </c>
      <c r="E222" s="72">
        <v>47</v>
      </c>
      <c r="F222" t="s">
        <v>98</v>
      </c>
      <c r="G222" t="s">
        <v>123</v>
      </c>
      <c r="I222" s="171">
        <v>3</v>
      </c>
      <c r="J222" s="171" t="s">
        <v>97</v>
      </c>
      <c r="K222" s="171" t="s">
        <v>134</v>
      </c>
      <c r="M222" s="171">
        <v>29</v>
      </c>
      <c r="N222" s="171" t="s">
        <v>98</v>
      </c>
      <c r="O222" s="171" t="s">
        <v>56</v>
      </c>
      <c r="Q222" s="399">
        <v>24</v>
      </c>
      <c r="R222" s="396" t="s">
        <v>98</v>
      </c>
      <c r="S222" s="398" t="s">
        <v>38</v>
      </c>
      <c r="U222" s="171">
        <v>29</v>
      </c>
      <c r="V222" s="171" t="s">
        <v>98</v>
      </c>
      <c r="W222" s="171" t="s">
        <v>56</v>
      </c>
      <c r="Y222" s="171" t="s">
        <v>1103</v>
      </c>
      <c r="Z222" s="171" t="s">
        <v>98</v>
      </c>
      <c r="AA222" s="171" t="s">
        <v>134</v>
      </c>
      <c r="AC222" s="505">
        <v>2</v>
      </c>
      <c r="AD222" s="505" t="s">
        <v>97</v>
      </c>
      <c r="AE222" s="505" t="s">
        <v>134</v>
      </c>
      <c r="AG222" s="171">
        <v>21</v>
      </c>
      <c r="AH222" s="171" t="s">
        <v>98</v>
      </c>
      <c r="AI222" s="171" t="s">
        <v>56</v>
      </c>
      <c r="AK222" s="299">
        <v>33</v>
      </c>
      <c r="AL222" s="299" t="s">
        <v>81</v>
      </c>
      <c r="AM222" s="299" t="s">
        <v>1330</v>
      </c>
      <c r="AO222" s="299">
        <v>21</v>
      </c>
      <c r="AP222" s="299" t="s">
        <v>81</v>
      </c>
      <c r="AQ222" s="299" t="s">
        <v>1368</v>
      </c>
    </row>
    <row r="223" spans="1:43" ht="15" customHeight="1" x14ac:dyDescent="0.25">
      <c r="A223">
        <v>28</v>
      </c>
      <c r="B223" t="s">
        <v>98</v>
      </c>
      <c r="C223" t="s">
        <v>55</v>
      </c>
      <c r="E223" s="72">
        <v>46</v>
      </c>
      <c r="F223" t="s">
        <v>98</v>
      </c>
      <c r="G223" t="s">
        <v>688</v>
      </c>
      <c r="I223" s="171">
        <v>4</v>
      </c>
      <c r="J223" s="171" t="s">
        <v>97</v>
      </c>
      <c r="K223" s="171" t="s">
        <v>134</v>
      </c>
      <c r="M223" s="171">
        <v>28</v>
      </c>
      <c r="N223" s="171" t="s">
        <v>98</v>
      </c>
      <c r="O223" s="171" t="s">
        <v>56</v>
      </c>
      <c r="Q223" s="399">
        <v>29</v>
      </c>
      <c r="R223" s="396" t="s">
        <v>98</v>
      </c>
      <c r="S223" s="398" t="s">
        <v>38</v>
      </c>
      <c r="U223" s="171">
        <v>19</v>
      </c>
      <c r="V223" s="171" t="s">
        <v>98</v>
      </c>
      <c r="W223" s="171" t="s">
        <v>56</v>
      </c>
      <c r="Y223" s="171">
        <v>3</v>
      </c>
      <c r="Z223" s="171" t="s">
        <v>97</v>
      </c>
      <c r="AA223" s="171" t="s">
        <v>134</v>
      </c>
      <c r="AC223" s="505">
        <v>3</v>
      </c>
      <c r="AD223" s="505" t="s">
        <v>98</v>
      </c>
      <c r="AE223" s="505" t="s">
        <v>134</v>
      </c>
      <c r="AG223" s="171">
        <v>28</v>
      </c>
      <c r="AH223" s="171" t="s">
        <v>98</v>
      </c>
      <c r="AI223" s="171" t="s">
        <v>56</v>
      </c>
      <c r="AK223" s="299">
        <v>25</v>
      </c>
      <c r="AL223" s="299" t="s">
        <v>81</v>
      </c>
      <c r="AM223" s="299" t="s">
        <v>1330</v>
      </c>
      <c r="AO223" s="299">
        <v>28</v>
      </c>
      <c r="AP223" s="299" t="s">
        <v>81</v>
      </c>
      <c r="AQ223" s="299" t="s">
        <v>1368</v>
      </c>
    </row>
    <row r="224" spans="1:43" ht="15" customHeight="1" x14ac:dyDescent="0.25">
      <c r="A224">
        <v>25</v>
      </c>
      <c r="B224" t="s">
        <v>98</v>
      </c>
      <c r="C224" t="s">
        <v>55</v>
      </c>
      <c r="E224" s="72">
        <v>45</v>
      </c>
      <c r="F224" t="s">
        <v>98</v>
      </c>
      <c r="G224" t="s">
        <v>688</v>
      </c>
      <c r="I224" s="171">
        <v>3</v>
      </c>
      <c r="J224" s="171" t="s">
        <v>98</v>
      </c>
      <c r="K224" s="171" t="s">
        <v>134</v>
      </c>
      <c r="M224" s="171">
        <v>33</v>
      </c>
      <c r="N224" s="171" t="s">
        <v>98</v>
      </c>
      <c r="O224" s="171" t="s">
        <v>56</v>
      </c>
      <c r="Q224" s="399">
        <v>26</v>
      </c>
      <c r="R224" s="396" t="s">
        <v>98</v>
      </c>
      <c r="S224" s="398" t="s">
        <v>38</v>
      </c>
      <c r="U224" s="171">
        <v>25</v>
      </c>
      <c r="V224" s="171" t="s">
        <v>98</v>
      </c>
      <c r="W224" s="171" t="s">
        <v>56</v>
      </c>
      <c r="Y224" s="171">
        <v>5</v>
      </c>
      <c r="Z224" s="171" t="s">
        <v>97</v>
      </c>
      <c r="AA224" s="171" t="s">
        <v>134</v>
      </c>
      <c r="AC224" s="505" t="s">
        <v>1101</v>
      </c>
      <c r="AD224" s="505" t="s">
        <v>97</v>
      </c>
      <c r="AE224" s="505" t="s">
        <v>134</v>
      </c>
      <c r="AG224" s="171">
        <v>21</v>
      </c>
      <c r="AH224" s="171" t="s">
        <v>98</v>
      </c>
      <c r="AI224" s="171" t="s">
        <v>56</v>
      </c>
      <c r="AK224" s="299">
        <v>30</v>
      </c>
      <c r="AL224" s="299" t="s">
        <v>81</v>
      </c>
      <c r="AM224" s="299" t="s">
        <v>1330</v>
      </c>
      <c r="AO224" s="299">
        <v>31</v>
      </c>
      <c r="AP224" s="299" t="s">
        <v>81</v>
      </c>
      <c r="AQ224" s="299" t="s">
        <v>1368</v>
      </c>
    </row>
    <row r="225" spans="1:43" ht="15" customHeight="1" x14ac:dyDescent="0.25">
      <c r="A225">
        <v>29</v>
      </c>
      <c r="B225" t="s">
        <v>98</v>
      </c>
      <c r="C225" t="s">
        <v>55</v>
      </c>
      <c r="E225" s="72">
        <v>45</v>
      </c>
      <c r="F225" t="s">
        <v>97</v>
      </c>
      <c r="G225" t="s">
        <v>122</v>
      </c>
      <c r="I225" s="171">
        <v>1</v>
      </c>
      <c r="J225" s="171" t="s">
        <v>98</v>
      </c>
      <c r="K225" s="171" t="s">
        <v>134</v>
      </c>
      <c r="M225" s="171">
        <v>41</v>
      </c>
      <c r="N225" s="171" t="s">
        <v>98</v>
      </c>
      <c r="O225" s="171" t="s">
        <v>56</v>
      </c>
      <c r="Q225" s="399">
        <v>22</v>
      </c>
      <c r="R225" s="396" t="s">
        <v>98</v>
      </c>
      <c r="S225" s="398" t="s">
        <v>38</v>
      </c>
      <c r="U225" s="171">
        <v>29</v>
      </c>
      <c r="V225" s="171" t="s">
        <v>98</v>
      </c>
      <c r="W225" s="171" t="s">
        <v>56</v>
      </c>
      <c r="Y225" s="171">
        <v>2</v>
      </c>
      <c r="Z225" s="171" t="s">
        <v>98</v>
      </c>
      <c r="AA225" s="171" t="s">
        <v>134</v>
      </c>
      <c r="AC225" s="505" t="s">
        <v>1155</v>
      </c>
      <c r="AD225" s="505" t="s">
        <v>97</v>
      </c>
      <c r="AE225" s="505" t="s">
        <v>134</v>
      </c>
      <c r="AG225" s="171">
        <v>29</v>
      </c>
      <c r="AH225" s="171" t="s">
        <v>98</v>
      </c>
      <c r="AI225" s="171" t="s">
        <v>56</v>
      </c>
      <c r="AK225" s="299">
        <v>29</v>
      </c>
      <c r="AL225" s="299" t="s">
        <v>81</v>
      </c>
      <c r="AM225" s="299" t="s">
        <v>1330</v>
      </c>
      <c r="AO225" s="299">
        <v>30</v>
      </c>
      <c r="AP225" s="299" t="s">
        <v>81</v>
      </c>
      <c r="AQ225" s="299" t="s">
        <v>1368</v>
      </c>
    </row>
    <row r="226" spans="1:43" ht="15" customHeight="1" x14ac:dyDescent="0.25">
      <c r="A226">
        <v>32</v>
      </c>
      <c r="B226" t="s">
        <v>98</v>
      </c>
      <c r="C226" t="s">
        <v>55</v>
      </c>
      <c r="E226" s="72">
        <v>44</v>
      </c>
      <c r="F226" t="s">
        <v>97</v>
      </c>
      <c r="G226" t="s">
        <v>688</v>
      </c>
      <c r="I226" s="171">
        <v>7</v>
      </c>
      <c r="J226" s="171" t="s">
        <v>97</v>
      </c>
      <c r="K226" s="171" t="s">
        <v>134</v>
      </c>
      <c r="M226" s="171">
        <v>15</v>
      </c>
      <c r="N226" s="171" t="s">
        <v>98</v>
      </c>
      <c r="O226" s="171" t="s">
        <v>56</v>
      </c>
      <c r="Q226" s="399">
        <v>19</v>
      </c>
      <c r="R226" s="396" t="s">
        <v>98</v>
      </c>
      <c r="S226" s="398" t="s">
        <v>38</v>
      </c>
      <c r="U226" s="171">
        <v>38</v>
      </c>
      <c r="V226" s="171" t="s">
        <v>98</v>
      </c>
      <c r="W226" s="171" t="s">
        <v>56</v>
      </c>
      <c r="Y226" s="171">
        <v>11</v>
      </c>
      <c r="Z226" s="171" t="s">
        <v>98</v>
      </c>
      <c r="AA226" s="171" t="s">
        <v>134</v>
      </c>
      <c r="AC226" s="505">
        <v>6</v>
      </c>
      <c r="AD226" s="505" t="s">
        <v>98</v>
      </c>
      <c r="AE226" s="505" t="s">
        <v>134</v>
      </c>
      <c r="AG226" s="171">
        <v>32</v>
      </c>
      <c r="AH226" s="171" t="s">
        <v>98</v>
      </c>
      <c r="AI226" s="171" t="s">
        <v>56</v>
      </c>
      <c r="AK226" s="299">
        <v>19</v>
      </c>
      <c r="AL226" s="299" t="s">
        <v>81</v>
      </c>
      <c r="AM226" s="299" t="s">
        <v>1330</v>
      </c>
      <c r="AO226" s="299">
        <v>30</v>
      </c>
      <c r="AP226" s="299" t="s">
        <v>81</v>
      </c>
      <c r="AQ226" s="299" t="s">
        <v>1368</v>
      </c>
    </row>
    <row r="227" spans="1:43" ht="15" customHeight="1" x14ac:dyDescent="0.25">
      <c r="A227">
        <v>26</v>
      </c>
      <c r="B227" t="s">
        <v>98</v>
      </c>
      <c r="C227" t="s">
        <v>55</v>
      </c>
      <c r="E227" s="72">
        <v>44</v>
      </c>
      <c r="F227" t="s">
        <v>98</v>
      </c>
      <c r="G227" t="s">
        <v>688</v>
      </c>
      <c r="I227" s="171">
        <v>1</v>
      </c>
      <c r="J227" s="171" t="s">
        <v>97</v>
      </c>
      <c r="K227" s="171" t="s">
        <v>134</v>
      </c>
      <c r="M227" s="171">
        <v>31</v>
      </c>
      <c r="N227" s="171" t="s">
        <v>98</v>
      </c>
      <c r="O227" s="171" t="s">
        <v>56</v>
      </c>
      <c r="Q227" s="399">
        <v>25</v>
      </c>
      <c r="R227" s="396" t="s">
        <v>98</v>
      </c>
      <c r="S227" s="398" t="s">
        <v>38</v>
      </c>
      <c r="U227" s="422">
        <v>16</v>
      </c>
      <c r="V227" s="171" t="s">
        <v>98</v>
      </c>
      <c r="W227" s="171" t="s">
        <v>55</v>
      </c>
      <c r="Y227" s="171">
        <v>11</v>
      </c>
      <c r="Z227" s="171" t="s">
        <v>97</v>
      </c>
      <c r="AA227" s="171" t="s">
        <v>134</v>
      </c>
      <c r="AC227" s="505">
        <v>12</v>
      </c>
      <c r="AD227" s="505" t="s">
        <v>98</v>
      </c>
      <c r="AE227" s="505" t="s">
        <v>134</v>
      </c>
      <c r="AG227" s="171">
        <v>29</v>
      </c>
      <c r="AH227" s="171" t="s">
        <v>98</v>
      </c>
      <c r="AI227" s="171" t="s">
        <v>56</v>
      </c>
      <c r="AK227" s="299">
        <v>34</v>
      </c>
      <c r="AL227" s="299" t="s">
        <v>81</v>
      </c>
      <c r="AM227" s="299" t="s">
        <v>1330</v>
      </c>
      <c r="AO227" s="299">
        <v>28</v>
      </c>
      <c r="AP227" s="299" t="s">
        <v>81</v>
      </c>
      <c r="AQ227" s="299" t="s">
        <v>1368</v>
      </c>
    </row>
    <row r="228" spans="1:43" ht="15" customHeight="1" x14ac:dyDescent="0.25">
      <c r="A228">
        <v>35</v>
      </c>
      <c r="B228" t="s">
        <v>98</v>
      </c>
      <c r="C228" t="s">
        <v>55</v>
      </c>
      <c r="E228" s="72">
        <v>44</v>
      </c>
      <c r="F228" t="s">
        <v>98</v>
      </c>
      <c r="G228" t="s">
        <v>38</v>
      </c>
      <c r="I228" s="171">
        <v>1</v>
      </c>
      <c r="J228" s="171" t="s">
        <v>98</v>
      </c>
      <c r="K228" s="171" t="s">
        <v>134</v>
      </c>
      <c r="M228" s="171">
        <v>32</v>
      </c>
      <c r="N228" s="171" t="s">
        <v>98</v>
      </c>
      <c r="O228" s="171" t="s">
        <v>56</v>
      </c>
      <c r="Q228" s="399">
        <v>41</v>
      </c>
      <c r="R228" s="396" t="s">
        <v>98</v>
      </c>
      <c r="S228" s="398" t="s">
        <v>38</v>
      </c>
      <c r="U228" s="422">
        <v>27</v>
      </c>
      <c r="V228" s="171" t="s">
        <v>98</v>
      </c>
      <c r="W228" s="171" t="s">
        <v>55</v>
      </c>
      <c r="Y228" s="171">
        <v>4</v>
      </c>
      <c r="Z228" s="171" t="s">
        <v>98</v>
      </c>
      <c r="AA228" s="171" t="s">
        <v>134</v>
      </c>
      <c r="AC228" s="505">
        <v>10</v>
      </c>
      <c r="AD228" s="505" t="s">
        <v>98</v>
      </c>
      <c r="AE228" s="505" t="s">
        <v>134</v>
      </c>
      <c r="AG228" s="171">
        <v>23</v>
      </c>
      <c r="AH228" s="171" t="s">
        <v>98</v>
      </c>
      <c r="AI228" s="171" t="s">
        <v>56</v>
      </c>
      <c r="AK228" s="299">
        <v>36</v>
      </c>
      <c r="AL228" s="299" t="s">
        <v>81</v>
      </c>
      <c r="AM228" s="299" t="s">
        <v>1330</v>
      </c>
      <c r="AO228" s="299">
        <v>31</v>
      </c>
      <c r="AP228" s="299" t="s">
        <v>81</v>
      </c>
      <c r="AQ228" s="299" t="s">
        <v>1368</v>
      </c>
    </row>
    <row r="229" spans="1:43" ht="15" customHeight="1" x14ac:dyDescent="0.25">
      <c r="A229">
        <v>15</v>
      </c>
      <c r="B229" t="s">
        <v>98</v>
      </c>
      <c r="C229" t="s">
        <v>55</v>
      </c>
      <c r="E229" s="72">
        <v>44</v>
      </c>
      <c r="F229" t="s">
        <v>98</v>
      </c>
      <c r="G229" t="s">
        <v>38</v>
      </c>
      <c r="I229" s="171">
        <v>3</v>
      </c>
      <c r="J229" s="171" t="s">
        <v>97</v>
      </c>
      <c r="K229" s="171" t="s">
        <v>134</v>
      </c>
      <c r="M229" s="171">
        <v>33</v>
      </c>
      <c r="N229" s="171" t="s">
        <v>98</v>
      </c>
      <c r="O229" s="171" t="s">
        <v>56</v>
      </c>
      <c r="Q229" s="399">
        <v>34</v>
      </c>
      <c r="R229" s="396" t="s">
        <v>98</v>
      </c>
      <c r="S229" s="398" t="s">
        <v>38</v>
      </c>
      <c r="U229" s="422">
        <v>18</v>
      </c>
      <c r="V229" s="171" t="s">
        <v>98</v>
      </c>
      <c r="W229" s="171" t="s">
        <v>55</v>
      </c>
      <c r="Y229" s="171">
        <v>1</v>
      </c>
      <c r="Z229" s="171" t="s">
        <v>97</v>
      </c>
      <c r="AA229" s="171" t="s">
        <v>134</v>
      </c>
      <c r="AC229" s="505">
        <v>3</v>
      </c>
      <c r="AD229" s="505" t="s">
        <v>98</v>
      </c>
      <c r="AE229" s="505" t="s">
        <v>134</v>
      </c>
      <c r="AG229" s="171">
        <v>29</v>
      </c>
      <c r="AH229" s="171" t="s">
        <v>98</v>
      </c>
      <c r="AI229" s="171" t="s">
        <v>56</v>
      </c>
      <c r="AK229" s="299">
        <v>37</v>
      </c>
      <c r="AL229" s="299" t="s">
        <v>81</v>
      </c>
      <c r="AM229" s="299" t="s">
        <v>1330</v>
      </c>
      <c r="AO229" s="299">
        <v>42</v>
      </c>
      <c r="AP229" s="299" t="s">
        <v>81</v>
      </c>
      <c r="AQ229" s="299" t="s">
        <v>1368</v>
      </c>
    </row>
    <row r="230" spans="1:43" ht="15" customHeight="1" x14ac:dyDescent="0.25">
      <c r="A230">
        <v>21</v>
      </c>
      <c r="B230" t="s">
        <v>98</v>
      </c>
      <c r="C230" t="s">
        <v>55</v>
      </c>
      <c r="E230" s="72">
        <v>44</v>
      </c>
      <c r="F230" t="s">
        <v>97</v>
      </c>
      <c r="G230" t="s">
        <v>122</v>
      </c>
      <c r="I230" s="171">
        <v>12</v>
      </c>
      <c r="J230" s="171" t="s">
        <v>97</v>
      </c>
      <c r="K230" s="171" t="s">
        <v>134</v>
      </c>
      <c r="M230" s="171">
        <v>28</v>
      </c>
      <c r="N230" s="171" t="s">
        <v>98</v>
      </c>
      <c r="O230" s="171" t="s">
        <v>56</v>
      </c>
      <c r="Q230" s="399">
        <v>29</v>
      </c>
      <c r="R230" s="396" t="s">
        <v>98</v>
      </c>
      <c r="S230" s="398" t="s">
        <v>38</v>
      </c>
      <c r="U230" s="422">
        <v>37</v>
      </c>
      <c r="V230" s="171" t="s">
        <v>98</v>
      </c>
      <c r="W230" s="171" t="s">
        <v>55</v>
      </c>
      <c r="Y230" s="171">
        <v>7</v>
      </c>
      <c r="Z230" s="171" t="s">
        <v>97</v>
      </c>
      <c r="AA230" s="171" t="s">
        <v>134</v>
      </c>
      <c r="AC230" s="505">
        <v>9</v>
      </c>
      <c r="AD230" s="505" t="s">
        <v>97</v>
      </c>
      <c r="AE230" s="505" t="s">
        <v>134</v>
      </c>
      <c r="AG230" s="171">
        <v>32</v>
      </c>
      <c r="AH230" s="171" t="s">
        <v>98</v>
      </c>
      <c r="AI230" s="171" t="s">
        <v>56</v>
      </c>
      <c r="AK230" s="299">
        <v>25</v>
      </c>
      <c r="AL230" s="299" t="s">
        <v>81</v>
      </c>
      <c r="AM230" s="299" t="s">
        <v>1330</v>
      </c>
      <c r="AO230" s="299">
        <v>37</v>
      </c>
      <c r="AP230" s="299" t="s">
        <v>81</v>
      </c>
      <c r="AQ230" s="299" t="s">
        <v>1368</v>
      </c>
    </row>
    <row r="231" spans="1:43" ht="15" customHeight="1" x14ac:dyDescent="0.25">
      <c r="A231">
        <v>40</v>
      </c>
      <c r="B231" t="s">
        <v>98</v>
      </c>
      <c r="C231" t="s">
        <v>55</v>
      </c>
      <c r="E231" s="72">
        <v>43</v>
      </c>
      <c r="F231" t="s">
        <v>98</v>
      </c>
      <c r="G231" t="s">
        <v>55</v>
      </c>
      <c r="I231" s="171">
        <v>2</v>
      </c>
      <c r="J231" s="171" t="s">
        <v>98</v>
      </c>
      <c r="K231" s="171" t="s">
        <v>134</v>
      </c>
      <c r="M231" s="171">
        <v>30</v>
      </c>
      <c r="N231" s="171" t="s">
        <v>98</v>
      </c>
      <c r="O231" s="171" t="s">
        <v>56</v>
      </c>
      <c r="Q231" s="399">
        <v>20</v>
      </c>
      <c r="R231" s="396" t="s">
        <v>98</v>
      </c>
      <c r="S231" s="398" t="s">
        <v>38</v>
      </c>
      <c r="U231" s="422">
        <v>31</v>
      </c>
      <c r="V231" s="171" t="s">
        <v>98</v>
      </c>
      <c r="W231" s="171" t="s">
        <v>55</v>
      </c>
      <c r="Y231" s="171">
        <v>9</v>
      </c>
      <c r="Z231" s="171" t="s">
        <v>98</v>
      </c>
      <c r="AA231" s="171" t="s">
        <v>134</v>
      </c>
      <c r="AC231" s="505">
        <v>8</v>
      </c>
      <c r="AD231" s="505" t="s">
        <v>97</v>
      </c>
      <c r="AE231" s="505" t="s">
        <v>134</v>
      </c>
      <c r="AG231" s="171">
        <v>27</v>
      </c>
      <c r="AH231" s="171" t="s">
        <v>98</v>
      </c>
      <c r="AI231" s="171" t="s">
        <v>56</v>
      </c>
      <c r="AK231" s="299">
        <v>25</v>
      </c>
      <c r="AL231" s="299" t="s">
        <v>81</v>
      </c>
      <c r="AM231" s="299" t="s">
        <v>1330</v>
      </c>
      <c r="AO231" s="299">
        <v>28</v>
      </c>
      <c r="AP231" s="299" t="s">
        <v>81</v>
      </c>
      <c r="AQ231" s="299" t="s">
        <v>1368</v>
      </c>
    </row>
    <row r="232" spans="1:43" ht="15" customHeight="1" x14ac:dyDescent="0.25">
      <c r="A232">
        <v>25</v>
      </c>
      <c r="B232" t="s">
        <v>98</v>
      </c>
      <c r="C232" t="s">
        <v>55</v>
      </c>
      <c r="E232" s="72">
        <v>43</v>
      </c>
      <c r="F232" t="s">
        <v>98</v>
      </c>
      <c r="G232" t="s">
        <v>56</v>
      </c>
      <c r="I232" s="171">
        <v>1</v>
      </c>
      <c r="J232" s="171" t="s">
        <v>97</v>
      </c>
      <c r="K232" s="171" t="s">
        <v>134</v>
      </c>
      <c r="M232" s="171">
        <v>36</v>
      </c>
      <c r="N232" s="171" t="s">
        <v>98</v>
      </c>
      <c r="O232" s="171" t="s">
        <v>56</v>
      </c>
      <c r="Q232" s="399">
        <v>24</v>
      </c>
      <c r="R232" s="396" t="s">
        <v>98</v>
      </c>
      <c r="S232" s="398" t="s">
        <v>38</v>
      </c>
      <c r="U232" s="422">
        <v>35</v>
      </c>
      <c r="V232" s="171" t="s">
        <v>98</v>
      </c>
      <c r="W232" s="171" t="s">
        <v>55</v>
      </c>
      <c r="Y232" s="171">
        <v>3</v>
      </c>
      <c r="Z232" s="171" t="s">
        <v>98</v>
      </c>
      <c r="AA232" s="171" t="s">
        <v>134</v>
      </c>
      <c r="AC232" s="505">
        <v>12</v>
      </c>
      <c r="AD232" s="505" t="s">
        <v>98</v>
      </c>
      <c r="AE232" s="505" t="s">
        <v>134</v>
      </c>
      <c r="AG232" s="171">
        <v>36</v>
      </c>
      <c r="AH232" s="171" t="s">
        <v>98</v>
      </c>
      <c r="AI232" s="171" t="s">
        <v>56</v>
      </c>
      <c r="AK232" s="299">
        <v>36</v>
      </c>
      <c r="AL232" s="299" t="s">
        <v>81</v>
      </c>
      <c r="AM232" s="299" t="s">
        <v>1330</v>
      </c>
      <c r="AO232" s="299">
        <v>31</v>
      </c>
      <c r="AP232" s="299" t="s">
        <v>81</v>
      </c>
      <c r="AQ232" s="299" t="s">
        <v>1368</v>
      </c>
    </row>
    <row r="233" spans="1:43" ht="15" customHeight="1" x14ac:dyDescent="0.25">
      <c r="A233">
        <v>23</v>
      </c>
      <c r="B233" t="s">
        <v>98</v>
      </c>
      <c r="C233" t="s">
        <v>55</v>
      </c>
      <c r="E233" s="72">
        <v>43</v>
      </c>
      <c r="F233" t="s">
        <v>98</v>
      </c>
      <c r="G233" t="s">
        <v>56</v>
      </c>
      <c r="I233" s="171">
        <v>4</v>
      </c>
      <c r="J233" s="171" t="s">
        <v>98</v>
      </c>
      <c r="K233" s="171" t="s">
        <v>134</v>
      </c>
      <c r="M233" s="171">
        <v>28</v>
      </c>
      <c r="N233" s="171" t="s">
        <v>98</v>
      </c>
      <c r="O233" s="171" t="s">
        <v>56</v>
      </c>
      <c r="Q233" s="399">
        <v>18</v>
      </c>
      <c r="R233" s="396" t="s">
        <v>98</v>
      </c>
      <c r="S233" s="398" t="s">
        <v>38</v>
      </c>
      <c r="U233" s="422">
        <v>39</v>
      </c>
      <c r="V233" s="171" t="s">
        <v>98</v>
      </c>
      <c r="W233" s="171" t="s">
        <v>55</v>
      </c>
      <c r="Y233" s="171">
        <v>2</v>
      </c>
      <c r="Z233" s="171" t="s">
        <v>97</v>
      </c>
      <c r="AA233" s="171" t="s">
        <v>134</v>
      </c>
      <c r="AC233" s="505">
        <v>2</v>
      </c>
      <c r="AD233" s="505" t="s">
        <v>98</v>
      </c>
      <c r="AE233" s="505" t="s">
        <v>134</v>
      </c>
      <c r="AG233" s="171">
        <v>25</v>
      </c>
      <c r="AH233" s="171" t="s">
        <v>98</v>
      </c>
      <c r="AI233" s="171" t="s">
        <v>56</v>
      </c>
      <c r="AK233" s="299">
        <v>32</v>
      </c>
      <c r="AL233" s="299" t="s">
        <v>81</v>
      </c>
      <c r="AM233" s="299" t="s">
        <v>1330</v>
      </c>
      <c r="AO233" s="299">
        <v>42</v>
      </c>
      <c r="AP233" s="299" t="s">
        <v>81</v>
      </c>
      <c r="AQ233" s="299" t="s">
        <v>1368</v>
      </c>
    </row>
    <row r="234" spans="1:43" ht="15" customHeight="1" x14ac:dyDescent="0.25">
      <c r="A234">
        <v>31</v>
      </c>
      <c r="B234" t="s">
        <v>98</v>
      </c>
      <c r="C234" t="s">
        <v>55</v>
      </c>
      <c r="E234" s="72">
        <v>43</v>
      </c>
      <c r="F234" t="s">
        <v>98</v>
      </c>
      <c r="G234" t="s">
        <v>56</v>
      </c>
      <c r="I234" s="171" t="s">
        <v>707</v>
      </c>
      <c r="J234" s="171" t="s">
        <v>97</v>
      </c>
      <c r="K234" s="171" t="s">
        <v>134</v>
      </c>
      <c r="M234" s="171">
        <v>20</v>
      </c>
      <c r="N234" s="171" t="s">
        <v>98</v>
      </c>
      <c r="O234" s="171" t="s">
        <v>56</v>
      </c>
      <c r="Q234" s="399">
        <v>23</v>
      </c>
      <c r="R234" s="396" t="s">
        <v>98</v>
      </c>
      <c r="S234" s="398" t="s">
        <v>38</v>
      </c>
      <c r="U234" s="422">
        <v>18</v>
      </c>
      <c r="V234" s="171" t="s">
        <v>98</v>
      </c>
      <c r="W234" s="171" t="s">
        <v>55</v>
      </c>
      <c r="Y234" s="171">
        <v>11</v>
      </c>
      <c r="Z234" s="171" t="s">
        <v>97</v>
      </c>
      <c r="AA234" s="171" t="s">
        <v>134</v>
      </c>
      <c r="AC234" s="505">
        <v>7</v>
      </c>
      <c r="AD234" s="505" t="s">
        <v>97</v>
      </c>
      <c r="AE234" s="505" t="s">
        <v>134</v>
      </c>
      <c r="AG234" s="171">
        <v>26</v>
      </c>
      <c r="AH234" s="171" t="s">
        <v>98</v>
      </c>
      <c r="AI234" s="171" t="s">
        <v>56</v>
      </c>
      <c r="AK234" s="299">
        <v>19</v>
      </c>
      <c r="AL234" s="299" t="s">
        <v>81</v>
      </c>
      <c r="AM234" s="299" t="s">
        <v>1330</v>
      </c>
      <c r="AO234" s="299">
        <v>29</v>
      </c>
      <c r="AP234" s="299" t="s">
        <v>81</v>
      </c>
      <c r="AQ234" s="299" t="s">
        <v>1368</v>
      </c>
    </row>
    <row r="235" spans="1:43" ht="15" customHeight="1" x14ac:dyDescent="0.25">
      <c r="A235">
        <v>27</v>
      </c>
      <c r="B235" t="s">
        <v>98</v>
      </c>
      <c r="C235" t="s">
        <v>55</v>
      </c>
      <c r="E235" s="72">
        <v>43</v>
      </c>
      <c r="F235" t="s">
        <v>97</v>
      </c>
      <c r="G235" t="s">
        <v>122</v>
      </c>
      <c r="I235" s="171">
        <v>1</v>
      </c>
      <c r="J235" s="171" t="s">
        <v>97</v>
      </c>
      <c r="K235" s="171" t="s">
        <v>134</v>
      </c>
      <c r="M235" s="171">
        <v>38</v>
      </c>
      <c r="N235" s="171" t="s">
        <v>98</v>
      </c>
      <c r="O235" s="171" t="s">
        <v>56</v>
      </c>
      <c r="Q235" s="399">
        <v>30</v>
      </c>
      <c r="R235" s="396" t="s">
        <v>98</v>
      </c>
      <c r="S235" s="398" t="s">
        <v>38</v>
      </c>
      <c r="U235" s="422">
        <v>20</v>
      </c>
      <c r="V235" s="171" t="s">
        <v>98</v>
      </c>
      <c r="W235" s="171" t="s">
        <v>55</v>
      </c>
      <c r="Y235" s="171">
        <v>6</v>
      </c>
      <c r="Z235" s="171" t="s">
        <v>97</v>
      </c>
      <c r="AA235" s="171" t="s">
        <v>134</v>
      </c>
      <c r="AC235" s="505" t="s">
        <v>1103</v>
      </c>
      <c r="AD235" s="505" t="s">
        <v>98</v>
      </c>
      <c r="AE235" s="505" t="s">
        <v>134</v>
      </c>
      <c r="AG235" s="171">
        <v>29</v>
      </c>
      <c r="AH235" s="171" t="s">
        <v>98</v>
      </c>
      <c r="AI235" s="171" t="s">
        <v>55</v>
      </c>
      <c r="AK235" s="299">
        <v>26</v>
      </c>
      <c r="AL235" s="299" t="s">
        <v>81</v>
      </c>
      <c r="AM235" s="299" t="s">
        <v>1330</v>
      </c>
      <c r="AO235" s="299">
        <v>29</v>
      </c>
      <c r="AP235" s="299" t="s">
        <v>81</v>
      </c>
      <c r="AQ235" s="299" t="s">
        <v>1368</v>
      </c>
    </row>
    <row r="236" spans="1:43" ht="15" customHeight="1" x14ac:dyDescent="0.25">
      <c r="A236">
        <v>21</v>
      </c>
      <c r="B236" t="s">
        <v>98</v>
      </c>
      <c r="C236" t="s">
        <v>55</v>
      </c>
      <c r="E236" s="72">
        <v>43</v>
      </c>
      <c r="F236" t="s">
        <v>97</v>
      </c>
      <c r="G236" t="s">
        <v>122</v>
      </c>
      <c r="I236" s="171" t="s">
        <v>708</v>
      </c>
      <c r="J236" s="171" t="s">
        <v>98</v>
      </c>
      <c r="K236" s="171" t="s">
        <v>134</v>
      </c>
      <c r="M236" s="171">
        <v>24</v>
      </c>
      <c r="N236" s="171" t="s">
        <v>98</v>
      </c>
      <c r="O236" s="171" t="s">
        <v>56</v>
      </c>
      <c r="Q236" s="399">
        <v>41</v>
      </c>
      <c r="R236" s="396" t="s">
        <v>98</v>
      </c>
      <c r="S236" s="398" t="s">
        <v>38</v>
      </c>
      <c r="U236" s="422">
        <v>36</v>
      </c>
      <c r="V236" s="171" t="s">
        <v>98</v>
      </c>
      <c r="W236" s="171" t="s">
        <v>55</v>
      </c>
      <c r="Y236" s="171">
        <v>7</v>
      </c>
      <c r="Z236" s="171" t="s">
        <v>98</v>
      </c>
      <c r="AA236" s="171" t="s">
        <v>134</v>
      </c>
      <c r="AC236" s="505">
        <v>5</v>
      </c>
      <c r="AD236" s="505" t="s">
        <v>98</v>
      </c>
      <c r="AE236" s="505" t="s">
        <v>134</v>
      </c>
      <c r="AG236" s="171">
        <v>34</v>
      </c>
      <c r="AH236" s="171" t="s">
        <v>98</v>
      </c>
      <c r="AI236" s="171" t="s">
        <v>55</v>
      </c>
      <c r="AK236" s="299">
        <v>42</v>
      </c>
      <c r="AL236" s="299" t="s">
        <v>81</v>
      </c>
      <c r="AM236" s="299" t="s">
        <v>1330</v>
      </c>
      <c r="AO236" s="299">
        <v>19</v>
      </c>
      <c r="AP236" s="299" t="s">
        <v>81</v>
      </c>
      <c r="AQ236" s="299" t="s">
        <v>1368</v>
      </c>
    </row>
    <row r="237" spans="1:43" ht="15" customHeight="1" x14ac:dyDescent="0.25">
      <c r="A237">
        <v>35</v>
      </c>
      <c r="B237" t="s">
        <v>98</v>
      </c>
      <c r="C237" t="s">
        <v>55</v>
      </c>
      <c r="E237" s="72">
        <v>43</v>
      </c>
      <c r="F237" t="s">
        <v>97</v>
      </c>
      <c r="G237" t="s">
        <v>122</v>
      </c>
      <c r="I237" s="171">
        <v>1</v>
      </c>
      <c r="J237" s="171" t="s">
        <v>97</v>
      </c>
      <c r="K237" s="171" t="s">
        <v>134</v>
      </c>
      <c r="M237" s="171">
        <v>18</v>
      </c>
      <c r="N237" s="171" t="s">
        <v>98</v>
      </c>
      <c r="O237" s="171" t="s">
        <v>56</v>
      </c>
      <c r="Q237" s="399">
        <v>26</v>
      </c>
      <c r="R237" s="396" t="s">
        <v>98</v>
      </c>
      <c r="S237" s="398" t="s">
        <v>38</v>
      </c>
      <c r="U237" s="422">
        <v>39</v>
      </c>
      <c r="V237" s="171" t="s">
        <v>98</v>
      </c>
      <c r="W237" s="171" t="s">
        <v>55</v>
      </c>
      <c r="Y237" s="171">
        <v>2</v>
      </c>
      <c r="Z237" s="171" t="s">
        <v>97</v>
      </c>
      <c r="AA237" s="171" t="s">
        <v>134</v>
      </c>
      <c r="AC237" s="505" t="s">
        <v>1099</v>
      </c>
      <c r="AD237" s="505" t="s">
        <v>97</v>
      </c>
      <c r="AE237" s="505" t="s">
        <v>134</v>
      </c>
      <c r="AG237" s="171">
        <v>31</v>
      </c>
      <c r="AH237" s="171" t="s">
        <v>98</v>
      </c>
      <c r="AI237" s="171" t="s">
        <v>55</v>
      </c>
      <c r="AK237" s="299">
        <v>44</v>
      </c>
      <c r="AL237" s="299" t="s">
        <v>81</v>
      </c>
      <c r="AM237" s="299" t="s">
        <v>1330</v>
      </c>
      <c r="AO237" s="299">
        <v>33</v>
      </c>
      <c r="AP237" s="299" t="s">
        <v>81</v>
      </c>
      <c r="AQ237" s="299" t="s">
        <v>1368</v>
      </c>
    </row>
    <row r="238" spans="1:43" ht="15" customHeight="1" x14ac:dyDescent="0.25">
      <c r="A238">
        <v>27</v>
      </c>
      <c r="B238" t="s">
        <v>98</v>
      </c>
      <c r="C238" t="s">
        <v>55</v>
      </c>
      <c r="E238" s="72">
        <v>43</v>
      </c>
      <c r="F238" t="s">
        <v>98</v>
      </c>
      <c r="G238" t="s">
        <v>123</v>
      </c>
      <c r="I238" s="171">
        <v>7</v>
      </c>
      <c r="J238" s="171" t="s">
        <v>97</v>
      </c>
      <c r="K238" s="171" t="s">
        <v>134</v>
      </c>
      <c r="M238" s="171">
        <v>26</v>
      </c>
      <c r="N238" s="171" t="s">
        <v>98</v>
      </c>
      <c r="O238" s="171" t="s">
        <v>56</v>
      </c>
      <c r="Q238" s="399">
        <v>16</v>
      </c>
      <c r="R238" s="396" t="s">
        <v>98</v>
      </c>
      <c r="S238" s="398" t="s">
        <v>38</v>
      </c>
      <c r="U238" s="422">
        <v>20</v>
      </c>
      <c r="V238" s="171" t="s">
        <v>98</v>
      </c>
      <c r="W238" s="171" t="s">
        <v>55</v>
      </c>
      <c r="Y238" s="171">
        <v>5</v>
      </c>
      <c r="Z238" s="171" t="s">
        <v>97</v>
      </c>
      <c r="AA238" s="171" t="s">
        <v>134</v>
      </c>
      <c r="AC238" s="505" t="s">
        <v>1097</v>
      </c>
      <c r="AD238" s="505" t="s">
        <v>98</v>
      </c>
      <c r="AE238" s="505" t="s">
        <v>134</v>
      </c>
      <c r="AG238" s="171">
        <v>20</v>
      </c>
      <c r="AH238" s="171" t="s">
        <v>98</v>
      </c>
      <c r="AI238" s="171" t="s">
        <v>55</v>
      </c>
      <c r="AK238" s="299">
        <v>38</v>
      </c>
      <c r="AL238" s="299" t="s">
        <v>81</v>
      </c>
      <c r="AM238" s="299" t="s">
        <v>1330</v>
      </c>
      <c r="AO238" s="299">
        <v>38</v>
      </c>
      <c r="AP238" s="299" t="s">
        <v>81</v>
      </c>
      <c r="AQ238" s="299" t="s">
        <v>1368</v>
      </c>
    </row>
    <row r="239" spans="1:43" ht="15" customHeight="1" x14ac:dyDescent="0.25">
      <c r="A239">
        <v>35</v>
      </c>
      <c r="B239" t="s">
        <v>98</v>
      </c>
      <c r="C239" t="s">
        <v>55</v>
      </c>
      <c r="E239" s="72">
        <v>43</v>
      </c>
      <c r="F239" t="s">
        <v>98</v>
      </c>
      <c r="G239" t="s">
        <v>123</v>
      </c>
      <c r="I239" s="171">
        <v>8</v>
      </c>
      <c r="J239" s="171" t="s">
        <v>97</v>
      </c>
      <c r="K239" s="171" t="s">
        <v>134</v>
      </c>
      <c r="M239" s="171">
        <v>33</v>
      </c>
      <c r="N239" s="171" t="s">
        <v>98</v>
      </c>
      <c r="O239" s="171" t="s">
        <v>56</v>
      </c>
      <c r="Q239" s="399">
        <v>25</v>
      </c>
      <c r="R239" s="396" t="s">
        <v>98</v>
      </c>
      <c r="S239" s="398" t="s">
        <v>38</v>
      </c>
      <c r="U239" s="422">
        <v>16</v>
      </c>
      <c r="V239" s="171" t="s">
        <v>98</v>
      </c>
      <c r="W239" s="171" t="s">
        <v>55</v>
      </c>
      <c r="Y239" s="171">
        <v>9</v>
      </c>
      <c r="Z239" s="171" t="s">
        <v>97</v>
      </c>
      <c r="AA239" s="171" t="s">
        <v>134</v>
      </c>
      <c r="AC239" s="505">
        <v>5</v>
      </c>
      <c r="AD239" s="505" t="s">
        <v>97</v>
      </c>
      <c r="AE239" s="505" t="s">
        <v>134</v>
      </c>
      <c r="AG239" s="171">
        <v>36</v>
      </c>
      <c r="AH239" s="171" t="s">
        <v>98</v>
      </c>
      <c r="AI239" s="171" t="s">
        <v>55</v>
      </c>
      <c r="AK239" s="299">
        <v>46</v>
      </c>
      <c r="AL239" s="299" t="s">
        <v>81</v>
      </c>
      <c r="AM239" s="299" t="s">
        <v>1330</v>
      </c>
      <c r="AO239" s="299">
        <v>35</v>
      </c>
      <c r="AP239" s="299" t="s">
        <v>81</v>
      </c>
      <c r="AQ239" s="299" t="s">
        <v>1368</v>
      </c>
    </row>
    <row r="240" spans="1:43" ht="15" customHeight="1" x14ac:dyDescent="0.25">
      <c r="A240">
        <v>35</v>
      </c>
      <c r="B240" t="s">
        <v>98</v>
      </c>
      <c r="C240" t="s">
        <v>55</v>
      </c>
      <c r="E240" s="72">
        <v>42</v>
      </c>
      <c r="F240" t="s">
        <v>98</v>
      </c>
      <c r="G240" t="s">
        <v>688</v>
      </c>
      <c r="I240" s="171">
        <v>1</v>
      </c>
      <c r="J240" s="171" t="s">
        <v>97</v>
      </c>
      <c r="K240" s="171" t="s">
        <v>134</v>
      </c>
      <c r="M240" s="171">
        <v>19</v>
      </c>
      <c r="N240" s="171" t="s">
        <v>98</v>
      </c>
      <c r="O240" s="171" t="s">
        <v>56</v>
      </c>
      <c r="Q240" s="399">
        <v>41</v>
      </c>
      <c r="R240" s="396" t="s">
        <v>98</v>
      </c>
      <c r="S240" s="398" t="s">
        <v>38</v>
      </c>
      <c r="U240" s="422">
        <v>29</v>
      </c>
      <c r="V240" s="171" t="s">
        <v>98</v>
      </c>
      <c r="W240" s="171" t="s">
        <v>55</v>
      </c>
      <c r="Y240" s="460">
        <v>30</v>
      </c>
      <c r="Z240" s="460" t="s">
        <v>98</v>
      </c>
      <c r="AA240" s="171" t="s">
        <v>38</v>
      </c>
      <c r="AC240" s="505">
        <v>2</v>
      </c>
      <c r="AD240" s="505" t="s">
        <v>97</v>
      </c>
      <c r="AE240" s="505" t="s">
        <v>134</v>
      </c>
      <c r="AG240" s="171">
        <v>40</v>
      </c>
      <c r="AH240" s="171" t="s">
        <v>98</v>
      </c>
      <c r="AI240" s="171" t="s">
        <v>55</v>
      </c>
      <c r="AK240" s="299">
        <v>30</v>
      </c>
      <c r="AL240" s="299" t="s">
        <v>81</v>
      </c>
      <c r="AM240" s="299" t="s">
        <v>1330</v>
      </c>
      <c r="AO240" s="299">
        <v>33</v>
      </c>
      <c r="AP240" s="299" t="s">
        <v>81</v>
      </c>
      <c r="AQ240" s="299" t="s">
        <v>1368</v>
      </c>
    </row>
    <row r="241" spans="1:43" ht="15" customHeight="1" x14ac:dyDescent="0.25">
      <c r="A241">
        <v>28</v>
      </c>
      <c r="B241" t="s">
        <v>98</v>
      </c>
      <c r="C241" t="s">
        <v>55</v>
      </c>
      <c r="E241" s="72">
        <v>42</v>
      </c>
      <c r="F241" t="s">
        <v>98</v>
      </c>
      <c r="G241" t="s">
        <v>688</v>
      </c>
      <c r="I241" s="171">
        <v>7</v>
      </c>
      <c r="J241" s="171" t="s">
        <v>98</v>
      </c>
      <c r="K241" s="171" t="s">
        <v>134</v>
      </c>
      <c r="M241" s="171">
        <v>27</v>
      </c>
      <c r="N241" s="171" t="s">
        <v>98</v>
      </c>
      <c r="O241" s="171" t="s">
        <v>56</v>
      </c>
      <c r="Q241" s="399">
        <v>25</v>
      </c>
      <c r="R241" s="396" t="s">
        <v>98</v>
      </c>
      <c r="S241" s="398" t="s">
        <v>38</v>
      </c>
      <c r="U241" s="422">
        <v>22</v>
      </c>
      <c r="V241" s="171" t="s">
        <v>98</v>
      </c>
      <c r="W241" s="171" t="s">
        <v>55</v>
      </c>
      <c r="Y241" s="460">
        <v>23</v>
      </c>
      <c r="Z241" s="460" t="s">
        <v>98</v>
      </c>
      <c r="AA241" s="171" t="s">
        <v>38</v>
      </c>
      <c r="AC241" s="505">
        <v>3</v>
      </c>
      <c r="AD241" s="505" t="s">
        <v>98</v>
      </c>
      <c r="AE241" s="505" t="s">
        <v>134</v>
      </c>
      <c r="AG241" s="171">
        <v>28</v>
      </c>
      <c r="AH241" s="171" t="s">
        <v>98</v>
      </c>
      <c r="AI241" s="171" t="s">
        <v>55</v>
      </c>
      <c r="AK241" s="299">
        <v>39</v>
      </c>
      <c r="AL241" s="299" t="s">
        <v>81</v>
      </c>
      <c r="AM241" s="299" t="s">
        <v>1330</v>
      </c>
      <c r="AO241" s="299">
        <v>22</v>
      </c>
      <c r="AP241" s="299" t="s">
        <v>81</v>
      </c>
      <c r="AQ241" s="299" t="s">
        <v>1368</v>
      </c>
    </row>
    <row r="242" spans="1:43" ht="15" customHeight="1" x14ac:dyDescent="0.25">
      <c r="A242">
        <v>32</v>
      </c>
      <c r="B242" t="s">
        <v>98</v>
      </c>
      <c r="C242" t="s">
        <v>55</v>
      </c>
      <c r="E242" s="72">
        <v>42</v>
      </c>
      <c r="F242" t="s">
        <v>98</v>
      </c>
      <c r="G242" t="s">
        <v>688</v>
      </c>
      <c r="I242" s="171">
        <v>2</v>
      </c>
      <c r="J242" s="171" t="s">
        <v>97</v>
      </c>
      <c r="K242" s="171" t="s">
        <v>134</v>
      </c>
      <c r="M242" s="171">
        <v>28</v>
      </c>
      <c r="N242" s="171" t="s">
        <v>98</v>
      </c>
      <c r="O242" s="171" t="s">
        <v>56</v>
      </c>
      <c r="Q242" s="399">
        <v>16</v>
      </c>
      <c r="R242" s="396" t="s">
        <v>98</v>
      </c>
      <c r="S242" s="398" t="s">
        <v>38</v>
      </c>
      <c r="U242" s="422">
        <v>23</v>
      </c>
      <c r="V242" s="171" t="s">
        <v>98</v>
      </c>
      <c r="W242" s="171" t="s">
        <v>55</v>
      </c>
      <c r="Y242" s="460">
        <v>41</v>
      </c>
      <c r="Z242" s="460" t="s">
        <v>98</v>
      </c>
      <c r="AA242" s="171" t="s">
        <v>38</v>
      </c>
      <c r="AC242" s="505">
        <v>9</v>
      </c>
      <c r="AD242" s="505" t="s">
        <v>98</v>
      </c>
      <c r="AE242" s="505" t="s">
        <v>134</v>
      </c>
      <c r="AG242" s="171">
        <v>39</v>
      </c>
      <c r="AH242" s="171" t="s">
        <v>98</v>
      </c>
      <c r="AI242" s="171" t="s">
        <v>55</v>
      </c>
      <c r="AK242" s="299">
        <v>22</v>
      </c>
      <c r="AL242" s="299" t="s">
        <v>81</v>
      </c>
      <c r="AM242" s="299" t="s">
        <v>1330</v>
      </c>
      <c r="AO242" s="299">
        <v>24</v>
      </c>
      <c r="AP242" s="299" t="s">
        <v>81</v>
      </c>
      <c r="AQ242" s="299" t="s">
        <v>1368</v>
      </c>
    </row>
    <row r="243" spans="1:43" ht="15" customHeight="1" x14ac:dyDescent="0.25">
      <c r="A243">
        <v>32</v>
      </c>
      <c r="B243" t="s">
        <v>98</v>
      </c>
      <c r="C243" t="s">
        <v>55</v>
      </c>
      <c r="E243" s="72">
        <v>42</v>
      </c>
      <c r="F243" t="s">
        <v>98</v>
      </c>
      <c r="G243" t="s">
        <v>55</v>
      </c>
      <c r="I243" s="171">
        <v>4</v>
      </c>
      <c r="J243" s="171" t="s">
        <v>97</v>
      </c>
      <c r="K243" s="171" t="s">
        <v>134</v>
      </c>
      <c r="M243" s="171">
        <v>33</v>
      </c>
      <c r="N243" s="171" t="s">
        <v>98</v>
      </c>
      <c r="O243" s="171" t="s">
        <v>56</v>
      </c>
      <c r="Q243" s="399">
        <v>19</v>
      </c>
      <c r="R243" s="396" t="s">
        <v>98</v>
      </c>
      <c r="S243" s="398" t="s">
        <v>38</v>
      </c>
      <c r="U243" s="422">
        <v>40</v>
      </c>
      <c r="V243" s="171" t="s">
        <v>98</v>
      </c>
      <c r="W243" s="171" t="s">
        <v>55</v>
      </c>
      <c r="Y243" s="460">
        <v>19</v>
      </c>
      <c r="Z243" s="460" t="s">
        <v>98</v>
      </c>
      <c r="AA243" s="171" t="s">
        <v>38</v>
      </c>
      <c r="AC243" s="505">
        <v>11</v>
      </c>
      <c r="AD243" s="505" t="s">
        <v>97</v>
      </c>
      <c r="AE243" s="505" t="s">
        <v>134</v>
      </c>
      <c r="AG243" s="171">
        <v>23</v>
      </c>
      <c r="AH243" s="171" t="s">
        <v>98</v>
      </c>
      <c r="AI243" s="171" t="s">
        <v>55</v>
      </c>
      <c r="AK243" s="299">
        <v>25</v>
      </c>
      <c r="AL243" s="299" t="s">
        <v>81</v>
      </c>
      <c r="AM243" s="299" t="s">
        <v>1330</v>
      </c>
      <c r="AO243" s="299">
        <v>24</v>
      </c>
      <c r="AP243" s="299" t="s">
        <v>81</v>
      </c>
      <c r="AQ243" s="299" t="s">
        <v>1368</v>
      </c>
    </row>
    <row r="244" spans="1:43" ht="15" customHeight="1" x14ac:dyDescent="0.25">
      <c r="A244">
        <v>34</v>
      </c>
      <c r="B244" t="s">
        <v>98</v>
      </c>
      <c r="C244" t="s">
        <v>55</v>
      </c>
      <c r="E244" s="72">
        <v>42</v>
      </c>
      <c r="F244" t="s">
        <v>98</v>
      </c>
      <c r="G244" t="s">
        <v>55</v>
      </c>
      <c r="I244" s="171" t="s">
        <v>690</v>
      </c>
      <c r="J244" s="171" t="s">
        <v>98</v>
      </c>
      <c r="K244" s="171" t="s">
        <v>134</v>
      </c>
      <c r="M244" s="171">
        <v>33</v>
      </c>
      <c r="N244" s="171" t="s">
        <v>98</v>
      </c>
      <c r="O244" s="171" t="s">
        <v>56</v>
      </c>
      <c r="Q244" s="399">
        <v>34</v>
      </c>
      <c r="R244" s="396" t="s">
        <v>98</v>
      </c>
      <c r="S244" s="398" t="s">
        <v>38</v>
      </c>
      <c r="U244" s="422">
        <v>28</v>
      </c>
      <c r="V244" s="171" t="s">
        <v>98</v>
      </c>
      <c r="W244" s="171" t="s">
        <v>55</v>
      </c>
      <c r="Y244" s="460">
        <v>22</v>
      </c>
      <c r="Z244" s="460" t="s">
        <v>98</v>
      </c>
      <c r="AA244" s="171" t="s">
        <v>38</v>
      </c>
      <c r="AC244" s="505">
        <v>3</v>
      </c>
      <c r="AD244" s="505" t="s">
        <v>98</v>
      </c>
      <c r="AE244" s="505" t="s">
        <v>134</v>
      </c>
      <c r="AG244" s="171">
        <v>24</v>
      </c>
      <c r="AH244" s="171" t="s">
        <v>98</v>
      </c>
      <c r="AI244" s="171" t="s">
        <v>55</v>
      </c>
      <c r="AK244" s="299">
        <v>15</v>
      </c>
      <c r="AL244" s="299" t="s">
        <v>81</v>
      </c>
      <c r="AM244" s="299" t="s">
        <v>1330</v>
      </c>
      <c r="AO244" s="299">
        <v>20</v>
      </c>
      <c r="AP244" s="299" t="s">
        <v>81</v>
      </c>
      <c r="AQ244" s="299" t="s">
        <v>1368</v>
      </c>
    </row>
    <row r="245" spans="1:43" ht="15" customHeight="1" x14ac:dyDescent="0.25">
      <c r="A245">
        <v>17</v>
      </c>
      <c r="B245" t="s">
        <v>98</v>
      </c>
      <c r="C245" t="s">
        <v>55</v>
      </c>
      <c r="E245" s="72">
        <v>42</v>
      </c>
      <c r="F245" t="s">
        <v>98</v>
      </c>
      <c r="G245" t="s">
        <v>55</v>
      </c>
      <c r="I245" s="171">
        <v>1</v>
      </c>
      <c r="J245" s="171" t="s">
        <v>98</v>
      </c>
      <c r="K245" s="171" t="s">
        <v>134</v>
      </c>
      <c r="M245" s="171">
        <v>19</v>
      </c>
      <c r="N245" s="171" t="s">
        <v>98</v>
      </c>
      <c r="O245" s="171" t="s">
        <v>56</v>
      </c>
      <c r="Q245" s="399">
        <v>29</v>
      </c>
      <c r="R245" s="396" t="s">
        <v>98</v>
      </c>
      <c r="S245" s="398" t="s">
        <v>38</v>
      </c>
      <c r="U245" s="422">
        <v>22</v>
      </c>
      <c r="V245" s="171" t="s">
        <v>98</v>
      </c>
      <c r="W245" s="171" t="s">
        <v>55</v>
      </c>
      <c r="Y245" s="460">
        <v>21</v>
      </c>
      <c r="Z245" s="460" t="s">
        <v>98</v>
      </c>
      <c r="AA245" s="171" t="s">
        <v>38</v>
      </c>
      <c r="AC245" s="505" t="s">
        <v>704</v>
      </c>
      <c r="AD245" s="505" t="s">
        <v>98</v>
      </c>
      <c r="AE245" s="505" t="s">
        <v>134</v>
      </c>
      <c r="AG245" s="171">
        <v>28</v>
      </c>
      <c r="AH245" s="171" t="s">
        <v>98</v>
      </c>
      <c r="AI245" s="171" t="s">
        <v>55</v>
      </c>
      <c r="AK245" s="299">
        <v>32</v>
      </c>
      <c r="AL245" s="299" t="s">
        <v>81</v>
      </c>
      <c r="AM245" s="299" t="s">
        <v>1330</v>
      </c>
      <c r="AO245" s="299">
        <v>33</v>
      </c>
      <c r="AP245" s="299" t="s">
        <v>81</v>
      </c>
      <c r="AQ245" s="299" t="s">
        <v>1368</v>
      </c>
    </row>
    <row r="246" spans="1:43" ht="15" customHeight="1" x14ac:dyDescent="0.25">
      <c r="A246">
        <v>14</v>
      </c>
      <c r="B246" t="s">
        <v>98</v>
      </c>
      <c r="C246" t="s">
        <v>55</v>
      </c>
      <c r="E246" s="72">
        <v>42</v>
      </c>
      <c r="F246" t="s">
        <v>98</v>
      </c>
      <c r="G246" t="s">
        <v>56</v>
      </c>
      <c r="I246" s="171" t="s">
        <v>692</v>
      </c>
      <c r="J246" s="171" t="s">
        <v>98</v>
      </c>
      <c r="K246" s="171" t="s">
        <v>134</v>
      </c>
      <c r="M246" s="171">
        <v>22</v>
      </c>
      <c r="N246" s="171" t="s">
        <v>98</v>
      </c>
      <c r="O246" s="171" t="s">
        <v>56</v>
      </c>
      <c r="Q246" s="399">
        <v>25</v>
      </c>
      <c r="R246" s="396" t="s">
        <v>98</v>
      </c>
      <c r="S246" s="398" t="s">
        <v>38</v>
      </c>
      <c r="U246" s="422">
        <v>43</v>
      </c>
      <c r="V246" s="171" t="s">
        <v>98</v>
      </c>
      <c r="W246" s="171" t="s">
        <v>55</v>
      </c>
      <c r="Y246" s="171">
        <v>33</v>
      </c>
      <c r="Z246" s="460" t="s">
        <v>98</v>
      </c>
      <c r="AA246" s="171" t="s">
        <v>38</v>
      </c>
      <c r="AC246" s="505" t="s">
        <v>1156</v>
      </c>
      <c r="AD246" s="505" t="s">
        <v>97</v>
      </c>
      <c r="AE246" s="505" t="s">
        <v>134</v>
      </c>
      <c r="AG246" s="171">
        <v>15</v>
      </c>
      <c r="AH246" s="171" t="s">
        <v>98</v>
      </c>
      <c r="AI246" s="171" t="s">
        <v>55</v>
      </c>
      <c r="AK246" s="299">
        <v>23</v>
      </c>
      <c r="AL246" s="299" t="s">
        <v>81</v>
      </c>
      <c r="AM246" s="299" t="s">
        <v>1330</v>
      </c>
      <c r="AO246" s="299">
        <v>30</v>
      </c>
      <c r="AP246" s="299" t="s">
        <v>81</v>
      </c>
      <c r="AQ246" s="299" t="s">
        <v>1368</v>
      </c>
    </row>
    <row r="247" spans="1:43" ht="15" customHeight="1" x14ac:dyDescent="0.25">
      <c r="A247">
        <v>23</v>
      </c>
      <c r="B247" t="s">
        <v>98</v>
      </c>
      <c r="C247" t="s">
        <v>55</v>
      </c>
      <c r="E247" s="72">
        <v>42</v>
      </c>
      <c r="F247" t="s">
        <v>98</v>
      </c>
      <c r="G247" t="s">
        <v>38</v>
      </c>
      <c r="I247" s="171">
        <v>2</v>
      </c>
      <c r="J247" s="171" t="s">
        <v>97</v>
      </c>
      <c r="K247" s="171" t="s">
        <v>134</v>
      </c>
      <c r="M247" s="171">
        <v>25</v>
      </c>
      <c r="N247" s="171" t="s">
        <v>98</v>
      </c>
      <c r="O247" s="171" t="s">
        <v>56</v>
      </c>
      <c r="Q247" s="399">
        <v>33</v>
      </c>
      <c r="R247" s="396" t="s">
        <v>98</v>
      </c>
      <c r="S247" s="398" t="s">
        <v>38</v>
      </c>
      <c r="U247" s="422">
        <v>36</v>
      </c>
      <c r="V247" s="171" t="s">
        <v>98</v>
      </c>
      <c r="W247" s="171" t="s">
        <v>55</v>
      </c>
      <c r="Y247" s="171">
        <v>43</v>
      </c>
      <c r="Z247" s="460" t="s">
        <v>98</v>
      </c>
      <c r="AA247" s="171" t="s">
        <v>38</v>
      </c>
      <c r="AC247" s="505" t="s">
        <v>1097</v>
      </c>
      <c r="AD247" s="505" t="s">
        <v>97</v>
      </c>
      <c r="AE247" s="505" t="s">
        <v>134</v>
      </c>
      <c r="AG247" s="171">
        <v>15</v>
      </c>
      <c r="AH247" s="171" t="s">
        <v>98</v>
      </c>
      <c r="AI247" s="171" t="s">
        <v>55</v>
      </c>
      <c r="AK247" s="299">
        <v>19</v>
      </c>
      <c r="AL247" s="299" t="s">
        <v>81</v>
      </c>
      <c r="AM247" s="299" t="s">
        <v>1330</v>
      </c>
      <c r="AO247" s="299">
        <v>28</v>
      </c>
      <c r="AP247" s="299" t="s">
        <v>81</v>
      </c>
      <c r="AQ247" s="299" t="s">
        <v>1368</v>
      </c>
    </row>
    <row r="248" spans="1:43" ht="15" customHeight="1" x14ac:dyDescent="0.25">
      <c r="A248">
        <v>37</v>
      </c>
      <c r="B248" t="s">
        <v>98</v>
      </c>
      <c r="C248" t="s">
        <v>55</v>
      </c>
      <c r="E248" s="72">
        <v>42</v>
      </c>
      <c r="F248" t="s">
        <v>98</v>
      </c>
      <c r="G248" t="s">
        <v>38</v>
      </c>
      <c r="I248" s="171">
        <v>1</v>
      </c>
      <c r="J248" s="171" t="s">
        <v>97</v>
      </c>
      <c r="K248" s="171" t="s">
        <v>134</v>
      </c>
      <c r="M248" s="171">
        <v>22</v>
      </c>
      <c r="N248" s="171" t="s">
        <v>98</v>
      </c>
      <c r="O248" s="171" t="s">
        <v>56</v>
      </c>
      <c r="Q248" s="399">
        <v>22</v>
      </c>
      <c r="R248" s="396" t="s">
        <v>98</v>
      </c>
      <c r="S248" s="398" t="s">
        <v>38</v>
      </c>
      <c r="U248" s="422">
        <v>18</v>
      </c>
      <c r="V248" s="171" t="s">
        <v>98</v>
      </c>
      <c r="W248" s="171" t="s">
        <v>55</v>
      </c>
      <c r="Y248" s="171">
        <v>20</v>
      </c>
      <c r="Z248" s="460" t="s">
        <v>98</v>
      </c>
      <c r="AA248" s="171" t="s">
        <v>38</v>
      </c>
      <c r="AC248" s="505">
        <v>12</v>
      </c>
      <c r="AD248" s="505" t="s">
        <v>98</v>
      </c>
      <c r="AE248" s="505" t="s">
        <v>134</v>
      </c>
      <c r="AG248" s="171">
        <v>35</v>
      </c>
      <c r="AH248" s="171" t="s">
        <v>98</v>
      </c>
      <c r="AI248" s="171" t="s">
        <v>55</v>
      </c>
      <c r="AK248" s="299">
        <v>29</v>
      </c>
      <c r="AL248" s="299" t="s">
        <v>81</v>
      </c>
      <c r="AM248" s="299" t="s">
        <v>1330</v>
      </c>
      <c r="AO248" s="299">
        <v>36</v>
      </c>
      <c r="AP248" s="299" t="s">
        <v>81</v>
      </c>
      <c r="AQ248" s="299" t="s">
        <v>1368</v>
      </c>
    </row>
    <row r="249" spans="1:43" ht="15" customHeight="1" x14ac:dyDescent="0.25">
      <c r="A249">
        <v>27</v>
      </c>
      <c r="B249" t="s">
        <v>98</v>
      </c>
      <c r="C249" t="s">
        <v>55</v>
      </c>
      <c r="E249" s="72">
        <v>42</v>
      </c>
      <c r="F249" t="s">
        <v>97</v>
      </c>
      <c r="G249" t="s">
        <v>122</v>
      </c>
      <c r="I249" s="171">
        <v>2</v>
      </c>
      <c r="J249" s="171" t="s">
        <v>98</v>
      </c>
      <c r="K249" s="171" t="s">
        <v>134</v>
      </c>
      <c r="M249" s="171">
        <v>33</v>
      </c>
      <c r="N249" s="171" t="s">
        <v>98</v>
      </c>
      <c r="O249" s="171" t="s">
        <v>56</v>
      </c>
      <c r="Q249" s="399">
        <v>40</v>
      </c>
      <c r="R249" s="396" t="s">
        <v>98</v>
      </c>
      <c r="S249" s="398" t="s">
        <v>38</v>
      </c>
      <c r="U249" s="422">
        <v>16</v>
      </c>
      <c r="V249" s="171" t="s">
        <v>98</v>
      </c>
      <c r="W249" s="171" t="s">
        <v>55</v>
      </c>
      <c r="Y249" s="171">
        <v>28</v>
      </c>
      <c r="Z249" s="460" t="s">
        <v>98</v>
      </c>
      <c r="AA249" s="171" t="s">
        <v>38</v>
      </c>
      <c r="AC249" s="505" t="s">
        <v>1096</v>
      </c>
      <c r="AD249" s="505" t="s">
        <v>98</v>
      </c>
      <c r="AE249" s="505" t="s">
        <v>134</v>
      </c>
      <c r="AG249" s="171">
        <v>30</v>
      </c>
      <c r="AH249" s="171" t="s">
        <v>98</v>
      </c>
      <c r="AI249" s="171" t="s">
        <v>55</v>
      </c>
      <c r="AK249" s="299">
        <v>31</v>
      </c>
      <c r="AL249" s="299" t="s">
        <v>81</v>
      </c>
      <c r="AM249" s="299" t="s">
        <v>1330</v>
      </c>
      <c r="AO249" s="299">
        <v>29</v>
      </c>
      <c r="AP249" s="299" t="s">
        <v>81</v>
      </c>
      <c r="AQ249" s="299" t="s">
        <v>1368</v>
      </c>
    </row>
    <row r="250" spans="1:43" ht="15" customHeight="1" x14ac:dyDescent="0.25">
      <c r="A250">
        <v>41</v>
      </c>
      <c r="B250" t="s">
        <v>98</v>
      </c>
      <c r="C250" t="s">
        <v>55</v>
      </c>
      <c r="E250" s="72">
        <v>41</v>
      </c>
      <c r="F250" t="s">
        <v>97</v>
      </c>
      <c r="G250" t="s">
        <v>688</v>
      </c>
      <c r="I250" s="171">
        <v>1</v>
      </c>
      <c r="J250" s="171" t="s">
        <v>97</v>
      </c>
      <c r="K250" s="171" t="s">
        <v>134</v>
      </c>
      <c r="M250" s="171">
        <v>19</v>
      </c>
      <c r="N250" s="171" t="s">
        <v>98</v>
      </c>
      <c r="O250" s="171" t="s">
        <v>56</v>
      </c>
      <c r="Q250" s="399">
        <v>31</v>
      </c>
      <c r="R250" s="396" t="s">
        <v>98</v>
      </c>
      <c r="S250" s="398" t="s">
        <v>38</v>
      </c>
      <c r="U250" s="422">
        <v>32</v>
      </c>
      <c r="V250" s="171" t="s">
        <v>98</v>
      </c>
      <c r="W250" s="171" t="s">
        <v>55</v>
      </c>
      <c r="Y250" s="171">
        <v>28</v>
      </c>
      <c r="Z250" s="460" t="s">
        <v>98</v>
      </c>
      <c r="AA250" s="171" t="s">
        <v>38</v>
      </c>
      <c r="AC250" s="505">
        <v>1</v>
      </c>
      <c r="AD250" s="505" t="s">
        <v>98</v>
      </c>
      <c r="AE250" s="505" t="s">
        <v>134</v>
      </c>
      <c r="AG250" s="171">
        <v>18</v>
      </c>
      <c r="AH250" s="171" t="s">
        <v>98</v>
      </c>
      <c r="AI250" s="171" t="s">
        <v>55</v>
      </c>
      <c r="AK250" s="299">
        <v>44</v>
      </c>
      <c r="AL250" s="299" t="s">
        <v>81</v>
      </c>
      <c r="AM250" s="299" t="s">
        <v>1330</v>
      </c>
      <c r="AO250" s="299">
        <v>23</v>
      </c>
      <c r="AP250" s="299" t="s">
        <v>81</v>
      </c>
      <c r="AQ250" s="299" t="s">
        <v>1368</v>
      </c>
    </row>
    <row r="251" spans="1:43" ht="15" customHeight="1" x14ac:dyDescent="0.25">
      <c r="A251">
        <v>35</v>
      </c>
      <c r="B251" t="s">
        <v>98</v>
      </c>
      <c r="C251" t="s">
        <v>55</v>
      </c>
      <c r="E251" s="72">
        <v>41</v>
      </c>
      <c r="F251" t="s">
        <v>98</v>
      </c>
      <c r="G251" t="s">
        <v>56</v>
      </c>
      <c r="I251" s="171" t="s">
        <v>708</v>
      </c>
      <c r="J251" s="171" t="s">
        <v>97</v>
      </c>
      <c r="K251" s="171" t="s">
        <v>134</v>
      </c>
      <c r="M251" s="171">
        <v>26</v>
      </c>
      <c r="N251" s="171" t="s">
        <v>98</v>
      </c>
      <c r="O251" s="171" t="s">
        <v>56</v>
      </c>
      <c r="Q251" s="399">
        <v>33</v>
      </c>
      <c r="R251" s="396" t="s">
        <v>98</v>
      </c>
      <c r="S251" s="398" t="s">
        <v>38</v>
      </c>
      <c r="U251" s="422">
        <v>41</v>
      </c>
      <c r="V251" s="171" t="s">
        <v>98</v>
      </c>
      <c r="W251" s="171" t="s">
        <v>55</v>
      </c>
      <c r="Y251" s="171">
        <v>19</v>
      </c>
      <c r="Z251" s="460" t="s">
        <v>98</v>
      </c>
      <c r="AA251" s="171" t="s">
        <v>38</v>
      </c>
      <c r="AC251" s="505">
        <v>10</v>
      </c>
      <c r="AD251" s="505" t="s">
        <v>98</v>
      </c>
      <c r="AE251" s="505" t="s">
        <v>134</v>
      </c>
      <c r="AG251" s="171">
        <v>35</v>
      </c>
      <c r="AH251" s="171" t="s">
        <v>98</v>
      </c>
      <c r="AI251" s="171" t="s">
        <v>55</v>
      </c>
      <c r="AK251" s="299">
        <v>38</v>
      </c>
      <c r="AL251" s="299" t="s">
        <v>81</v>
      </c>
      <c r="AM251" s="299" t="s">
        <v>1330</v>
      </c>
      <c r="AO251" s="299">
        <v>19</v>
      </c>
      <c r="AP251" s="299" t="s">
        <v>81</v>
      </c>
      <c r="AQ251" s="299" t="s">
        <v>1368</v>
      </c>
    </row>
    <row r="252" spans="1:43" ht="15" customHeight="1" x14ac:dyDescent="0.25">
      <c r="A252">
        <v>29</v>
      </c>
      <c r="B252" t="s">
        <v>98</v>
      </c>
      <c r="C252" t="s">
        <v>55</v>
      </c>
      <c r="E252" s="72">
        <v>41</v>
      </c>
      <c r="F252" t="s">
        <v>98</v>
      </c>
      <c r="G252" t="s">
        <v>56</v>
      </c>
      <c r="I252" s="171">
        <v>1</v>
      </c>
      <c r="J252" s="171" t="s">
        <v>97</v>
      </c>
      <c r="K252" s="171" t="s">
        <v>134</v>
      </c>
      <c r="M252" s="171">
        <v>16</v>
      </c>
      <c r="N252" s="171" t="s">
        <v>98</v>
      </c>
      <c r="O252" s="171" t="s">
        <v>56</v>
      </c>
      <c r="Q252" s="399">
        <v>35</v>
      </c>
      <c r="R252" s="396" t="s">
        <v>98</v>
      </c>
      <c r="S252" s="398" t="s">
        <v>38</v>
      </c>
      <c r="U252" s="422">
        <v>27</v>
      </c>
      <c r="V252" s="171" t="s">
        <v>98</v>
      </c>
      <c r="W252" s="171" t="s">
        <v>55</v>
      </c>
      <c r="Y252" s="171">
        <v>18</v>
      </c>
      <c r="Z252" s="460" t="s">
        <v>98</v>
      </c>
      <c r="AA252" s="171" t="s">
        <v>38</v>
      </c>
      <c r="AC252" s="505">
        <v>7</v>
      </c>
      <c r="AD252" s="505" t="s">
        <v>98</v>
      </c>
      <c r="AE252" s="505" t="s">
        <v>134</v>
      </c>
      <c r="AG252" s="171">
        <v>31</v>
      </c>
      <c r="AH252" s="171" t="s">
        <v>98</v>
      </c>
      <c r="AI252" s="171" t="s">
        <v>55</v>
      </c>
      <c r="AK252" s="299">
        <v>38</v>
      </c>
      <c r="AL252" s="299" t="s">
        <v>81</v>
      </c>
      <c r="AM252" s="299" t="s">
        <v>1330</v>
      </c>
      <c r="AO252" s="299">
        <v>25</v>
      </c>
      <c r="AP252" s="299" t="s">
        <v>81</v>
      </c>
      <c r="AQ252" s="299" t="s">
        <v>1368</v>
      </c>
    </row>
    <row r="253" spans="1:43" ht="15" customHeight="1" x14ac:dyDescent="0.25">
      <c r="A253">
        <v>24</v>
      </c>
      <c r="B253" t="s">
        <v>98</v>
      </c>
      <c r="C253" t="s">
        <v>55</v>
      </c>
      <c r="E253" s="72">
        <v>41</v>
      </c>
      <c r="F253" t="s">
        <v>98</v>
      </c>
      <c r="G253" t="s">
        <v>56</v>
      </c>
      <c r="I253" s="171">
        <v>2</v>
      </c>
      <c r="J253" s="171" t="s">
        <v>97</v>
      </c>
      <c r="K253" s="171" t="s">
        <v>134</v>
      </c>
      <c r="M253" s="171">
        <v>29</v>
      </c>
      <c r="N253" s="171" t="s">
        <v>98</v>
      </c>
      <c r="O253" s="171" t="s">
        <v>56</v>
      </c>
      <c r="Q253" s="399">
        <v>35</v>
      </c>
      <c r="R253" s="396" t="s">
        <v>98</v>
      </c>
      <c r="S253" s="398" t="s">
        <v>38</v>
      </c>
      <c r="U253" s="422">
        <v>40</v>
      </c>
      <c r="V253" s="171" t="s">
        <v>98</v>
      </c>
      <c r="W253" s="171" t="s">
        <v>55</v>
      </c>
      <c r="Y253" s="171">
        <v>32</v>
      </c>
      <c r="Z253" s="460" t="s">
        <v>98</v>
      </c>
      <c r="AA253" s="171" t="s">
        <v>38</v>
      </c>
      <c r="AC253" s="505">
        <v>4</v>
      </c>
      <c r="AD253" s="505" t="s">
        <v>98</v>
      </c>
      <c r="AE253" s="505" t="s">
        <v>134</v>
      </c>
      <c r="AG253" s="171">
        <v>19</v>
      </c>
      <c r="AH253" s="171" t="s">
        <v>98</v>
      </c>
      <c r="AI253" s="171" t="s">
        <v>55</v>
      </c>
      <c r="AK253" s="299">
        <v>42</v>
      </c>
      <c r="AL253" s="299" t="s">
        <v>81</v>
      </c>
      <c r="AM253" s="299" t="s">
        <v>1330</v>
      </c>
      <c r="AO253" s="299">
        <v>38</v>
      </c>
      <c r="AP253" s="299" t="s">
        <v>81</v>
      </c>
      <c r="AQ253" s="299" t="s">
        <v>1368</v>
      </c>
    </row>
    <row r="254" spans="1:43" ht="15" customHeight="1" x14ac:dyDescent="0.25">
      <c r="A254">
        <v>38</v>
      </c>
      <c r="B254" t="s">
        <v>98</v>
      </c>
      <c r="C254" t="s">
        <v>55</v>
      </c>
      <c r="E254" s="72">
        <v>41</v>
      </c>
      <c r="F254" t="s">
        <v>98</v>
      </c>
      <c r="G254" t="s">
        <v>56</v>
      </c>
      <c r="I254" s="171">
        <v>1</v>
      </c>
      <c r="J254" s="171" t="s">
        <v>98</v>
      </c>
      <c r="K254" s="171" t="s">
        <v>134</v>
      </c>
      <c r="M254" s="171">
        <v>18</v>
      </c>
      <c r="N254" s="171" t="s">
        <v>98</v>
      </c>
      <c r="O254" s="171" t="s">
        <v>56</v>
      </c>
      <c r="Q254" s="399">
        <v>42</v>
      </c>
      <c r="R254" s="396" t="s">
        <v>98</v>
      </c>
      <c r="S254" s="398" t="s">
        <v>38</v>
      </c>
      <c r="U254" s="422">
        <v>26</v>
      </c>
      <c r="V254" s="171" t="s">
        <v>98</v>
      </c>
      <c r="W254" s="171" t="s">
        <v>55</v>
      </c>
      <c r="Y254" s="171">
        <v>24</v>
      </c>
      <c r="Z254" s="460" t="s">
        <v>98</v>
      </c>
      <c r="AA254" s="171" t="s">
        <v>38</v>
      </c>
      <c r="AC254" s="505">
        <v>5</v>
      </c>
      <c r="AD254" s="505" t="s">
        <v>98</v>
      </c>
      <c r="AE254" s="505" t="s">
        <v>134</v>
      </c>
      <c r="AG254" s="171">
        <v>32</v>
      </c>
      <c r="AH254" s="171" t="s">
        <v>98</v>
      </c>
      <c r="AI254" s="171" t="s">
        <v>55</v>
      </c>
      <c r="AK254" s="299">
        <v>27</v>
      </c>
      <c r="AL254" s="299" t="s">
        <v>81</v>
      </c>
      <c r="AM254" s="299" t="s">
        <v>1330</v>
      </c>
      <c r="AO254" s="299">
        <v>38</v>
      </c>
      <c r="AP254" s="299" t="s">
        <v>81</v>
      </c>
      <c r="AQ254" s="299" t="s">
        <v>1368</v>
      </c>
    </row>
    <row r="255" spans="1:43" ht="15" customHeight="1" x14ac:dyDescent="0.25">
      <c r="A255">
        <v>31</v>
      </c>
      <c r="B255" t="s">
        <v>98</v>
      </c>
      <c r="C255" t="s">
        <v>55</v>
      </c>
      <c r="E255" s="72">
        <v>41</v>
      </c>
      <c r="F255" t="s">
        <v>98</v>
      </c>
      <c r="G255" t="s">
        <v>56</v>
      </c>
      <c r="I255" s="171">
        <v>12</v>
      </c>
      <c r="J255" s="171" t="s">
        <v>98</v>
      </c>
      <c r="K255" s="171" t="s">
        <v>134</v>
      </c>
      <c r="M255" s="171">
        <v>31</v>
      </c>
      <c r="N255" s="171" t="s">
        <v>98</v>
      </c>
      <c r="O255" s="171" t="s">
        <v>56</v>
      </c>
      <c r="Q255" s="399">
        <v>17</v>
      </c>
      <c r="R255" s="396" t="s">
        <v>98</v>
      </c>
      <c r="S255" s="398" t="s">
        <v>38</v>
      </c>
      <c r="U255" s="422">
        <v>37</v>
      </c>
      <c r="V255" s="171" t="s">
        <v>98</v>
      </c>
      <c r="W255" s="171" t="s">
        <v>55</v>
      </c>
      <c r="Y255" s="171">
        <v>32</v>
      </c>
      <c r="Z255" s="460" t="s">
        <v>98</v>
      </c>
      <c r="AA255" s="171" t="s">
        <v>38</v>
      </c>
      <c r="AC255" s="505">
        <v>7</v>
      </c>
      <c r="AD255" s="505" t="s">
        <v>98</v>
      </c>
      <c r="AE255" s="505" t="s">
        <v>134</v>
      </c>
      <c r="AG255" s="171">
        <v>36</v>
      </c>
      <c r="AH255" s="171" t="s">
        <v>98</v>
      </c>
      <c r="AI255" s="171" t="s">
        <v>55</v>
      </c>
      <c r="AK255" s="299">
        <v>30</v>
      </c>
      <c r="AL255" s="299" t="s">
        <v>81</v>
      </c>
      <c r="AM255" s="299" t="s">
        <v>1330</v>
      </c>
      <c r="AO255" s="299">
        <v>39</v>
      </c>
      <c r="AP255" s="299" t="s">
        <v>81</v>
      </c>
      <c r="AQ255" s="299" t="s">
        <v>1368</v>
      </c>
    </row>
    <row r="256" spans="1:43" ht="15" customHeight="1" x14ac:dyDescent="0.25">
      <c r="A256">
        <v>31</v>
      </c>
      <c r="B256" t="s">
        <v>98</v>
      </c>
      <c r="C256" t="s">
        <v>55</v>
      </c>
      <c r="E256" s="72">
        <v>41</v>
      </c>
      <c r="F256" t="s">
        <v>98</v>
      </c>
      <c r="G256" t="s">
        <v>56</v>
      </c>
      <c r="I256" s="171">
        <v>1</v>
      </c>
      <c r="J256" s="171" t="s">
        <v>97</v>
      </c>
      <c r="K256" s="171" t="s">
        <v>134</v>
      </c>
      <c r="M256" s="171">
        <v>35</v>
      </c>
      <c r="N256" s="171" t="s">
        <v>98</v>
      </c>
      <c r="O256" s="171" t="s">
        <v>56</v>
      </c>
      <c r="Q256" s="399">
        <v>21</v>
      </c>
      <c r="R256" s="396" t="s">
        <v>98</v>
      </c>
      <c r="S256" s="398" t="s">
        <v>38</v>
      </c>
      <c r="U256" s="422">
        <v>24</v>
      </c>
      <c r="V256" s="171" t="s">
        <v>98</v>
      </c>
      <c r="W256" s="171" t="s">
        <v>55</v>
      </c>
      <c r="Y256" s="171">
        <v>29</v>
      </c>
      <c r="Z256" s="460" t="s">
        <v>98</v>
      </c>
      <c r="AA256" s="171" t="s">
        <v>38</v>
      </c>
      <c r="AC256" s="505">
        <v>5</v>
      </c>
      <c r="AD256" s="505" t="s">
        <v>98</v>
      </c>
      <c r="AE256" s="505" t="s">
        <v>134</v>
      </c>
      <c r="AG256" s="171">
        <v>20</v>
      </c>
      <c r="AH256" s="171" t="s">
        <v>98</v>
      </c>
      <c r="AI256" s="171" t="s">
        <v>55</v>
      </c>
      <c r="AK256" s="299">
        <v>18</v>
      </c>
      <c r="AL256" s="299" t="s">
        <v>81</v>
      </c>
      <c r="AM256" s="299" t="s">
        <v>1330</v>
      </c>
      <c r="AO256" s="299">
        <v>23</v>
      </c>
      <c r="AP256" s="299" t="s">
        <v>81</v>
      </c>
      <c r="AQ256" s="299" t="s">
        <v>1368</v>
      </c>
    </row>
    <row r="257" spans="1:43" ht="15" customHeight="1" x14ac:dyDescent="0.25">
      <c r="A257">
        <v>32</v>
      </c>
      <c r="B257" t="s">
        <v>98</v>
      </c>
      <c r="C257" t="s">
        <v>55</v>
      </c>
      <c r="E257" s="72">
        <v>41</v>
      </c>
      <c r="F257" t="s">
        <v>98</v>
      </c>
      <c r="G257" t="s">
        <v>38</v>
      </c>
      <c r="I257" s="171">
        <v>1</v>
      </c>
      <c r="J257" s="171" t="s">
        <v>98</v>
      </c>
      <c r="K257" s="171" t="s">
        <v>134</v>
      </c>
      <c r="M257" s="171">
        <v>21</v>
      </c>
      <c r="N257" s="171" t="s">
        <v>98</v>
      </c>
      <c r="O257" s="171" t="s">
        <v>56</v>
      </c>
      <c r="Q257" s="399">
        <v>27</v>
      </c>
      <c r="R257" s="396" t="s">
        <v>98</v>
      </c>
      <c r="S257" s="398" t="s">
        <v>38</v>
      </c>
      <c r="U257" s="422">
        <v>34</v>
      </c>
      <c r="V257" s="171" t="s">
        <v>98</v>
      </c>
      <c r="W257" s="171" t="s">
        <v>55</v>
      </c>
      <c r="Y257" s="171">
        <v>24</v>
      </c>
      <c r="Z257" s="460" t="s">
        <v>98</v>
      </c>
      <c r="AA257" s="171" t="s">
        <v>38</v>
      </c>
      <c r="AC257" s="505">
        <v>12</v>
      </c>
      <c r="AD257" s="505" t="s">
        <v>97</v>
      </c>
      <c r="AE257" s="505" t="s">
        <v>134</v>
      </c>
      <c r="AG257" s="171">
        <v>22</v>
      </c>
      <c r="AH257" s="171" t="s">
        <v>98</v>
      </c>
      <c r="AI257" s="171" t="s">
        <v>55</v>
      </c>
      <c r="AK257" s="299">
        <v>38</v>
      </c>
      <c r="AL257" s="299" t="s">
        <v>81</v>
      </c>
      <c r="AM257" s="299" t="s">
        <v>1330</v>
      </c>
      <c r="AO257" s="299">
        <v>23</v>
      </c>
      <c r="AP257" s="299" t="s">
        <v>81</v>
      </c>
      <c r="AQ257" s="299" t="s">
        <v>1368</v>
      </c>
    </row>
    <row r="258" spans="1:43" ht="15" customHeight="1" x14ac:dyDescent="0.25">
      <c r="A258">
        <v>40</v>
      </c>
      <c r="B258" t="s">
        <v>98</v>
      </c>
      <c r="C258" t="s">
        <v>55</v>
      </c>
      <c r="E258" s="72">
        <v>41</v>
      </c>
      <c r="F258" t="s">
        <v>97</v>
      </c>
      <c r="G258" t="s">
        <v>122</v>
      </c>
      <c r="I258" s="171">
        <v>4</v>
      </c>
      <c r="J258" s="171" t="s">
        <v>97</v>
      </c>
      <c r="K258" s="171" t="s">
        <v>134</v>
      </c>
      <c r="M258" s="171">
        <v>19</v>
      </c>
      <c r="N258" s="171" t="s">
        <v>98</v>
      </c>
      <c r="O258" s="171" t="s">
        <v>56</v>
      </c>
      <c r="Q258" s="399">
        <v>27</v>
      </c>
      <c r="R258" s="396" t="s">
        <v>98</v>
      </c>
      <c r="S258" s="398" t="s">
        <v>38</v>
      </c>
      <c r="U258" s="422">
        <v>25</v>
      </c>
      <c r="V258" s="171" t="s">
        <v>98</v>
      </c>
      <c r="W258" s="171" t="s">
        <v>55</v>
      </c>
      <c r="Y258" s="171">
        <v>36</v>
      </c>
      <c r="Z258" s="460" t="s">
        <v>98</v>
      </c>
      <c r="AA258" s="171" t="s">
        <v>38</v>
      </c>
      <c r="AC258" s="505">
        <v>4</v>
      </c>
      <c r="AD258" s="505" t="s">
        <v>97</v>
      </c>
      <c r="AE258" s="505" t="s">
        <v>134</v>
      </c>
      <c r="AG258" s="171">
        <v>17</v>
      </c>
      <c r="AH258" s="171" t="s">
        <v>98</v>
      </c>
      <c r="AI258" s="171" t="s">
        <v>55</v>
      </c>
      <c r="AK258" s="299">
        <v>39</v>
      </c>
      <c r="AL258" s="299" t="s">
        <v>81</v>
      </c>
      <c r="AM258" s="299" t="s">
        <v>1330</v>
      </c>
      <c r="AO258" s="299">
        <v>17</v>
      </c>
      <c r="AP258" s="299" t="s">
        <v>81</v>
      </c>
      <c r="AQ258" s="299" t="s">
        <v>1368</v>
      </c>
    </row>
    <row r="259" spans="1:43" ht="15" customHeight="1" x14ac:dyDescent="0.25">
      <c r="A259">
        <v>32</v>
      </c>
      <c r="B259" t="s">
        <v>98</v>
      </c>
      <c r="C259" t="s">
        <v>55</v>
      </c>
      <c r="E259" s="72">
        <v>40</v>
      </c>
      <c r="F259" t="s">
        <v>97</v>
      </c>
      <c r="G259" t="s">
        <v>688</v>
      </c>
      <c r="I259" s="171">
        <v>18</v>
      </c>
      <c r="J259" s="171" t="s">
        <v>98</v>
      </c>
      <c r="K259" s="171" t="s">
        <v>38</v>
      </c>
      <c r="M259" s="171">
        <v>20</v>
      </c>
      <c r="N259" s="171" t="s">
        <v>98</v>
      </c>
      <c r="O259" s="171" t="s">
        <v>56</v>
      </c>
      <c r="Q259" s="399">
        <v>33</v>
      </c>
      <c r="R259" s="396" t="s">
        <v>98</v>
      </c>
      <c r="S259" s="398" t="s">
        <v>38</v>
      </c>
      <c r="U259" s="422">
        <v>30</v>
      </c>
      <c r="V259" s="171" t="s">
        <v>98</v>
      </c>
      <c r="W259" s="171" t="s">
        <v>55</v>
      </c>
      <c r="Y259" s="171">
        <v>37</v>
      </c>
      <c r="Z259" s="460" t="s">
        <v>98</v>
      </c>
      <c r="AA259" s="171" t="s">
        <v>38</v>
      </c>
      <c r="AC259" s="505" t="s">
        <v>1154</v>
      </c>
      <c r="AD259" s="505" t="s">
        <v>97</v>
      </c>
      <c r="AE259" s="505" t="s">
        <v>134</v>
      </c>
      <c r="AG259" s="171">
        <v>20</v>
      </c>
      <c r="AH259" s="171" t="s">
        <v>98</v>
      </c>
      <c r="AI259" s="171" t="s">
        <v>55</v>
      </c>
      <c r="AK259" s="299">
        <v>19</v>
      </c>
      <c r="AL259" s="299" t="s">
        <v>81</v>
      </c>
      <c r="AM259" s="299" t="s">
        <v>1330</v>
      </c>
      <c r="AO259" s="299">
        <v>30</v>
      </c>
      <c r="AP259" s="299" t="s">
        <v>81</v>
      </c>
      <c r="AQ259" s="299" t="s">
        <v>1368</v>
      </c>
    </row>
    <row r="260" spans="1:43" ht="15" customHeight="1" x14ac:dyDescent="0.25">
      <c r="A260">
        <v>20</v>
      </c>
      <c r="B260" t="s">
        <v>98</v>
      </c>
      <c r="C260" t="s">
        <v>55</v>
      </c>
      <c r="E260" s="72">
        <v>40</v>
      </c>
      <c r="F260" t="s">
        <v>98</v>
      </c>
      <c r="G260" t="s">
        <v>56</v>
      </c>
      <c r="I260" s="171">
        <v>19</v>
      </c>
      <c r="J260" s="171" t="s">
        <v>98</v>
      </c>
      <c r="K260" s="171" t="s">
        <v>38</v>
      </c>
      <c r="M260" s="171">
        <v>30</v>
      </c>
      <c r="N260" s="171" t="s">
        <v>98</v>
      </c>
      <c r="O260" s="171" t="s">
        <v>56</v>
      </c>
      <c r="Q260" s="399">
        <v>38</v>
      </c>
      <c r="R260" s="396" t="s">
        <v>98</v>
      </c>
      <c r="S260" s="398" t="s">
        <v>38</v>
      </c>
      <c r="U260" s="422">
        <v>32</v>
      </c>
      <c r="V260" s="171" t="s">
        <v>98</v>
      </c>
      <c r="W260" s="171" t="s">
        <v>55</v>
      </c>
      <c r="Y260" s="171">
        <v>32</v>
      </c>
      <c r="Z260" s="460" t="s">
        <v>98</v>
      </c>
      <c r="AA260" s="171" t="s">
        <v>38</v>
      </c>
      <c r="AC260" s="505">
        <v>2</v>
      </c>
      <c r="AD260" s="505" t="s">
        <v>98</v>
      </c>
      <c r="AE260" s="505" t="s">
        <v>134</v>
      </c>
      <c r="AG260" s="171">
        <v>31</v>
      </c>
      <c r="AH260" s="171" t="s">
        <v>98</v>
      </c>
      <c r="AI260" s="171" t="s">
        <v>55</v>
      </c>
      <c r="AK260" s="299">
        <v>32</v>
      </c>
      <c r="AL260" s="299" t="s">
        <v>81</v>
      </c>
      <c r="AM260" s="299" t="s">
        <v>1330</v>
      </c>
      <c r="AO260" s="299">
        <v>29</v>
      </c>
      <c r="AP260" s="299" t="s">
        <v>81</v>
      </c>
      <c r="AQ260" s="299" t="s">
        <v>1368</v>
      </c>
    </row>
    <row r="261" spans="1:43" ht="15" customHeight="1" x14ac:dyDescent="0.25">
      <c r="A261">
        <v>36</v>
      </c>
      <c r="B261" t="s">
        <v>98</v>
      </c>
      <c r="C261" t="s">
        <v>55</v>
      </c>
      <c r="E261" s="72">
        <v>40</v>
      </c>
      <c r="F261" t="s">
        <v>98</v>
      </c>
      <c r="G261" t="s">
        <v>56</v>
      </c>
      <c r="I261" s="171">
        <v>30</v>
      </c>
      <c r="J261" s="171" t="s">
        <v>98</v>
      </c>
      <c r="K261" s="171" t="s">
        <v>38</v>
      </c>
      <c r="M261" s="171">
        <v>24</v>
      </c>
      <c r="N261" s="171" t="s">
        <v>98</v>
      </c>
      <c r="O261" s="171" t="s">
        <v>56</v>
      </c>
      <c r="Q261" s="399">
        <v>39</v>
      </c>
      <c r="R261" s="396" t="s">
        <v>98</v>
      </c>
      <c r="S261" s="398" t="s">
        <v>38</v>
      </c>
      <c r="U261" s="422">
        <v>31</v>
      </c>
      <c r="V261" s="171" t="s">
        <v>98</v>
      </c>
      <c r="W261" s="171" t="s">
        <v>55</v>
      </c>
      <c r="Y261" s="171">
        <v>31</v>
      </c>
      <c r="Z261" s="460" t="s">
        <v>98</v>
      </c>
      <c r="AA261" s="171" t="s">
        <v>38</v>
      </c>
      <c r="AC261" s="505" t="s">
        <v>704</v>
      </c>
      <c r="AD261" s="505" t="s">
        <v>97</v>
      </c>
      <c r="AE261" s="505" t="s">
        <v>134</v>
      </c>
      <c r="AG261" s="171">
        <v>26</v>
      </c>
      <c r="AH261" s="171" t="s">
        <v>98</v>
      </c>
      <c r="AI261" s="171" t="s">
        <v>55</v>
      </c>
      <c r="AK261" s="299">
        <v>28</v>
      </c>
      <c r="AL261" s="299" t="s">
        <v>81</v>
      </c>
      <c r="AM261" s="299" t="s">
        <v>1330</v>
      </c>
      <c r="AO261" s="299">
        <v>25</v>
      </c>
      <c r="AP261" s="299" t="s">
        <v>81</v>
      </c>
      <c r="AQ261" s="299" t="s">
        <v>1368</v>
      </c>
    </row>
    <row r="262" spans="1:43" ht="15" customHeight="1" x14ac:dyDescent="0.25">
      <c r="A262">
        <v>33</v>
      </c>
      <c r="B262" t="s">
        <v>98</v>
      </c>
      <c r="C262" t="s">
        <v>56</v>
      </c>
      <c r="E262" s="72">
        <v>40</v>
      </c>
      <c r="F262" t="s">
        <v>98</v>
      </c>
      <c r="G262" t="s">
        <v>56</v>
      </c>
      <c r="I262" s="171">
        <v>36</v>
      </c>
      <c r="J262" s="171" t="s">
        <v>98</v>
      </c>
      <c r="K262" s="171" t="s">
        <v>38</v>
      </c>
      <c r="M262" s="171">
        <v>29</v>
      </c>
      <c r="N262" s="171" t="s">
        <v>98</v>
      </c>
      <c r="O262" s="171" t="s">
        <v>56</v>
      </c>
      <c r="Q262" s="399">
        <v>22</v>
      </c>
      <c r="R262" s="396" t="s">
        <v>98</v>
      </c>
      <c r="S262" s="398" t="s">
        <v>38</v>
      </c>
      <c r="U262" s="422">
        <v>16</v>
      </c>
      <c r="V262" s="171" t="s">
        <v>98</v>
      </c>
      <c r="W262" s="171" t="s">
        <v>55</v>
      </c>
      <c r="Y262" s="171">
        <v>20</v>
      </c>
      <c r="Z262" s="460" t="s">
        <v>98</v>
      </c>
      <c r="AA262" s="171" t="s">
        <v>38</v>
      </c>
      <c r="AC262" s="505">
        <v>4</v>
      </c>
      <c r="AD262" s="505" t="s">
        <v>98</v>
      </c>
      <c r="AE262" s="505" t="s">
        <v>134</v>
      </c>
      <c r="AG262" s="171">
        <v>34</v>
      </c>
      <c r="AH262" s="171" t="s">
        <v>98</v>
      </c>
      <c r="AI262" s="171" t="s">
        <v>55</v>
      </c>
      <c r="AK262" s="299">
        <v>40</v>
      </c>
      <c r="AL262" s="299" t="s">
        <v>81</v>
      </c>
      <c r="AM262" s="299" t="s">
        <v>1330</v>
      </c>
      <c r="AO262" s="299">
        <v>20</v>
      </c>
      <c r="AP262" s="299" t="s">
        <v>81</v>
      </c>
      <c r="AQ262" s="299" t="s">
        <v>1368</v>
      </c>
    </row>
    <row r="263" spans="1:43" ht="15" customHeight="1" x14ac:dyDescent="0.25">
      <c r="A263">
        <v>29</v>
      </c>
      <c r="B263" t="s">
        <v>98</v>
      </c>
      <c r="C263" t="s">
        <v>56</v>
      </c>
      <c r="E263" s="72">
        <v>40</v>
      </c>
      <c r="F263" t="s">
        <v>98</v>
      </c>
      <c r="G263" t="s">
        <v>56</v>
      </c>
      <c r="I263" s="171">
        <v>16</v>
      </c>
      <c r="J263" s="171" t="s">
        <v>98</v>
      </c>
      <c r="K263" s="171" t="s">
        <v>38</v>
      </c>
      <c r="M263" s="171">
        <v>36</v>
      </c>
      <c r="N263" s="171" t="s">
        <v>98</v>
      </c>
      <c r="O263" s="171" t="s">
        <v>56</v>
      </c>
      <c r="Q263" s="399">
        <v>29</v>
      </c>
      <c r="R263" s="396" t="s">
        <v>98</v>
      </c>
      <c r="S263" s="398" t="s">
        <v>38</v>
      </c>
      <c r="U263" s="422">
        <v>38</v>
      </c>
      <c r="V263" s="171" t="s">
        <v>98</v>
      </c>
      <c r="W263" s="171" t="s">
        <v>55</v>
      </c>
      <c r="Y263" s="171">
        <v>18</v>
      </c>
      <c r="Z263" s="460" t="s">
        <v>98</v>
      </c>
      <c r="AA263" s="171" t="s">
        <v>38</v>
      </c>
      <c r="AC263" s="505">
        <v>5</v>
      </c>
      <c r="AD263" s="505" t="s">
        <v>98</v>
      </c>
      <c r="AE263" s="505" t="s">
        <v>134</v>
      </c>
      <c r="AG263" s="171">
        <v>43</v>
      </c>
      <c r="AH263" s="171" t="s">
        <v>98</v>
      </c>
      <c r="AI263" s="171" t="s">
        <v>55</v>
      </c>
      <c r="AK263" s="299">
        <v>30</v>
      </c>
      <c r="AL263" s="299" t="s">
        <v>81</v>
      </c>
      <c r="AM263" s="299" t="s">
        <v>1330</v>
      </c>
      <c r="AO263" s="299">
        <v>30</v>
      </c>
      <c r="AP263" s="299" t="s">
        <v>81</v>
      </c>
      <c r="AQ263" s="299" t="s">
        <v>1368</v>
      </c>
    </row>
    <row r="264" spans="1:43" ht="15" customHeight="1" x14ac:dyDescent="0.25">
      <c r="A264">
        <v>19</v>
      </c>
      <c r="B264" t="s">
        <v>98</v>
      </c>
      <c r="C264" t="s">
        <v>56</v>
      </c>
      <c r="E264" s="72">
        <v>40</v>
      </c>
      <c r="F264" t="s">
        <v>98</v>
      </c>
      <c r="G264" t="s">
        <v>38</v>
      </c>
      <c r="I264" s="171">
        <v>36</v>
      </c>
      <c r="J264" s="171" t="s">
        <v>98</v>
      </c>
      <c r="K264" s="171" t="s">
        <v>38</v>
      </c>
      <c r="M264" s="171">
        <v>36</v>
      </c>
      <c r="N264" s="171" t="s">
        <v>98</v>
      </c>
      <c r="O264" s="171" t="s">
        <v>56</v>
      </c>
      <c r="Q264" s="399">
        <v>32</v>
      </c>
      <c r="R264" s="396" t="s">
        <v>98</v>
      </c>
      <c r="S264" s="398" t="s">
        <v>38</v>
      </c>
      <c r="U264" s="422">
        <v>38</v>
      </c>
      <c r="V264" s="171" t="s">
        <v>98</v>
      </c>
      <c r="W264" s="171" t="s">
        <v>55</v>
      </c>
      <c r="Y264" s="171">
        <v>21</v>
      </c>
      <c r="Z264" s="460" t="s">
        <v>98</v>
      </c>
      <c r="AA264" s="171" t="s">
        <v>38</v>
      </c>
      <c r="AC264" s="505" t="s">
        <v>1096</v>
      </c>
      <c r="AD264" s="505" t="s">
        <v>97</v>
      </c>
      <c r="AE264" s="505" t="s">
        <v>134</v>
      </c>
      <c r="AG264" s="171">
        <v>26</v>
      </c>
      <c r="AH264" s="171" t="s">
        <v>98</v>
      </c>
      <c r="AI264" s="171" t="s">
        <v>55</v>
      </c>
      <c r="AK264" s="299">
        <v>71</v>
      </c>
      <c r="AL264" s="299" t="s">
        <v>81</v>
      </c>
      <c r="AM264" s="299" t="s">
        <v>1330</v>
      </c>
      <c r="AO264" s="299">
        <v>20</v>
      </c>
      <c r="AP264" s="299" t="s">
        <v>81</v>
      </c>
      <c r="AQ264" s="299" t="s">
        <v>1368</v>
      </c>
    </row>
    <row r="265" spans="1:43" ht="15" customHeight="1" x14ac:dyDescent="0.25">
      <c r="A265">
        <v>17</v>
      </c>
      <c r="B265" t="s">
        <v>98</v>
      </c>
      <c r="C265" t="s">
        <v>56</v>
      </c>
      <c r="E265" s="72">
        <v>40</v>
      </c>
      <c r="F265" t="s">
        <v>98</v>
      </c>
      <c r="G265" t="s">
        <v>38</v>
      </c>
      <c r="I265" s="171">
        <v>21</v>
      </c>
      <c r="J265" s="171" t="s">
        <v>98</v>
      </c>
      <c r="K265" s="171" t="s">
        <v>38</v>
      </c>
      <c r="M265" s="171">
        <v>35</v>
      </c>
      <c r="N265" s="171" t="s">
        <v>98</v>
      </c>
      <c r="O265" s="171" t="s">
        <v>56</v>
      </c>
      <c r="Q265" s="399">
        <v>39</v>
      </c>
      <c r="R265" s="396" t="s">
        <v>98</v>
      </c>
      <c r="S265" s="398" t="s">
        <v>38</v>
      </c>
      <c r="U265" s="422">
        <v>25</v>
      </c>
      <c r="V265" s="171" t="s">
        <v>98</v>
      </c>
      <c r="W265" s="171" t="s">
        <v>55</v>
      </c>
      <c r="Y265" s="171">
        <v>25</v>
      </c>
      <c r="Z265" s="460" t="s">
        <v>98</v>
      </c>
      <c r="AA265" s="171" t="s">
        <v>38</v>
      </c>
      <c r="AC265" s="505">
        <v>6</v>
      </c>
      <c r="AD265" s="505" t="s">
        <v>97</v>
      </c>
      <c r="AE265" s="505" t="s">
        <v>134</v>
      </c>
      <c r="AG265" s="171">
        <v>15</v>
      </c>
      <c r="AH265" s="171" t="s">
        <v>98</v>
      </c>
      <c r="AI265" s="171" t="s">
        <v>55</v>
      </c>
      <c r="AK265" s="299">
        <v>25</v>
      </c>
      <c r="AL265" s="299" t="s">
        <v>81</v>
      </c>
      <c r="AM265" s="299" t="s">
        <v>1330</v>
      </c>
      <c r="AO265" s="299">
        <v>31</v>
      </c>
      <c r="AP265" s="299" t="s">
        <v>81</v>
      </c>
      <c r="AQ265" s="299" t="s">
        <v>1368</v>
      </c>
    </row>
    <row r="266" spans="1:43" ht="15" customHeight="1" x14ac:dyDescent="0.25">
      <c r="A266">
        <v>28</v>
      </c>
      <c r="B266" t="s">
        <v>98</v>
      </c>
      <c r="C266" t="s">
        <v>56</v>
      </c>
      <c r="E266" s="72">
        <v>40</v>
      </c>
      <c r="F266" t="s">
        <v>98</v>
      </c>
      <c r="G266" t="s">
        <v>38</v>
      </c>
      <c r="I266" s="171">
        <v>20</v>
      </c>
      <c r="J266" s="171" t="s">
        <v>98</v>
      </c>
      <c r="K266" s="171" t="s">
        <v>38</v>
      </c>
      <c r="M266" s="171">
        <v>21</v>
      </c>
      <c r="N266" s="171" t="s">
        <v>98</v>
      </c>
      <c r="O266" s="171" t="s">
        <v>56</v>
      </c>
      <c r="Q266" s="399">
        <v>18</v>
      </c>
      <c r="R266" s="396" t="s">
        <v>98</v>
      </c>
      <c r="S266" s="398" t="s">
        <v>38</v>
      </c>
      <c r="U266" s="422">
        <v>35</v>
      </c>
      <c r="V266" s="171" t="s">
        <v>98</v>
      </c>
      <c r="W266" s="171" t="s">
        <v>55</v>
      </c>
      <c r="Y266" s="171">
        <v>29</v>
      </c>
      <c r="Z266" s="460" t="s">
        <v>98</v>
      </c>
      <c r="AA266" s="171" t="s">
        <v>38</v>
      </c>
      <c r="AC266" s="505">
        <v>1</v>
      </c>
      <c r="AD266" s="505" t="s">
        <v>97</v>
      </c>
      <c r="AE266" s="505" t="s">
        <v>134</v>
      </c>
      <c r="AG266" s="171">
        <v>16</v>
      </c>
      <c r="AH266" s="171" t="s">
        <v>98</v>
      </c>
      <c r="AI266" s="171" t="s">
        <v>55</v>
      </c>
      <c r="AK266" s="299">
        <v>28</v>
      </c>
      <c r="AL266" s="299" t="s">
        <v>81</v>
      </c>
      <c r="AM266" s="299" t="s">
        <v>1330</v>
      </c>
      <c r="AO266" s="299">
        <v>25</v>
      </c>
      <c r="AP266" s="299" t="s">
        <v>81</v>
      </c>
      <c r="AQ266" s="299" t="s">
        <v>1368</v>
      </c>
    </row>
    <row r="267" spans="1:43" ht="15" customHeight="1" x14ac:dyDescent="0.25">
      <c r="A267">
        <v>22</v>
      </c>
      <c r="B267" t="s">
        <v>98</v>
      </c>
      <c r="C267" t="s">
        <v>56</v>
      </c>
      <c r="E267" s="72">
        <v>40</v>
      </c>
      <c r="F267" t="s">
        <v>97</v>
      </c>
      <c r="G267" t="s">
        <v>122</v>
      </c>
      <c r="I267" s="171">
        <v>34</v>
      </c>
      <c r="J267" s="171" t="s">
        <v>98</v>
      </c>
      <c r="K267" s="171" t="s">
        <v>38</v>
      </c>
      <c r="M267" s="171">
        <v>16</v>
      </c>
      <c r="N267" s="171" t="s">
        <v>98</v>
      </c>
      <c r="O267" s="171" t="s">
        <v>56</v>
      </c>
      <c r="Q267" s="399">
        <v>49</v>
      </c>
      <c r="R267" s="396" t="s">
        <v>98</v>
      </c>
      <c r="S267" s="398" t="s">
        <v>38</v>
      </c>
      <c r="U267" s="422">
        <v>27</v>
      </c>
      <c r="V267" s="171" t="s">
        <v>98</v>
      </c>
      <c r="W267" s="171" t="s">
        <v>55</v>
      </c>
      <c r="Y267" s="171">
        <v>22</v>
      </c>
      <c r="Z267" s="460" t="s">
        <v>98</v>
      </c>
      <c r="AA267" s="171" t="s">
        <v>38</v>
      </c>
      <c r="AC267" s="505">
        <v>2</v>
      </c>
      <c r="AD267" s="505" t="s">
        <v>98</v>
      </c>
      <c r="AE267" s="505" t="s">
        <v>134</v>
      </c>
      <c r="AG267" s="171">
        <v>35</v>
      </c>
      <c r="AH267" s="171" t="s">
        <v>98</v>
      </c>
      <c r="AI267" s="171" t="s">
        <v>55</v>
      </c>
      <c r="AK267" s="545">
        <v>19</v>
      </c>
      <c r="AL267" s="545" t="s">
        <v>81</v>
      </c>
      <c r="AM267" s="545" t="s">
        <v>1330</v>
      </c>
      <c r="AO267" s="503">
        <v>28</v>
      </c>
      <c r="AP267" s="299" t="s">
        <v>81</v>
      </c>
      <c r="AQ267" s="299" t="s">
        <v>1368</v>
      </c>
    </row>
    <row r="268" spans="1:43" ht="15" customHeight="1" x14ac:dyDescent="0.25">
      <c r="A268">
        <v>19</v>
      </c>
      <c r="B268" t="s">
        <v>98</v>
      </c>
      <c r="C268" t="s">
        <v>56</v>
      </c>
      <c r="E268" s="72">
        <v>39</v>
      </c>
      <c r="F268" t="s">
        <v>97</v>
      </c>
      <c r="G268" t="s">
        <v>688</v>
      </c>
      <c r="I268" s="171">
        <v>25</v>
      </c>
      <c r="J268" s="171" t="s">
        <v>98</v>
      </c>
      <c r="K268" s="171" t="s">
        <v>38</v>
      </c>
      <c r="M268" s="171">
        <v>39</v>
      </c>
      <c r="N268" s="171" t="s">
        <v>98</v>
      </c>
      <c r="O268" s="171" t="s">
        <v>56</v>
      </c>
      <c r="Q268" s="399">
        <v>37</v>
      </c>
      <c r="R268" s="396" t="s">
        <v>98</v>
      </c>
      <c r="S268" s="398" t="s">
        <v>38</v>
      </c>
      <c r="U268" s="422">
        <v>22</v>
      </c>
      <c r="V268" s="171" t="s">
        <v>98</v>
      </c>
      <c r="W268" s="171" t="s">
        <v>55</v>
      </c>
      <c r="Y268" s="171">
        <v>31</v>
      </c>
      <c r="Z268" s="460" t="s">
        <v>98</v>
      </c>
      <c r="AA268" s="171" t="s">
        <v>38</v>
      </c>
      <c r="AC268" s="505" t="s">
        <v>1103</v>
      </c>
      <c r="AD268" s="505" t="s">
        <v>98</v>
      </c>
      <c r="AE268" s="505" t="s">
        <v>134</v>
      </c>
      <c r="AG268" s="171">
        <v>24</v>
      </c>
      <c r="AH268" s="171" t="s">
        <v>98</v>
      </c>
      <c r="AI268" s="171" t="s">
        <v>55</v>
      </c>
      <c r="AK268" s="299">
        <v>19</v>
      </c>
      <c r="AL268" s="299" t="s">
        <v>81</v>
      </c>
      <c r="AM268" s="299" t="s">
        <v>1332</v>
      </c>
      <c r="AO268" s="299">
        <v>30</v>
      </c>
      <c r="AP268" s="299" t="s">
        <v>81</v>
      </c>
      <c r="AQ268" s="299" t="s">
        <v>1368</v>
      </c>
    </row>
    <row r="269" spans="1:43" ht="15" customHeight="1" x14ac:dyDescent="0.25">
      <c r="A269">
        <v>15</v>
      </c>
      <c r="B269" t="s">
        <v>98</v>
      </c>
      <c r="C269" t="s">
        <v>56</v>
      </c>
      <c r="E269" s="72">
        <v>39</v>
      </c>
      <c r="F269" t="s">
        <v>98</v>
      </c>
      <c r="G269" t="s">
        <v>56</v>
      </c>
      <c r="I269" s="171">
        <v>25</v>
      </c>
      <c r="J269" s="171" t="s">
        <v>98</v>
      </c>
      <c r="K269" s="171" t="s">
        <v>38</v>
      </c>
      <c r="M269" s="171">
        <v>27</v>
      </c>
      <c r="N269" s="171" t="s">
        <v>98</v>
      </c>
      <c r="O269" s="171" t="s">
        <v>56</v>
      </c>
      <c r="Q269" s="399">
        <v>18</v>
      </c>
      <c r="R269" s="396" t="s">
        <v>98</v>
      </c>
      <c r="S269" s="398" t="s">
        <v>38</v>
      </c>
      <c r="U269" s="422">
        <v>27</v>
      </c>
      <c r="V269" s="171" t="s">
        <v>98</v>
      </c>
      <c r="W269" s="171" t="s">
        <v>55</v>
      </c>
      <c r="Y269" s="171">
        <v>29</v>
      </c>
      <c r="Z269" s="460" t="s">
        <v>98</v>
      </c>
      <c r="AA269" s="171" t="s">
        <v>38</v>
      </c>
      <c r="AC269" s="505">
        <v>12</v>
      </c>
      <c r="AD269" s="505" t="s">
        <v>97</v>
      </c>
      <c r="AE269" s="505" t="s">
        <v>134</v>
      </c>
      <c r="AG269" s="171">
        <v>28</v>
      </c>
      <c r="AH269" s="171" t="s">
        <v>98</v>
      </c>
      <c r="AI269" s="171" t="s">
        <v>55</v>
      </c>
      <c r="AK269" s="299">
        <v>32</v>
      </c>
      <c r="AL269" s="299" t="s">
        <v>81</v>
      </c>
      <c r="AM269" s="299" t="s">
        <v>1332</v>
      </c>
      <c r="AO269" s="299">
        <v>24</v>
      </c>
      <c r="AP269" s="299" t="s">
        <v>81</v>
      </c>
      <c r="AQ269" s="299" t="s">
        <v>1368</v>
      </c>
    </row>
    <row r="270" spans="1:43" ht="15" customHeight="1" x14ac:dyDescent="0.25">
      <c r="A270">
        <v>18</v>
      </c>
      <c r="B270" t="s">
        <v>98</v>
      </c>
      <c r="C270" t="s">
        <v>56</v>
      </c>
      <c r="E270" s="72">
        <v>39</v>
      </c>
      <c r="F270" t="s">
        <v>98</v>
      </c>
      <c r="G270" t="s">
        <v>56</v>
      </c>
      <c r="I270" s="171">
        <v>24</v>
      </c>
      <c r="J270" s="171" t="s">
        <v>98</v>
      </c>
      <c r="K270" s="171" t="s">
        <v>38</v>
      </c>
      <c r="M270" s="171">
        <v>29</v>
      </c>
      <c r="N270" s="171" t="s">
        <v>98</v>
      </c>
      <c r="O270" s="171" t="s">
        <v>56</v>
      </c>
      <c r="Q270" s="399">
        <v>22</v>
      </c>
      <c r="R270" s="396" t="s">
        <v>98</v>
      </c>
      <c r="S270" s="398" t="s">
        <v>38</v>
      </c>
      <c r="U270" s="422">
        <v>25</v>
      </c>
      <c r="V270" s="171" t="s">
        <v>98</v>
      </c>
      <c r="W270" s="171" t="s">
        <v>55</v>
      </c>
      <c r="Y270" s="171">
        <v>33</v>
      </c>
      <c r="Z270" s="460" t="s">
        <v>98</v>
      </c>
      <c r="AA270" s="171" t="s">
        <v>38</v>
      </c>
      <c r="AC270" s="505">
        <v>2</v>
      </c>
      <c r="AD270" s="505" t="s">
        <v>97</v>
      </c>
      <c r="AE270" s="505" t="s">
        <v>134</v>
      </c>
      <c r="AG270" s="171">
        <v>23</v>
      </c>
      <c r="AH270" s="171" t="s">
        <v>98</v>
      </c>
      <c r="AI270" s="171" t="s">
        <v>55</v>
      </c>
      <c r="AK270" s="299">
        <v>40</v>
      </c>
      <c r="AL270" s="299" t="s">
        <v>81</v>
      </c>
      <c r="AM270" s="299" t="s">
        <v>1332</v>
      </c>
      <c r="AO270" s="299">
        <v>27</v>
      </c>
      <c r="AP270" s="299" t="s">
        <v>81</v>
      </c>
      <c r="AQ270" s="299" t="s">
        <v>1368</v>
      </c>
    </row>
    <row r="271" spans="1:43" ht="15" customHeight="1" x14ac:dyDescent="0.25">
      <c r="A271">
        <v>25</v>
      </c>
      <c r="B271" t="s">
        <v>98</v>
      </c>
      <c r="C271" t="s">
        <v>56</v>
      </c>
      <c r="E271" s="72">
        <v>39</v>
      </c>
      <c r="F271" t="s">
        <v>98</v>
      </c>
      <c r="G271" t="s">
        <v>56</v>
      </c>
      <c r="I271" s="171">
        <v>45</v>
      </c>
      <c r="J271" s="171" t="s">
        <v>98</v>
      </c>
      <c r="K271" s="171" t="s">
        <v>38</v>
      </c>
      <c r="M271" s="171">
        <v>22</v>
      </c>
      <c r="N271" s="171" t="s">
        <v>98</v>
      </c>
      <c r="O271" s="171" t="s">
        <v>56</v>
      </c>
      <c r="Q271" s="399">
        <v>39</v>
      </c>
      <c r="R271" s="396" t="s">
        <v>98</v>
      </c>
      <c r="S271" s="398" t="s">
        <v>38</v>
      </c>
      <c r="U271" s="422">
        <v>18</v>
      </c>
      <c r="V271" s="171" t="s">
        <v>98</v>
      </c>
      <c r="W271" s="171" t="s">
        <v>55</v>
      </c>
      <c r="Y271" s="171">
        <v>23</v>
      </c>
      <c r="Z271" s="460" t="s">
        <v>98</v>
      </c>
      <c r="AA271" s="171" t="s">
        <v>38</v>
      </c>
      <c r="AC271" s="505">
        <v>11</v>
      </c>
      <c r="AD271" s="505" t="s">
        <v>97</v>
      </c>
      <c r="AE271" s="505" t="s">
        <v>134</v>
      </c>
      <c r="AG271" s="171">
        <v>26</v>
      </c>
      <c r="AH271" s="171" t="s">
        <v>98</v>
      </c>
      <c r="AI271" s="171" t="s">
        <v>55</v>
      </c>
      <c r="AK271" s="299">
        <v>17</v>
      </c>
      <c r="AL271" s="299" t="s">
        <v>81</v>
      </c>
      <c r="AM271" s="299" t="s">
        <v>1332</v>
      </c>
      <c r="AO271" s="299">
        <v>18</v>
      </c>
      <c r="AP271" s="299" t="s">
        <v>81</v>
      </c>
      <c r="AQ271" s="299" t="s">
        <v>1369</v>
      </c>
    </row>
    <row r="272" spans="1:43" ht="15" customHeight="1" x14ac:dyDescent="0.25">
      <c r="A272">
        <v>32</v>
      </c>
      <c r="B272" t="s">
        <v>98</v>
      </c>
      <c r="C272" t="s">
        <v>56</v>
      </c>
      <c r="E272" s="72">
        <v>39</v>
      </c>
      <c r="F272" t="s">
        <v>97</v>
      </c>
      <c r="G272" t="s">
        <v>122</v>
      </c>
      <c r="I272" s="171">
        <v>35</v>
      </c>
      <c r="J272" s="171" t="s">
        <v>98</v>
      </c>
      <c r="K272" s="171" t="s">
        <v>38</v>
      </c>
      <c r="M272" s="171">
        <v>22</v>
      </c>
      <c r="N272" s="171" t="s">
        <v>98</v>
      </c>
      <c r="O272" s="171" t="s">
        <v>56</v>
      </c>
      <c r="Q272" s="399">
        <v>26</v>
      </c>
      <c r="R272" s="396" t="s">
        <v>98</v>
      </c>
      <c r="S272" s="398" t="s">
        <v>38</v>
      </c>
      <c r="U272" s="422">
        <v>35</v>
      </c>
      <c r="V272" s="171" t="s">
        <v>98</v>
      </c>
      <c r="W272" s="171" t="s">
        <v>55</v>
      </c>
      <c r="Y272" s="171">
        <v>26</v>
      </c>
      <c r="Z272" s="460" t="s">
        <v>98</v>
      </c>
      <c r="AA272" s="171" t="s">
        <v>38</v>
      </c>
      <c r="AC272" s="505">
        <v>11</v>
      </c>
      <c r="AD272" s="505" t="s">
        <v>97</v>
      </c>
      <c r="AE272" s="505" t="s">
        <v>134</v>
      </c>
      <c r="AG272" s="171">
        <v>16</v>
      </c>
      <c r="AH272" s="171" t="s">
        <v>98</v>
      </c>
      <c r="AI272" s="171" t="s">
        <v>55</v>
      </c>
      <c r="AK272" s="299">
        <v>30</v>
      </c>
      <c r="AL272" s="299" t="s">
        <v>81</v>
      </c>
      <c r="AM272" s="299" t="s">
        <v>1332</v>
      </c>
      <c r="AO272" s="299">
        <v>32</v>
      </c>
      <c r="AP272" s="299" t="s">
        <v>81</v>
      </c>
      <c r="AQ272" s="299" t="s">
        <v>1369</v>
      </c>
    </row>
    <row r="273" spans="1:43" ht="15" customHeight="1" x14ac:dyDescent="0.25">
      <c r="A273">
        <v>22</v>
      </c>
      <c r="B273" t="s">
        <v>98</v>
      </c>
      <c r="C273" t="s">
        <v>56</v>
      </c>
      <c r="E273" s="72">
        <v>39</v>
      </c>
      <c r="F273" t="s">
        <v>97</v>
      </c>
      <c r="G273" t="s">
        <v>122</v>
      </c>
      <c r="I273" s="171">
        <v>30</v>
      </c>
      <c r="J273" s="171" t="s">
        <v>98</v>
      </c>
      <c r="K273" s="171" t="s">
        <v>38</v>
      </c>
      <c r="M273" s="171">
        <v>30</v>
      </c>
      <c r="N273" s="171" t="s">
        <v>98</v>
      </c>
      <c r="O273" s="171" t="s">
        <v>56</v>
      </c>
      <c r="Q273" s="399">
        <v>34</v>
      </c>
      <c r="R273" s="396" t="s">
        <v>98</v>
      </c>
      <c r="S273" s="398" t="s">
        <v>38</v>
      </c>
      <c r="U273" s="422">
        <v>17</v>
      </c>
      <c r="V273" s="171" t="s">
        <v>98</v>
      </c>
      <c r="W273" s="171" t="s">
        <v>55</v>
      </c>
      <c r="Y273" s="171">
        <v>26</v>
      </c>
      <c r="Z273" s="460" t="s">
        <v>98</v>
      </c>
      <c r="AA273" s="171" t="s">
        <v>38</v>
      </c>
      <c r="AC273" s="505">
        <v>3</v>
      </c>
      <c r="AD273" s="505" t="s">
        <v>98</v>
      </c>
      <c r="AE273" s="505" t="s">
        <v>134</v>
      </c>
      <c r="AG273" s="171">
        <v>30</v>
      </c>
      <c r="AH273" s="171" t="s">
        <v>98</v>
      </c>
      <c r="AI273" s="171" t="s">
        <v>55</v>
      </c>
      <c r="AK273" s="299">
        <v>34</v>
      </c>
      <c r="AL273" s="299" t="s">
        <v>81</v>
      </c>
      <c r="AM273" s="299" t="s">
        <v>1332</v>
      </c>
      <c r="AO273" s="299">
        <v>33</v>
      </c>
      <c r="AP273" s="299" t="s">
        <v>81</v>
      </c>
      <c r="AQ273" s="299" t="s">
        <v>1369</v>
      </c>
    </row>
    <row r="274" spans="1:43" ht="15" customHeight="1" x14ac:dyDescent="0.25">
      <c r="A274">
        <v>25</v>
      </c>
      <c r="B274" t="s">
        <v>98</v>
      </c>
      <c r="C274" t="s">
        <v>56</v>
      </c>
      <c r="E274" s="72">
        <v>39</v>
      </c>
      <c r="F274" t="s">
        <v>97</v>
      </c>
      <c r="G274" t="s">
        <v>122</v>
      </c>
      <c r="I274" s="171">
        <v>22</v>
      </c>
      <c r="J274" s="171" t="s">
        <v>98</v>
      </c>
      <c r="K274" s="171" t="s">
        <v>38</v>
      </c>
      <c r="M274" s="171">
        <v>24</v>
      </c>
      <c r="N274" s="171" t="s">
        <v>98</v>
      </c>
      <c r="O274" s="171" t="s">
        <v>56</v>
      </c>
      <c r="Q274" s="399">
        <v>41</v>
      </c>
      <c r="R274" s="396" t="s">
        <v>98</v>
      </c>
      <c r="S274" s="398" t="s">
        <v>38</v>
      </c>
      <c r="U274" s="422">
        <v>20</v>
      </c>
      <c r="V274" s="171" t="s">
        <v>98</v>
      </c>
      <c r="W274" s="171" t="s">
        <v>55</v>
      </c>
      <c r="Y274" s="171">
        <v>35</v>
      </c>
      <c r="Z274" s="460" t="s">
        <v>98</v>
      </c>
      <c r="AA274" s="171" t="s">
        <v>38</v>
      </c>
      <c r="AC274" s="505">
        <v>7</v>
      </c>
      <c r="AD274" s="505" t="s">
        <v>98</v>
      </c>
      <c r="AE274" s="505" t="s">
        <v>134</v>
      </c>
      <c r="AG274" s="171">
        <v>19</v>
      </c>
      <c r="AH274" s="171" t="s">
        <v>98</v>
      </c>
      <c r="AI274" s="171" t="s">
        <v>55</v>
      </c>
      <c r="AK274" s="299">
        <v>20</v>
      </c>
      <c r="AL274" s="299" t="s">
        <v>81</v>
      </c>
      <c r="AM274" s="299" t="s">
        <v>1332</v>
      </c>
      <c r="AO274" s="299">
        <v>36</v>
      </c>
      <c r="AP274" s="299" t="s">
        <v>81</v>
      </c>
      <c r="AQ274" s="299" t="s">
        <v>1369</v>
      </c>
    </row>
    <row r="275" spans="1:43" ht="15" customHeight="1" x14ac:dyDescent="0.25">
      <c r="A275">
        <v>30</v>
      </c>
      <c r="B275" t="s">
        <v>98</v>
      </c>
      <c r="C275" t="s">
        <v>56</v>
      </c>
      <c r="E275" s="72">
        <v>38</v>
      </c>
      <c r="F275" t="s">
        <v>97</v>
      </c>
      <c r="G275" t="s">
        <v>688</v>
      </c>
      <c r="I275" s="171">
        <v>31</v>
      </c>
      <c r="J275" s="171" t="s">
        <v>98</v>
      </c>
      <c r="K275" s="171" t="s">
        <v>38</v>
      </c>
      <c r="M275" s="171">
        <v>20</v>
      </c>
      <c r="N275" s="171" t="s">
        <v>98</v>
      </c>
      <c r="O275" s="171" t="s">
        <v>56</v>
      </c>
      <c r="Q275" s="399">
        <v>31</v>
      </c>
      <c r="R275" s="396" t="s">
        <v>98</v>
      </c>
      <c r="S275" s="398" t="s">
        <v>38</v>
      </c>
      <c r="U275" s="422">
        <v>31</v>
      </c>
      <c r="V275" s="171" t="s">
        <v>98</v>
      </c>
      <c r="W275" s="171" t="s">
        <v>55</v>
      </c>
      <c r="Y275" s="171">
        <v>39</v>
      </c>
      <c r="Z275" s="460" t="s">
        <v>98</v>
      </c>
      <c r="AA275" s="171" t="s">
        <v>38</v>
      </c>
      <c r="AC275" s="505">
        <v>7</v>
      </c>
      <c r="AD275" s="505" t="s">
        <v>97</v>
      </c>
      <c r="AE275" s="505" t="s">
        <v>134</v>
      </c>
      <c r="AG275" s="171">
        <v>31</v>
      </c>
      <c r="AH275" s="171" t="s">
        <v>98</v>
      </c>
      <c r="AI275" s="171" t="s">
        <v>55</v>
      </c>
      <c r="AK275" s="299">
        <v>24</v>
      </c>
      <c r="AL275" s="299" t="s">
        <v>81</v>
      </c>
      <c r="AM275" s="299" t="s">
        <v>1332</v>
      </c>
      <c r="AO275" s="299">
        <v>28</v>
      </c>
      <c r="AP275" s="299" t="s">
        <v>81</v>
      </c>
      <c r="AQ275" s="299" t="s">
        <v>1369</v>
      </c>
    </row>
    <row r="276" spans="1:43" ht="15" customHeight="1" x14ac:dyDescent="0.25">
      <c r="A276">
        <v>26</v>
      </c>
      <c r="B276" t="s">
        <v>98</v>
      </c>
      <c r="C276" t="s">
        <v>56</v>
      </c>
      <c r="E276" s="72">
        <v>38</v>
      </c>
      <c r="F276" t="s">
        <v>98</v>
      </c>
      <c r="G276" t="s">
        <v>55</v>
      </c>
      <c r="I276" s="171">
        <v>25</v>
      </c>
      <c r="J276" s="171" t="s">
        <v>98</v>
      </c>
      <c r="K276" s="171" t="s">
        <v>38</v>
      </c>
      <c r="M276" s="171">
        <v>21</v>
      </c>
      <c r="N276" s="171" t="s">
        <v>98</v>
      </c>
      <c r="O276" s="171" t="s">
        <v>56</v>
      </c>
      <c r="Q276" s="399">
        <v>36</v>
      </c>
      <c r="R276" s="396" t="s">
        <v>98</v>
      </c>
      <c r="S276" s="398" t="s">
        <v>38</v>
      </c>
      <c r="U276" s="422">
        <v>24</v>
      </c>
      <c r="V276" s="171" t="s">
        <v>98</v>
      </c>
      <c r="W276" s="171" t="s">
        <v>55</v>
      </c>
      <c r="Y276" s="171">
        <v>16</v>
      </c>
      <c r="Z276" s="460" t="s">
        <v>98</v>
      </c>
      <c r="AA276" s="171" t="s">
        <v>38</v>
      </c>
      <c r="AC276" s="505">
        <v>2</v>
      </c>
      <c r="AD276" s="505" t="s">
        <v>98</v>
      </c>
      <c r="AE276" s="505" t="s">
        <v>134</v>
      </c>
      <c r="AG276" s="171">
        <v>15</v>
      </c>
      <c r="AH276" s="171" t="s">
        <v>98</v>
      </c>
      <c r="AI276" s="171" t="s">
        <v>55</v>
      </c>
      <c r="AK276" s="299">
        <v>32</v>
      </c>
      <c r="AL276" s="299" t="s">
        <v>81</v>
      </c>
      <c r="AM276" s="299" t="s">
        <v>1332</v>
      </c>
      <c r="AO276" s="299">
        <v>27</v>
      </c>
      <c r="AP276" s="299" t="s">
        <v>81</v>
      </c>
      <c r="AQ276" s="299" t="s">
        <v>1369</v>
      </c>
    </row>
    <row r="277" spans="1:43" ht="15" customHeight="1" x14ac:dyDescent="0.25">
      <c r="A277">
        <v>22</v>
      </c>
      <c r="B277" t="s">
        <v>98</v>
      </c>
      <c r="C277" t="s">
        <v>56</v>
      </c>
      <c r="E277" s="72">
        <v>38</v>
      </c>
      <c r="F277" t="s">
        <v>98</v>
      </c>
      <c r="G277" t="s">
        <v>55</v>
      </c>
      <c r="I277" s="171">
        <v>35</v>
      </c>
      <c r="J277" s="171" t="s">
        <v>98</v>
      </c>
      <c r="K277" s="171" t="s">
        <v>38</v>
      </c>
      <c r="M277" s="171">
        <v>31</v>
      </c>
      <c r="N277" s="171" t="s">
        <v>98</v>
      </c>
      <c r="O277" s="171" t="s">
        <v>56</v>
      </c>
      <c r="Q277" s="399">
        <v>32</v>
      </c>
      <c r="R277" s="396" t="s">
        <v>98</v>
      </c>
      <c r="S277" s="398" t="s">
        <v>38</v>
      </c>
      <c r="U277" s="422">
        <v>37</v>
      </c>
      <c r="V277" s="171" t="s">
        <v>98</v>
      </c>
      <c r="W277" s="171" t="s">
        <v>55</v>
      </c>
      <c r="Y277" s="171">
        <v>26</v>
      </c>
      <c r="Z277" s="460" t="s">
        <v>98</v>
      </c>
      <c r="AA277" s="171" t="s">
        <v>38</v>
      </c>
      <c r="AC277" s="505">
        <v>1</v>
      </c>
      <c r="AD277" s="505" t="s">
        <v>97</v>
      </c>
      <c r="AE277" s="505" t="s">
        <v>134</v>
      </c>
      <c r="AG277" s="171" t="s">
        <v>698</v>
      </c>
      <c r="AH277" s="171" t="s">
        <v>98</v>
      </c>
      <c r="AI277" s="171" t="s">
        <v>79</v>
      </c>
      <c r="AK277" s="299">
        <v>19</v>
      </c>
      <c r="AL277" s="299" t="s">
        <v>81</v>
      </c>
      <c r="AM277" s="299" t="s">
        <v>1332</v>
      </c>
      <c r="AO277" s="299">
        <v>31</v>
      </c>
      <c r="AP277" s="299" t="s">
        <v>81</v>
      </c>
      <c r="AQ277" s="299" t="s">
        <v>1369</v>
      </c>
    </row>
    <row r="278" spans="1:43" ht="15" customHeight="1" x14ac:dyDescent="0.25">
      <c r="A278">
        <v>34</v>
      </c>
      <c r="B278" t="s">
        <v>98</v>
      </c>
      <c r="C278" t="s">
        <v>56</v>
      </c>
      <c r="E278" s="72">
        <v>38</v>
      </c>
      <c r="F278" t="s">
        <v>98</v>
      </c>
      <c r="G278" t="s">
        <v>56</v>
      </c>
      <c r="I278" s="171">
        <v>33</v>
      </c>
      <c r="J278" s="171" t="s">
        <v>98</v>
      </c>
      <c r="K278" s="171" t="s">
        <v>38</v>
      </c>
      <c r="M278" s="171">
        <v>32</v>
      </c>
      <c r="N278" s="171" t="s">
        <v>98</v>
      </c>
      <c r="O278" s="171" t="s">
        <v>56</v>
      </c>
      <c r="Q278" s="399">
        <v>22</v>
      </c>
      <c r="R278" s="396" t="s">
        <v>98</v>
      </c>
      <c r="S278" s="398" t="s">
        <v>38</v>
      </c>
      <c r="U278" s="422">
        <v>19</v>
      </c>
      <c r="V278" s="171" t="s">
        <v>98</v>
      </c>
      <c r="W278" s="171" t="s">
        <v>55</v>
      </c>
      <c r="Y278" s="171">
        <v>24</v>
      </c>
      <c r="Z278" s="460" t="s">
        <v>98</v>
      </c>
      <c r="AA278" s="171" t="s">
        <v>38</v>
      </c>
      <c r="AC278" s="505">
        <v>9</v>
      </c>
      <c r="AD278" s="505" t="s">
        <v>98</v>
      </c>
      <c r="AE278" s="505" t="s">
        <v>134</v>
      </c>
      <c r="AG278" s="171" t="s">
        <v>694</v>
      </c>
      <c r="AH278" s="171" t="s">
        <v>98</v>
      </c>
      <c r="AI278" s="171" t="s">
        <v>79</v>
      </c>
      <c r="AK278" s="299">
        <v>18</v>
      </c>
      <c r="AL278" s="299" t="s">
        <v>81</v>
      </c>
      <c r="AM278" s="299" t="s">
        <v>1332</v>
      </c>
      <c r="AO278" s="299">
        <v>16</v>
      </c>
      <c r="AP278" s="299" t="s">
        <v>81</v>
      </c>
      <c r="AQ278" s="299" t="s">
        <v>1369</v>
      </c>
    </row>
    <row r="279" spans="1:43" ht="15" customHeight="1" x14ac:dyDescent="0.25">
      <c r="A279">
        <v>28</v>
      </c>
      <c r="B279" t="s">
        <v>98</v>
      </c>
      <c r="C279" t="s">
        <v>56</v>
      </c>
      <c r="E279" s="72">
        <v>38</v>
      </c>
      <c r="F279" t="s">
        <v>98</v>
      </c>
      <c r="G279" t="s">
        <v>56</v>
      </c>
      <c r="I279" s="171">
        <v>27</v>
      </c>
      <c r="J279" s="171" t="s">
        <v>98</v>
      </c>
      <c r="K279" s="171" t="s">
        <v>38</v>
      </c>
      <c r="M279" s="171">
        <v>22</v>
      </c>
      <c r="N279" s="171" t="s">
        <v>98</v>
      </c>
      <c r="O279" s="171" t="s">
        <v>56</v>
      </c>
      <c r="Q279" s="399">
        <v>32</v>
      </c>
      <c r="R279" s="396" t="s">
        <v>98</v>
      </c>
      <c r="S279" s="398" t="s">
        <v>38</v>
      </c>
      <c r="U279" s="422">
        <v>19</v>
      </c>
      <c r="V279" s="171" t="s">
        <v>98</v>
      </c>
      <c r="W279" s="171" t="s">
        <v>55</v>
      </c>
      <c r="Y279" s="171">
        <v>24</v>
      </c>
      <c r="Z279" s="460" t="s">
        <v>98</v>
      </c>
      <c r="AA279" s="171" t="s">
        <v>38</v>
      </c>
      <c r="AC279" s="505">
        <v>7</v>
      </c>
      <c r="AD279" s="505" t="s">
        <v>98</v>
      </c>
      <c r="AE279" s="505" t="s">
        <v>134</v>
      </c>
      <c r="AG279" s="171" t="s">
        <v>694</v>
      </c>
      <c r="AH279" s="171" t="s">
        <v>97</v>
      </c>
      <c r="AI279" s="171" t="s">
        <v>79</v>
      </c>
      <c r="AK279" s="299">
        <v>36</v>
      </c>
      <c r="AL279" s="299" t="s">
        <v>81</v>
      </c>
      <c r="AM279" s="299" t="s">
        <v>1332</v>
      </c>
      <c r="AO279" s="299">
        <v>31</v>
      </c>
      <c r="AP279" s="299" t="s">
        <v>81</v>
      </c>
      <c r="AQ279" s="299" t="s">
        <v>1369</v>
      </c>
    </row>
    <row r="280" spans="1:43" ht="15" customHeight="1" x14ac:dyDescent="0.25">
      <c r="A280">
        <v>31</v>
      </c>
      <c r="B280" t="s">
        <v>98</v>
      </c>
      <c r="C280" t="s">
        <v>56</v>
      </c>
      <c r="E280" s="72">
        <v>38</v>
      </c>
      <c r="F280" t="s">
        <v>98</v>
      </c>
      <c r="G280" t="s">
        <v>56</v>
      </c>
      <c r="I280" s="171">
        <v>27</v>
      </c>
      <c r="J280" s="171" t="s">
        <v>98</v>
      </c>
      <c r="K280" s="171" t="s">
        <v>38</v>
      </c>
      <c r="M280" s="171">
        <v>35</v>
      </c>
      <c r="N280" s="171" t="s">
        <v>98</v>
      </c>
      <c r="O280" s="171" t="s">
        <v>56</v>
      </c>
      <c r="Q280" s="399">
        <v>32</v>
      </c>
      <c r="R280" s="396" t="s">
        <v>98</v>
      </c>
      <c r="S280" s="398" t="s">
        <v>38</v>
      </c>
      <c r="U280" s="422">
        <v>30</v>
      </c>
      <c r="V280" s="171" t="s">
        <v>98</v>
      </c>
      <c r="W280" s="171" t="s">
        <v>55</v>
      </c>
      <c r="Y280" s="171">
        <v>22</v>
      </c>
      <c r="Z280" s="460" t="s">
        <v>98</v>
      </c>
      <c r="AA280" s="171" t="s">
        <v>38</v>
      </c>
      <c r="AC280" s="505">
        <v>5</v>
      </c>
      <c r="AD280" s="505" t="s">
        <v>98</v>
      </c>
      <c r="AE280" s="505" t="s">
        <v>134</v>
      </c>
      <c r="AG280" s="171" t="s">
        <v>697</v>
      </c>
      <c r="AH280" s="171" t="s">
        <v>97</v>
      </c>
      <c r="AI280" s="171" t="s">
        <v>79</v>
      </c>
      <c r="AK280" s="299">
        <v>19</v>
      </c>
      <c r="AL280" s="299" t="s">
        <v>81</v>
      </c>
      <c r="AM280" s="299" t="s">
        <v>1332</v>
      </c>
      <c r="AO280" s="299">
        <v>28</v>
      </c>
      <c r="AP280" s="299" t="s">
        <v>81</v>
      </c>
      <c r="AQ280" s="299" t="s">
        <v>1369</v>
      </c>
    </row>
    <row r="281" spans="1:43" ht="15" customHeight="1" x14ac:dyDescent="0.25">
      <c r="A281">
        <v>32</v>
      </c>
      <c r="B281" t="s">
        <v>98</v>
      </c>
      <c r="C281" t="s">
        <v>56</v>
      </c>
      <c r="E281" s="72">
        <v>38</v>
      </c>
      <c r="F281" t="s">
        <v>98</v>
      </c>
      <c r="G281" t="s">
        <v>38</v>
      </c>
      <c r="I281" s="171">
        <v>25</v>
      </c>
      <c r="J281" s="171" t="s">
        <v>98</v>
      </c>
      <c r="K281" s="171" t="s">
        <v>38</v>
      </c>
      <c r="M281" s="171">
        <v>24</v>
      </c>
      <c r="N281" s="171" t="s">
        <v>98</v>
      </c>
      <c r="O281" s="171" t="s">
        <v>56</v>
      </c>
      <c r="Q281" s="399">
        <v>29</v>
      </c>
      <c r="R281" s="396" t="s">
        <v>98</v>
      </c>
      <c r="S281" s="398" t="s">
        <v>38</v>
      </c>
      <c r="U281" s="421">
        <v>6</v>
      </c>
      <c r="V281" s="171" t="s">
        <v>97</v>
      </c>
      <c r="W281" s="171" t="s">
        <v>134</v>
      </c>
      <c r="Y281" s="171">
        <v>33</v>
      </c>
      <c r="Z281" s="460" t="s">
        <v>98</v>
      </c>
      <c r="AA281" s="171" t="s">
        <v>38</v>
      </c>
      <c r="AC281" s="505" t="s">
        <v>1102</v>
      </c>
      <c r="AD281" s="505" t="s">
        <v>98</v>
      </c>
      <c r="AE281" s="505" t="s">
        <v>134</v>
      </c>
      <c r="AG281" s="171" t="s">
        <v>694</v>
      </c>
      <c r="AH281" s="171" t="s">
        <v>97</v>
      </c>
      <c r="AI281" s="171" t="s">
        <v>79</v>
      </c>
      <c r="AK281" s="299">
        <v>32</v>
      </c>
      <c r="AL281" s="299" t="s">
        <v>81</v>
      </c>
      <c r="AM281" s="299" t="s">
        <v>1332</v>
      </c>
      <c r="AO281" s="299">
        <v>31</v>
      </c>
      <c r="AP281" s="299" t="s">
        <v>81</v>
      </c>
      <c r="AQ281" s="299" t="s">
        <v>1369</v>
      </c>
    </row>
    <row r="282" spans="1:43" ht="15" customHeight="1" x14ac:dyDescent="0.25">
      <c r="A282">
        <v>32</v>
      </c>
      <c r="B282" t="s">
        <v>98</v>
      </c>
      <c r="C282" t="s">
        <v>56</v>
      </c>
      <c r="E282" s="72">
        <v>38</v>
      </c>
      <c r="F282" t="s">
        <v>97</v>
      </c>
      <c r="G282" t="s">
        <v>122</v>
      </c>
      <c r="I282" s="171">
        <v>23</v>
      </c>
      <c r="J282" s="171" t="s">
        <v>98</v>
      </c>
      <c r="K282" s="171" t="s">
        <v>38</v>
      </c>
      <c r="M282" s="171">
        <v>24</v>
      </c>
      <c r="N282" s="171" t="s">
        <v>98</v>
      </c>
      <c r="O282" s="171" t="s">
        <v>56</v>
      </c>
      <c r="Q282" s="399">
        <v>31</v>
      </c>
      <c r="R282" s="396" t="s">
        <v>98</v>
      </c>
      <c r="S282" s="398" t="s">
        <v>38</v>
      </c>
      <c r="U282" s="421">
        <v>6</v>
      </c>
      <c r="V282" s="171" t="s">
        <v>98</v>
      </c>
      <c r="W282" s="171" t="s">
        <v>134</v>
      </c>
      <c r="Y282" s="171">
        <v>23</v>
      </c>
      <c r="Z282" s="460" t="s">
        <v>98</v>
      </c>
      <c r="AA282" s="171" t="s">
        <v>38</v>
      </c>
      <c r="AC282" s="505">
        <v>1</v>
      </c>
      <c r="AD282" s="505" t="s">
        <v>98</v>
      </c>
      <c r="AE282" s="505" t="s">
        <v>134</v>
      </c>
      <c r="AG282" s="171" t="s">
        <v>961</v>
      </c>
      <c r="AH282" s="171" t="s">
        <v>98</v>
      </c>
      <c r="AI282" s="171" t="s">
        <v>79</v>
      </c>
      <c r="AK282" s="299">
        <v>31</v>
      </c>
      <c r="AL282" s="299" t="s">
        <v>81</v>
      </c>
      <c r="AM282" s="299" t="s">
        <v>1332</v>
      </c>
      <c r="AO282" s="299">
        <v>27</v>
      </c>
      <c r="AP282" s="299" t="s">
        <v>81</v>
      </c>
      <c r="AQ282" s="299" t="s">
        <v>1369</v>
      </c>
    </row>
    <row r="283" spans="1:43" ht="15" customHeight="1" x14ac:dyDescent="0.25">
      <c r="A283">
        <v>17</v>
      </c>
      <c r="B283" t="s">
        <v>98</v>
      </c>
      <c r="C283" t="s">
        <v>56</v>
      </c>
      <c r="E283" s="72">
        <v>37</v>
      </c>
      <c r="F283" t="s">
        <v>97</v>
      </c>
      <c r="G283" t="s">
        <v>688</v>
      </c>
      <c r="I283" s="171">
        <v>45</v>
      </c>
      <c r="J283" s="171" t="s">
        <v>98</v>
      </c>
      <c r="K283" s="171" t="s">
        <v>38</v>
      </c>
      <c r="M283" s="171">
        <v>32</v>
      </c>
      <c r="N283" s="171" t="s">
        <v>98</v>
      </c>
      <c r="O283" s="171" t="s">
        <v>56</v>
      </c>
      <c r="Q283" s="399">
        <v>33</v>
      </c>
      <c r="R283" s="396" t="s">
        <v>98</v>
      </c>
      <c r="S283" s="398" t="s">
        <v>38</v>
      </c>
      <c r="U283" s="421">
        <v>1</v>
      </c>
      <c r="V283" s="171" t="s">
        <v>98</v>
      </c>
      <c r="W283" s="171" t="s">
        <v>134</v>
      </c>
      <c r="Y283" s="171">
        <v>24</v>
      </c>
      <c r="Z283" s="460" t="s">
        <v>98</v>
      </c>
      <c r="AA283" s="171" t="s">
        <v>38</v>
      </c>
      <c r="AC283" s="505">
        <v>10</v>
      </c>
      <c r="AD283" s="505" t="s">
        <v>98</v>
      </c>
      <c r="AE283" s="505" t="s">
        <v>134</v>
      </c>
      <c r="AG283" s="171" t="s">
        <v>694</v>
      </c>
      <c r="AH283" s="171" t="s">
        <v>98</v>
      </c>
      <c r="AI283" s="171" t="s">
        <v>79</v>
      </c>
      <c r="AK283" s="299">
        <v>26</v>
      </c>
      <c r="AL283" s="299" t="s">
        <v>81</v>
      </c>
      <c r="AM283" s="299" t="s">
        <v>1332</v>
      </c>
      <c r="AO283" s="299">
        <v>19</v>
      </c>
      <c r="AP283" s="299" t="s">
        <v>81</v>
      </c>
      <c r="AQ283" s="299" t="s">
        <v>1369</v>
      </c>
    </row>
    <row r="284" spans="1:43" ht="15" customHeight="1" x14ac:dyDescent="0.25">
      <c r="A284">
        <v>39</v>
      </c>
      <c r="B284" t="s">
        <v>98</v>
      </c>
      <c r="C284" t="s">
        <v>56</v>
      </c>
      <c r="E284" s="72">
        <v>37</v>
      </c>
      <c r="F284" t="s">
        <v>98</v>
      </c>
      <c r="G284" t="s">
        <v>55</v>
      </c>
      <c r="I284" s="171">
        <v>32</v>
      </c>
      <c r="J284" s="171" t="s">
        <v>98</v>
      </c>
      <c r="K284" s="171" t="s">
        <v>38</v>
      </c>
      <c r="M284" s="171">
        <v>32</v>
      </c>
      <c r="N284" s="171" t="s">
        <v>98</v>
      </c>
      <c r="O284" s="171" t="s">
        <v>56</v>
      </c>
      <c r="Q284" s="399">
        <v>16</v>
      </c>
      <c r="R284" s="396" t="s">
        <v>98</v>
      </c>
      <c r="S284" s="398" t="s">
        <v>38</v>
      </c>
      <c r="U284" s="421">
        <v>7</v>
      </c>
      <c r="V284" s="171" t="s">
        <v>97</v>
      </c>
      <c r="W284" s="171" t="s">
        <v>134</v>
      </c>
      <c r="Y284" s="171">
        <v>32</v>
      </c>
      <c r="Z284" s="460" t="s">
        <v>98</v>
      </c>
      <c r="AA284" s="171" t="s">
        <v>38</v>
      </c>
      <c r="AC284" s="505">
        <v>1</v>
      </c>
      <c r="AD284" s="505" t="s">
        <v>97</v>
      </c>
      <c r="AE284" s="505" t="s">
        <v>134</v>
      </c>
      <c r="AG284" s="171" t="s">
        <v>694</v>
      </c>
      <c r="AH284" s="171" t="s">
        <v>97</v>
      </c>
      <c r="AI284" s="171" t="s">
        <v>79</v>
      </c>
      <c r="AK284" s="299">
        <v>18</v>
      </c>
      <c r="AL284" s="299" t="s">
        <v>81</v>
      </c>
      <c r="AM284" s="299" t="s">
        <v>1332</v>
      </c>
      <c r="AO284" s="299">
        <v>23</v>
      </c>
      <c r="AP284" s="299" t="s">
        <v>81</v>
      </c>
      <c r="AQ284" s="299" t="s">
        <v>1369</v>
      </c>
    </row>
    <row r="285" spans="1:43" ht="15" customHeight="1" x14ac:dyDescent="0.25">
      <c r="A285">
        <v>29</v>
      </c>
      <c r="B285" t="s">
        <v>98</v>
      </c>
      <c r="C285" t="s">
        <v>56</v>
      </c>
      <c r="E285" s="72">
        <v>37</v>
      </c>
      <c r="F285" t="s">
        <v>98</v>
      </c>
      <c r="G285" t="s">
        <v>56</v>
      </c>
      <c r="I285" s="171">
        <v>22</v>
      </c>
      <c r="J285" s="171" t="s">
        <v>98</v>
      </c>
      <c r="K285" s="171" t="s">
        <v>38</v>
      </c>
      <c r="M285" s="171">
        <v>28</v>
      </c>
      <c r="N285" s="171" t="s">
        <v>98</v>
      </c>
      <c r="O285" s="171" t="s">
        <v>56</v>
      </c>
      <c r="Q285" s="399">
        <v>25</v>
      </c>
      <c r="R285" s="396" t="s">
        <v>98</v>
      </c>
      <c r="S285" s="398" t="s">
        <v>38</v>
      </c>
      <c r="U285" s="421">
        <v>3</v>
      </c>
      <c r="V285" s="171" t="s">
        <v>98</v>
      </c>
      <c r="W285" s="171" t="s">
        <v>134</v>
      </c>
      <c r="Y285" s="171">
        <v>28</v>
      </c>
      <c r="Z285" s="460" t="s">
        <v>98</v>
      </c>
      <c r="AA285" s="171" t="s">
        <v>38</v>
      </c>
      <c r="AC285" s="505">
        <v>1</v>
      </c>
      <c r="AD285" s="505" t="s">
        <v>98</v>
      </c>
      <c r="AE285" s="505" t="s">
        <v>134</v>
      </c>
      <c r="AG285" s="171" t="s">
        <v>879</v>
      </c>
      <c r="AH285" s="171" t="s">
        <v>98</v>
      </c>
      <c r="AI285" s="171" t="s">
        <v>79</v>
      </c>
      <c r="AK285" s="299">
        <v>19</v>
      </c>
      <c r="AL285" s="299" t="s">
        <v>81</v>
      </c>
      <c r="AM285" s="299" t="s">
        <v>1332</v>
      </c>
      <c r="AO285" s="299">
        <v>27</v>
      </c>
      <c r="AP285" s="299" t="s">
        <v>81</v>
      </c>
      <c r="AQ285" s="299" t="s">
        <v>1369</v>
      </c>
    </row>
    <row r="286" spans="1:43" ht="15" customHeight="1" x14ac:dyDescent="0.25">
      <c r="A286">
        <v>23</v>
      </c>
      <c r="B286" t="s">
        <v>98</v>
      </c>
      <c r="C286" t="s">
        <v>56</v>
      </c>
      <c r="E286" s="72">
        <v>37</v>
      </c>
      <c r="F286" t="s">
        <v>98</v>
      </c>
      <c r="G286" t="s">
        <v>56</v>
      </c>
      <c r="I286" s="171">
        <v>28</v>
      </c>
      <c r="J286" s="171" t="s">
        <v>98</v>
      </c>
      <c r="K286" s="171" t="s">
        <v>38</v>
      </c>
      <c r="M286" s="171">
        <v>35</v>
      </c>
      <c r="N286" s="171" t="s">
        <v>98</v>
      </c>
      <c r="O286" s="171" t="s">
        <v>56</v>
      </c>
      <c r="Q286" s="399">
        <v>25</v>
      </c>
      <c r="R286" s="396" t="s">
        <v>98</v>
      </c>
      <c r="S286" s="398" t="s">
        <v>38</v>
      </c>
      <c r="U286" s="421">
        <v>1</v>
      </c>
      <c r="V286" s="171" t="s">
        <v>97</v>
      </c>
      <c r="W286" s="171" t="s">
        <v>134</v>
      </c>
      <c r="Y286" s="171">
        <v>43</v>
      </c>
      <c r="Z286" s="460" t="s">
        <v>98</v>
      </c>
      <c r="AA286" s="171" t="s">
        <v>38</v>
      </c>
      <c r="AC286" s="505" t="s">
        <v>1100</v>
      </c>
      <c r="AD286" s="505" t="s">
        <v>97</v>
      </c>
      <c r="AE286" s="505" t="s">
        <v>134</v>
      </c>
      <c r="AG286" s="171" t="s">
        <v>694</v>
      </c>
      <c r="AH286" s="171" t="s">
        <v>97</v>
      </c>
      <c r="AI286" s="171" t="s">
        <v>79</v>
      </c>
      <c r="AK286" s="299">
        <v>25</v>
      </c>
      <c r="AL286" s="299" t="s">
        <v>81</v>
      </c>
      <c r="AM286" s="299" t="s">
        <v>1332</v>
      </c>
      <c r="AO286" s="299">
        <v>24</v>
      </c>
      <c r="AP286" s="299" t="s">
        <v>81</v>
      </c>
      <c r="AQ286" s="299" t="s">
        <v>1369</v>
      </c>
    </row>
    <row r="287" spans="1:43" ht="15" customHeight="1" x14ac:dyDescent="0.25">
      <c r="A287">
        <v>24</v>
      </c>
      <c r="B287" t="s">
        <v>98</v>
      </c>
      <c r="C287" t="s">
        <v>56</v>
      </c>
      <c r="E287" s="72">
        <v>37</v>
      </c>
      <c r="F287" t="s">
        <v>98</v>
      </c>
      <c r="G287" t="s">
        <v>56</v>
      </c>
      <c r="I287" s="171">
        <v>33</v>
      </c>
      <c r="J287" s="171" t="s">
        <v>98</v>
      </c>
      <c r="K287" s="171" t="s">
        <v>38</v>
      </c>
      <c r="M287" s="171">
        <v>26</v>
      </c>
      <c r="N287" s="171" t="s">
        <v>98</v>
      </c>
      <c r="O287" s="171" t="s">
        <v>56</v>
      </c>
      <c r="Q287" s="399">
        <v>39</v>
      </c>
      <c r="R287" s="396" t="s">
        <v>98</v>
      </c>
      <c r="S287" s="398" t="s">
        <v>38</v>
      </c>
      <c r="U287" s="421">
        <v>8</v>
      </c>
      <c r="V287" s="171" t="s">
        <v>98</v>
      </c>
      <c r="W287" s="171" t="s">
        <v>134</v>
      </c>
      <c r="Y287" s="171">
        <v>28</v>
      </c>
      <c r="Z287" s="460" t="s">
        <v>98</v>
      </c>
      <c r="AA287" s="171" t="s">
        <v>38</v>
      </c>
      <c r="AC287" s="505">
        <v>10</v>
      </c>
      <c r="AD287" s="505" t="s">
        <v>97</v>
      </c>
      <c r="AE287" s="505" t="s">
        <v>134</v>
      </c>
      <c r="AG287" s="171" t="s">
        <v>1089</v>
      </c>
      <c r="AH287" s="171" t="s">
        <v>97</v>
      </c>
      <c r="AI287" s="171" t="s">
        <v>79</v>
      </c>
      <c r="AK287" s="299">
        <v>38</v>
      </c>
      <c r="AL287" s="299" t="s">
        <v>81</v>
      </c>
      <c r="AM287" s="299" t="s">
        <v>1332</v>
      </c>
      <c r="AO287" s="299">
        <v>26</v>
      </c>
      <c r="AP287" s="299" t="s">
        <v>81</v>
      </c>
      <c r="AQ287" s="299" t="s">
        <v>1369</v>
      </c>
    </row>
    <row r="288" spans="1:43" ht="15" customHeight="1" x14ac:dyDescent="0.25">
      <c r="A288">
        <v>29</v>
      </c>
      <c r="B288" t="s">
        <v>98</v>
      </c>
      <c r="C288" t="s">
        <v>56</v>
      </c>
      <c r="E288" s="72">
        <v>37</v>
      </c>
      <c r="F288" t="s">
        <v>98</v>
      </c>
      <c r="G288" t="s">
        <v>56</v>
      </c>
      <c r="I288" s="171">
        <v>40</v>
      </c>
      <c r="J288" s="171" t="s">
        <v>98</v>
      </c>
      <c r="K288" s="171" t="s">
        <v>38</v>
      </c>
      <c r="M288" s="171">
        <v>31</v>
      </c>
      <c r="N288" s="171" t="s">
        <v>98</v>
      </c>
      <c r="O288" s="171" t="s">
        <v>56</v>
      </c>
      <c r="Q288" s="399">
        <v>42</v>
      </c>
      <c r="R288" s="396" t="s">
        <v>98</v>
      </c>
      <c r="S288" s="398" t="s">
        <v>38</v>
      </c>
      <c r="U288" s="421" t="s">
        <v>707</v>
      </c>
      <c r="V288" s="171" t="s">
        <v>97</v>
      </c>
      <c r="W288" s="171" t="s">
        <v>134</v>
      </c>
      <c r="Y288" s="171">
        <v>17</v>
      </c>
      <c r="Z288" s="460" t="s">
        <v>98</v>
      </c>
      <c r="AA288" s="171" t="s">
        <v>38</v>
      </c>
      <c r="AC288" s="505">
        <v>12</v>
      </c>
      <c r="AD288" s="505" t="s">
        <v>97</v>
      </c>
      <c r="AE288" s="505" t="s">
        <v>134</v>
      </c>
      <c r="AG288" s="171" t="s">
        <v>694</v>
      </c>
      <c r="AH288" s="171" t="s">
        <v>98</v>
      </c>
      <c r="AI288" s="171" t="s">
        <v>79</v>
      </c>
      <c r="AK288" s="299">
        <v>33</v>
      </c>
      <c r="AL288" s="299" t="s">
        <v>81</v>
      </c>
      <c r="AM288" s="299" t="s">
        <v>1332</v>
      </c>
      <c r="AO288" s="299">
        <v>23</v>
      </c>
      <c r="AP288" s="299" t="s">
        <v>81</v>
      </c>
      <c r="AQ288" s="299" t="s">
        <v>1369</v>
      </c>
    </row>
    <row r="289" spans="1:43" ht="15" customHeight="1" x14ac:dyDescent="0.25">
      <c r="A289">
        <v>36</v>
      </c>
      <c r="B289" t="s">
        <v>98</v>
      </c>
      <c r="C289" t="s">
        <v>56</v>
      </c>
      <c r="E289" s="72">
        <v>37</v>
      </c>
      <c r="F289" t="s">
        <v>98</v>
      </c>
      <c r="G289" t="s">
        <v>38</v>
      </c>
      <c r="I289" s="171">
        <v>36</v>
      </c>
      <c r="J289" s="171" t="s">
        <v>98</v>
      </c>
      <c r="K289" s="171" t="s">
        <v>38</v>
      </c>
      <c r="M289" s="171">
        <v>30</v>
      </c>
      <c r="N289" s="171" t="s">
        <v>98</v>
      </c>
      <c r="O289" s="171" t="s">
        <v>56</v>
      </c>
      <c r="Q289" s="399">
        <v>31</v>
      </c>
      <c r="R289" s="396" t="s">
        <v>98</v>
      </c>
      <c r="S289" s="398" t="s">
        <v>38</v>
      </c>
      <c r="U289" s="421">
        <v>2</v>
      </c>
      <c r="V289" s="171" t="s">
        <v>97</v>
      </c>
      <c r="W289" s="171" t="s">
        <v>134</v>
      </c>
      <c r="Y289" s="171">
        <v>31</v>
      </c>
      <c r="Z289" s="460" t="s">
        <v>98</v>
      </c>
      <c r="AA289" s="171" t="s">
        <v>38</v>
      </c>
      <c r="AC289" s="505">
        <v>3</v>
      </c>
      <c r="AD289" s="505" t="s">
        <v>97</v>
      </c>
      <c r="AE289" s="505" t="s">
        <v>134</v>
      </c>
      <c r="AG289" s="171" t="s">
        <v>1257</v>
      </c>
      <c r="AH289" s="171" t="s">
        <v>98</v>
      </c>
      <c r="AI289" s="171" t="s">
        <v>79</v>
      </c>
      <c r="AK289" s="299">
        <v>35</v>
      </c>
      <c r="AL289" s="299" t="s">
        <v>81</v>
      </c>
      <c r="AM289" s="299" t="s">
        <v>1332</v>
      </c>
      <c r="AO289" s="299">
        <v>34</v>
      </c>
      <c r="AP289" s="299" t="s">
        <v>81</v>
      </c>
      <c r="AQ289" s="299" t="s">
        <v>1369</v>
      </c>
    </row>
    <row r="290" spans="1:43" ht="15" customHeight="1" x14ac:dyDescent="0.25">
      <c r="A290">
        <v>33</v>
      </c>
      <c r="B290" t="s">
        <v>98</v>
      </c>
      <c r="C290" t="s">
        <v>56</v>
      </c>
      <c r="E290" s="72">
        <v>37</v>
      </c>
      <c r="F290" t="s">
        <v>98</v>
      </c>
      <c r="G290" t="s">
        <v>38</v>
      </c>
      <c r="I290" s="171">
        <v>39</v>
      </c>
      <c r="J290" s="171" t="s">
        <v>98</v>
      </c>
      <c r="K290" s="171" t="s">
        <v>38</v>
      </c>
      <c r="M290" s="171">
        <v>29</v>
      </c>
      <c r="N290" s="171" t="s">
        <v>98</v>
      </c>
      <c r="O290" s="171" t="s">
        <v>56</v>
      </c>
      <c r="Q290" s="399">
        <v>27</v>
      </c>
      <c r="R290" s="396" t="s">
        <v>98</v>
      </c>
      <c r="S290" s="398" t="s">
        <v>38</v>
      </c>
      <c r="U290" s="421">
        <v>4</v>
      </c>
      <c r="V290" s="171" t="s">
        <v>98</v>
      </c>
      <c r="W290" s="171" t="s">
        <v>134</v>
      </c>
      <c r="Y290" s="171">
        <v>30</v>
      </c>
      <c r="Z290" s="460" t="s">
        <v>98</v>
      </c>
      <c r="AA290" s="171" t="s">
        <v>38</v>
      </c>
      <c r="AC290" s="505" t="s">
        <v>1155</v>
      </c>
      <c r="AD290" s="505" t="s">
        <v>97</v>
      </c>
      <c r="AE290" s="505" t="s">
        <v>134</v>
      </c>
      <c r="AG290" s="171" t="s">
        <v>712</v>
      </c>
      <c r="AH290" s="171" t="s">
        <v>98</v>
      </c>
      <c r="AI290" s="171" t="s">
        <v>79</v>
      </c>
      <c r="AK290" s="299">
        <v>25</v>
      </c>
      <c r="AL290" s="299" t="s">
        <v>81</v>
      </c>
      <c r="AM290" s="299" t="s">
        <v>1332</v>
      </c>
      <c r="AO290" s="299">
        <v>24</v>
      </c>
      <c r="AP290" s="299" t="s">
        <v>81</v>
      </c>
      <c r="AQ290" s="299" t="s">
        <v>1369</v>
      </c>
    </row>
    <row r="291" spans="1:43" ht="15" customHeight="1" x14ac:dyDescent="0.25">
      <c r="A291">
        <v>24</v>
      </c>
      <c r="B291" t="s">
        <v>98</v>
      </c>
      <c r="C291" t="s">
        <v>56</v>
      </c>
      <c r="E291" s="72">
        <v>37</v>
      </c>
      <c r="F291" t="s">
        <v>98</v>
      </c>
      <c r="G291" t="s">
        <v>38</v>
      </c>
      <c r="I291" s="171">
        <v>28</v>
      </c>
      <c r="J291" s="171" t="s">
        <v>98</v>
      </c>
      <c r="K291" s="171" t="s">
        <v>38</v>
      </c>
      <c r="M291" s="171">
        <v>16</v>
      </c>
      <c r="N291" s="171" t="s">
        <v>98</v>
      </c>
      <c r="O291" s="171" t="s">
        <v>56</v>
      </c>
      <c r="Q291" s="399">
        <v>28</v>
      </c>
      <c r="R291" s="396" t="s">
        <v>98</v>
      </c>
      <c r="S291" s="398" t="s">
        <v>38</v>
      </c>
      <c r="U291" s="421" t="s">
        <v>878</v>
      </c>
      <c r="V291" s="171" t="s">
        <v>97</v>
      </c>
      <c r="W291" s="171" t="s">
        <v>134</v>
      </c>
      <c r="Y291" s="171">
        <v>21</v>
      </c>
      <c r="Z291" s="460" t="s">
        <v>98</v>
      </c>
      <c r="AA291" s="171" t="s">
        <v>38</v>
      </c>
      <c r="AC291" s="505">
        <v>1</v>
      </c>
      <c r="AD291" s="505" t="s">
        <v>97</v>
      </c>
      <c r="AE291" s="505" t="s">
        <v>134</v>
      </c>
      <c r="AG291" s="171" t="s">
        <v>694</v>
      </c>
      <c r="AH291" s="171" t="s">
        <v>97</v>
      </c>
      <c r="AI291" s="171" t="s">
        <v>79</v>
      </c>
      <c r="AK291" s="299">
        <v>23</v>
      </c>
      <c r="AL291" s="299" t="s">
        <v>81</v>
      </c>
      <c r="AM291" s="299" t="s">
        <v>1332</v>
      </c>
      <c r="AO291" s="299">
        <v>22</v>
      </c>
      <c r="AP291" s="299" t="s">
        <v>81</v>
      </c>
      <c r="AQ291" s="299" t="s">
        <v>1369</v>
      </c>
    </row>
    <row r="292" spans="1:43" ht="15" customHeight="1" x14ac:dyDescent="0.25">
      <c r="A292">
        <v>25</v>
      </c>
      <c r="B292" t="s">
        <v>98</v>
      </c>
      <c r="C292" t="s">
        <v>56</v>
      </c>
      <c r="E292" s="72">
        <v>37</v>
      </c>
      <c r="F292" t="s">
        <v>98</v>
      </c>
      <c r="G292" t="s">
        <v>123</v>
      </c>
      <c r="I292" s="171">
        <v>26</v>
      </c>
      <c r="J292" s="171" t="s">
        <v>98</v>
      </c>
      <c r="K292" s="171" t="s">
        <v>38</v>
      </c>
      <c r="M292" s="171">
        <v>22</v>
      </c>
      <c r="N292" s="171" t="s">
        <v>98</v>
      </c>
      <c r="O292" s="171" t="s">
        <v>56</v>
      </c>
      <c r="Q292" s="399">
        <v>40</v>
      </c>
      <c r="R292" s="396" t="s">
        <v>98</v>
      </c>
      <c r="S292" s="398" t="s">
        <v>38</v>
      </c>
      <c r="U292" s="421">
        <v>5</v>
      </c>
      <c r="V292" s="171" t="s">
        <v>97</v>
      </c>
      <c r="W292" s="171" t="s">
        <v>134</v>
      </c>
      <c r="Y292" s="171">
        <v>60</v>
      </c>
      <c r="Z292" s="460" t="s">
        <v>98</v>
      </c>
      <c r="AA292" s="171" t="s">
        <v>38</v>
      </c>
      <c r="AC292" s="505">
        <v>9</v>
      </c>
      <c r="AD292" s="505" t="s">
        <v>97</v>
      </c>
      <c r="AE292" s="505" t="s">
        <v>134</v>
      </c>
      <c r="AG292" s="171" t="s">
        <v>694</v>
      </c>
      <c r="AH292" s="171" t="s">
        <v>97</v>
      </c>
      <c r="AI292" s="171" t="s">
        <v>79</v>
      </c>
      <c r="AK292" s="299">
        <v>36</v>
      </c>
      <c r="AL292" s="299" t="s">
        <v>81</v>
      </c>
      <c r="AM292" s="299" t="s">
        <v>1332</v>
      </c>
      <c r="AO292" s="299">
        <v>35</v>
      </c>
      <c r="AP292" s="299" t="s">
        <v>81</v>
      </c>
      <c r="AQ292" s="299" t="s">
        <v>1369</v>
      </c>
    </row>
    <row r="293" spans="1:43" ht="15" customHeight="1" x14ac:dyDescent="0.25">
      <c r="A293">
        <v>27</v>
      </c>
      <c r="B293" t="s">
        <v>98</v>
      </c>
      <c r="C293" t="s">
        <v>56</v>
      </c>
      <c r="E293" s="72">
        <v>36</v>
      </c>
      <c r="F293" t="s">
        <v>97</v>
      </c>
      <c r="G293" t="s">
        <v>688</v>
      </c>
      <c r="I293" s="171">
        <v>25</v>
      </c>
      <c r="J293" s="171" t="s">
        <v>98</v>
      </c>
      <c r="K293" s="171" t="s">
        <v>38</v>
      </c>
      <c r="M293" s="171">
        <v>19</v>
      </c>
      <c r="N293" s="171" t="s">
        <v>98</v>
      </c>
      <c r="O293" s="171" t="s">
        <v>56</v>
      </c>
      <c r="Q293" s="399">
        <v>30</v>
      </c>
      <c r="R293" s="396" t="s">
        <v>98</v>
      </c>
      <c r="S293" s="398" t="s">
        <v>38</v>
      </c>
      <c r="U293" s="421" t="s">
        <v>707</v>
      </c>
      <c r="V293" s="171" t="s">
        <v>98</v>
      </c>
      <c r="W293" s="171" t="s">
        <v>134</v>
      </c>
      <c r="Y293" s="171">
        <v>29</v>
      </c>
      <c r="Z293" s="460" t="s">
        <v>98</v>
      </c>
      <c r="AA293" s="171" t="s">
        <v>38</v>
      </c>
      <c r="AC293" s="505">
        <v>4</v>
      </c>
      <c r="AD293" s="505" t="s">
        <v>98</v>
      </c>
      <c r="AE293" s="505" t="s">
        <v>134</v>
      </c>
      <c r="AG293" s="505" t="s">
        <v>694</v>
      </c>
      <c r="AH293" s="505" t="s">
        <v>97</v>
      </c>
      <c r="AI293" s="171" t="s">
        <v>79</v>
      </c>
      <c r="AK293" s="503">
        <v>24</v>
      </c>
      <c r="AL293" s="299" t="s">
        <v>81</v>
      </c>
      <c r="AM293" s="299" t="s">
        <v>1332</v>
      </c>
      <c r="AO293" s="503">
        <v>27</v>
      </c>
      <c r="AP293" s="299" t="s">
        <v>81</v>
      </c>
      <c r="AQ293" s="299" t="s">
        <v>1369</v>
      </c>
    </row>
    <row r="294" spans="1:43" ht="15" customHeight="1" x14ac:dyDescent="0.25">
      <c r="A294">
        <v>46</v>
      </c>
      <c r="B294" t="s">
        <v>98</v>
      </c>
      <c r="C294" t="s">
        <v>56</v>
      </c>
      <c r="E294" s="72">
        <v>36</v>
      </c>
      <c r="F294" t="s">
        <v>97</v>
      </c>
      <c r="G294" t="s">
        <v>688</v>
      </c>
      <c r="I294" s="171">
        <v>22</v>
      </c>
      <c r="J294" s="171" t="s">
        <v>98</v>
      </c>
      <c r="K294" s="171" t="s">
        <v>38</v>
      </c>
      <c r="M294" s="171">
        <v>29</v>
      </c>
      <c r="N294" s="171" t="s">
        <v>98</v>
      </c>
      <c r="O294" s="171" t="s">
        <v>56</v>
      </c>
      <c r="Q294" s="399">
        <v>20</v>
      </c>
      <c r="R294" s="396" t="s">
        <v>98</v>
      </c>
      <c r="S294" s="398" t="s">
        <v>38</v>
      </c>
      <c r="U294" s="421">
        <v>3</v>
      </c>
      <c r="V294" s="171" t="s">
        <v>97</v>
      </c>
      <c r="W294" s="171" t="s">
        <v>134</v>
      </c>
      <c r="Y294" s="171">
        <v>22</v>
      </c>
      <c r="Z294" s="460" t="s">
        <v>98</v>
      </c>
      <c r="AA294" s="171" t="s">
        <v>38</v>
      </c>
      <c r="AC294" s="505">
        <v>20</v>
      </c>
      <c r="AD294" s="505" t="s">
        <v>98</v>
      </c>
      <c r="AE294" s="505" t="s">
        <v>38</v>
      </c>
      <c r="AG294" s="171" t="s">
        <v>694</v>
      </c>
      <c r="AH294" s="171" t="s">
        <v>97</v>
      </c>
      <c r="AI294" s="171" t="s">
        <v>79</v>
      </c>
      <c r="AK294" s="299">
        <v>35</v>
      </c>
      <c r="AL294" s="299" t="s">
        <v>81</v>
      </c>
      <c r="AM294" s="299" t="s">
        <v>1332</v>
      </c>
      <c r="AO294" s="299">
        <v>36</v>
      </c>
      <c r="AP294" s="299" t="s">
        <v>81</v>
      </c>
      <c r="AQ294" s="299" t="s">
        <v>1369</v>
      </c>
    </row>
    <row r="295" spans="1:43" ht="15" customHeight="1" x14ac:dyDescent="0.25">
      <c r="A295">
        <v>23</v>
      </c>
      <c r="B295" t="s">
        <v>98</v>
      </c>
      <c r="C295" t="s">
        <v>56</v>
      </c>
      <c r="E295" s="72">
        <v>36</v>
      </c>
      <c r="F295" t="s">
        <v>98</v>
      </c>
      <c r="G295" t="s">
        <v>55</v>
      </c>
      <c r="I295" s="171">
        <v>14</v>
      </c>
      <c r="J295" s="171" t="s">
        <v>98</v>
      </c>
      <c r="K295" s="171" t="s">
        <v>38</v>
      </c>
      <c r="M295" s="171">
        <v>44</v>
      </c>
      <c r="N295" s="171" t="s">
        <v>98</v>
      </c>
      <c r="O295" s="171" t="s">
        <v>55</v>
      </c>
      <c r="Q295" s="399">
        <v>23</v>
      </c>
      <c r="R295" s="396" t="s">
        <v>98</v>
      </c>
      <c r="S295" s="398" t="s">
        <v>38</v>
      </c>
      <c r="U295" s="421">
        <v>12</v>
      </c>
      <c r="V295" s="171" t="s">
        <v>97</v>
      </c>
      <c r="W295" s="171" t="s">
        <v>134</v>
      </c>
      <c r="Y295" s="171">
        <v>26</v>
      </c>
      <c r="Z295" s="460" t="s">
        <v>98</v>
      </c>
      <c r="AA295" s="171" t="s">
        <v>38</v>
      </c>
      <c r="AC295" s="505">
        <v>38</v>
      </c>
      <c r="AD295" s="505" t="s">
        <v>98</v>
      </c>
      <c r="AE295" s="505" t="s">
        <v>38</v>
      </c>
      <c r="AG295" s="171" t="s">
        <v>712</v>
      </c>
      <c r="AH295" s="171" t="s">
        <v>97</v>
      </c>
      <c r="AI295" s="171" t="s">
        <v>79</v>
      </c>
      <c r="AK295" s="299">
        <v>28</v>
      </c>
      <c r="AL295" s="299" t="s">
        <v>81</v>
      </c>
      <c r="AM295" s="299" t="s">
        <v>1332</v>
      </c>
      <c r="AO295" s="299">
        <v>31</v>
      </c>
      <c r="AP295" s="299" t="s">
        <v>81</v>
      </c>
      <c r="AQ295" s="299" t="s">
        <v>1369</v>
      </c>
    </row>
    <row r="296" spans="1:43" ht="15" customHeight="1" x14ac:dyDescent="0.25">
      <c r="A296">
        <v>39</v>
      </c>
      <c r="B296" t="s">
        <v>98</v>
      </c>
      <c r="C296" t="s">
        <v>56</v>
      </c>
      <c r="E296" s="72">
        <v>36</v>
      </c>
      <c r="F296" t="s">
        <v>98</v>
      </c>
      <c r="G296" t="s">
        <v>55</v>
      </c>
      <c r="I296" s="171">
        <v>18</v>
      </c>
      <c r="J296" s="171" t="s">
        <v>98</v>
      </c>
      <c r="K296" s="171" t="s">
        <v>38</v>
      </c>
      <c r="M296" s="171">
        <v>25</v>
      </c>
      <c r="N296" s="171" t="s">
        <v>98</v>
      </c>
      <c r="O296" s="171" t="s">
        <v>55</v>
      </c>
      <c r="Q296" s="399">
        <v>26</v>
      </c>
      <c r="R296" s="396" t="s">
        <v>98</v>
      </c>
      <c r="S296" s="398" t="s">
        <v>38</v>
      </c>
      <c r="U296" s="421" t="s">
        <v>878</v>
      </c>
      <c r="V296" s="171" t="s">
        <v>98</v>
      </c>
      <c r="W296" s="171" t="s">
        <v>134</v>
      </c>
      <c r="Y296" s="171">
        <v>42</v>
      </c>
      <c r="Z296" s="460" t="s">
        <v>98</v>
      </c>
      <c r="AA296" s="171" t="s">
        <v>38</v>
      </c>
      <c r="AC296" s="505">
        <v>30</v>
      </c>
      <c r="AD296" s="505" t="s">
        <v>98</v>
      </c>
      <c r="AE296" s="505" t="s">
        <v>38</v>
      </c>
      <c r="AG296" s="171" t="s">
        <v>695</v>
      </c>
      <c r="AH296" s="171" t="s">
        <v>97</v>
      </c>
      <c r="AI296" s="171" t="s">
        <v>79</v>
      </c>
      <c r="AK296" s="299">
        <v>24</v>
      </c>
      <c r="AL296" s="299" t="s">
        <v>81</v>
      </c>
      <c r="AM296" s="299" t="s">
        <v>1332</v>
      </c>
      <c r="AO296" s="299">
        <v>23</v>
      </c>
      <c r="AP296" s="299" t="s">
        <v>81</v>
      </c>
      <c r="AQ296" s="299" t="s">
        <v>1369</v>
      </c>
    </row>
    <row r="297" spans="1:43" ht="15" customHeight="1" x14ac:dyDescent="0.25">
      <c r="A297">
        <v>31</v>
      </c>
      <c r="B297" t="s">
        <v>98</v>
      </c>
      <c r="C297" t="s">
        <v>56</v>
      </c>
      <c r="E297" s="72">
        <v>36</v>
      </c>
      <c r="F297" t="s">
        <v>98</v>
      </c>
      <c r="G297" t="s">
        <v>55</v>
      </c>
      <c r="I297" s="171">
        <v>31</v>
      </c>
      <c r="J297" s="171" t="s">
        <v>98</v>
      </c>
      <c r="K297" s="171" t="s">
        <v>38</v>
      </c>
      <c r="M297" s="171">
        <v>23</v>
      </c>
      <c r="N297" s="171" t="s">
        <v>98</v>
      </c>
      <c r="O297" s="171" t="s">
        <v>55</v>
      </c>
      <c r="Q297" s="399">
        <v>35</v>
      </c>
      <c r="R297" s="396" t="s">
        <v>98</v>
      </c>
      <c r="S297" s="398" t="s">
        <v>38</v>
      </c>
      <c r="U297" s="421" t="s">
        <v>690</v>
      </c>
      <c r="V297" s="171" t="s">
        <v>98</v>
      </c>
      <c r="W297" s="171" t="s">
        <v>134</v>
      </c>
      <c r="Y297" s="171">
        <v>19</v>
      </c>
      <c r="Z297" s="460" t="s">
        <v>98</v>
      </c>
      <c r="AA297" s="171" t="s">
        <v>38</v>
      </c>
      <c r="AC297" s="505">
        <v>33</v>
      </c>
      <c r="AD297" s="505" t="s">
        <v>98</v>
      </c>
      <c r="AE297" s="505" t="s">
        <v>38</v>
      </c>
      <c r="AG297" s="171" t="s">
        <v>694</v>
      </c>
      <c r="AH297" s="171" t="s">
        <v>98</v>
      </c>
      <c r="AI297" s="171" t="s">
        <v>79</v>
      </c>
      <c r="AK297" s="299">
        <v>25</v>
      </c>
      <c r="AL297" s="299" t="s">
        <v>81</v>
      </c>
      <c r="AM297" s="299" t="s">
        <v>1332</v>
      </c>
      <c r="AO297" s="299">
        <v>30</v>
      </c>
      <c r="AP297" s="299" t="s">
        <v>81</v>
      </c>
      <c r="AQ297" s="299" t="s">
        <v>1369</v>
      </c>
    </row>
    <row r="298" spans="1:43" ht="15" customHeight="1" x14ac:dyDescent="0.25">
      <c r="A298">
        <v>42</v>
      </c>
      <c r="B298" t="s">
        <v>98</v>
      </c>
      <c r="C298" t="s">
        <v>56</v>
      </c>
      <c r="E298" s="72">
        <v>36</v>
      </c>
      <c r="F298" t="s">
        <v>98</v>
      </c>
      <c r="G298" t="s">
        <v>55</v>
      </c>
      <c r="I298" s="171">
        <v>31</v>
      </c>
      <c r="J298" s="171" t="s">
        <v>98</v>
      </c>
      <c r="K298" s="171" t="s">
        <v>38</v>
      </c>
      <c r="M298" s="171">
        <v>32</v>
      </c>
      <c r="N298" s="171" t="s">
        <v>98</v>
      </c>
      <c r="O298" s="171" t="s">
        <v>55</v>
      </c>
      <c r="Q298" s="399">
        <v>25</v>
      </c>
      <c r="R298" s="396" t="s">
        <v>98</v>
      </c>
      <c r="S298" s="398" t="s">
        <v>38</v>
      </c>
      <c r="U298" s="421">
        <v>2</v>
      </c>
      <c r="V298" s="171" t="s">
        <v>98</v>
      </c>
      <c r="W298" s="171" t="s">
        <v>134</v>
      </c>
      <c r="Y298" s="171">
        <v>18</v>
      </c>
      <c r="Z298" s="460" t="s">
        <v>98</v>
      </c>
      <c r="AA298" s="171" t="s">
        <v>38</v>
      </c>
      <c r="AC298" s="505">
        <v>40</v>
      </c>
      <c r="AD298" s="505" t="s">
        <v>98</v>
      </c>
      <c r="AE298" s="505" t="s">
        <v>38</v>
      </c>
      <c r="AG298" s="171" t="s">
        <v>714</v>
      </c>
      <c r="AH298" s="171" t="s">
        <v>97</v>
      </c>
      <c r="AI298" s="171" t="s">
        <v>79</v>
      </c>
      <c r="AK298" s="299">
        <v>31</v>
      </c>
      <c r="AL298" s="299" t="s">
        <v>81</v>
      </c>
      <c r="AM298" s="299" t="s">
        <v>1332</v>
      </c>
      <c r="AO298" s="299">
        <v>31</v>
      </c>
      <c r="AP298" s="299" t="s">
        <v>81</v>
      </c>
      <c r="AQ298" s="299" t="s">
        <v>1369</v>
      </c>
    </row>
    <row r="299" spans="1:43" ht="15" customHeight="1" x14ac:dyDescent="0.25">
      <c r="A299">
        <v>23</v>
      </c>
      <c r="B299" t="s">
        <v>98</v>
      </c>
      <c r="C299" t="s">
        <v>56</v>
      </c>
      <c r="E299" s="72">
        <v>36</v>
      </c>
      <c r="F299" t="s">
        <v>98</v>
      </c>
      <c r="G299" t="s">
        <v>56</v>
      </c>
      <c r="I299" s="171">
        <v>32</v>
      </c>
      <c r="J299" s="171" t="s">
        <v>98</v>
      </c>
      <c r="K299" s="171" t="s">
        <v>38</v>
      </c>
      <c r="M299" s="171">
        <v>36</v>
      </c>
      <c r="N299" s="171" t="s">
        <v>98</v>
      </c>
      <c r="O299" s="171" t="s">
        <v>55</v>
      </c>
      <c r="Q299" s="399">
        <v>31</v>
      </c>
      <c r="R299" s="396" t="s">
        <v>98</v>
      </c>
      <c r="S299" s="398" t="s">
        <v>38</v>
      </c>
      <c r="U299" s="421">
        <v>2</v>
      </c>
      <c r="V299" s="171" t="s">
        <v>98</v>
      </c>
      <c r="W299" s="171" t="s">
        <v>134</v>
      </c>
      <c r="Y299" s="171">
        <v>23</v>
      </c>
      <c r="Z299" s="460" t="s">
        <v>98</v>
      </c>
      <c r="AA299" s="171" t="s">
        <v>38</v>
      </c>
      <c r="AC299" s="505">
        <v>28</v>
      </c>
      <c r="AD299" s="505" t="s">
        <v>98</v>
      </c>
      <c r="AE299" s="505" t="s">
        <v>38</v>
      </c>
      <c r="AG299" s="171" t="s">
        <v>694</v>
      </c>
      <c r="AH299" s="171" t="s">
        <v>97</v>
      </c>
      <c r="AI299" s="171" t="s">
        <v>79</v>
      </c>
      <c r="AK299" s="299">
        <v>41</v>
      </c>
      <c r="AL299" s="299" t="s">
        <v>81</v>
      </c>
      <c r="AM299" s="299" t="s">
        <v>1332</v>
      </c>
      <c r="AO299" s="299">
        <v>13</v>
      </c>
      <c r="AP299" s="299" t="s">
        <v>81</v>
      </c>
      <c r="AQ299" s="299" t="s">
        <v>1369</v>
      </c>
    </row>
    <row r="300" spans="1:43" ht="15" customHeight="1" x14ac:dyDescent="0.25">
      <c r="A300">
        <v>37</v>
      </c>
      <c r="B300" t="s">
        <v>98</v>
      </c>
      <c r="C300" t="s">
        <v>56</v>
      </c>
      <c r="E300" s="72">
        <v>36</v>
      </c>
      <c r="F300" t="s">
        <v>98</v>
      </c>
      <c r="G300" t="s">
        <v>38</v>
      </c>
      <c r="I300" s="171">
        <v>40</v>
      </c>
      <c r="J300" s="171" t="s">
        <v>98</v>
      </c>
      <c r="K300" s="171" t="s">
        <v>38</v>
      </c>
      <c r="M300" s="171">
        <v>28</v>
      </c>
      <c r="N300" s="171" t="s">
        <v>98</v>
      </c>
      <c r="O300" s="171" t="s">
        <v>55</v>
      </c>
      <c r="Q300" s="399">
        <v>38</v>
      </c>
      <c r="R300" s="396" t="s">
        <v>98</v>
      </c>
      <c r="S300" s="398" t="s">
        <v>38</v>
      </c>
      <c r="U300" s="421" t="s">
        <v>708</v>
      </c>
      <c r="V300" s="171" t="s">
        <v>98</v>
      </c>
      <c r="W300" s="171" t="s">
        <v>134</v>
      </c>
      <c r="Y300" s="171">
        <v>16</v>
      </c>
      <c r="Z300" s="460" t="s">
        <v>98</v>
      </c>
      <c r="AA300" s="171" t="s">
        <v>38</v>
      </c>
      <c r="AC300" s="505">
        <v>32</v>
      </c>
      <c r="AD300" s="505" t="s">
        <v>98</v>
      </c>
      <c r="AE300" s="505" t="s">
        <v>38</v>
      </c>
      <c r="AG300" s="171" t="s">
        <v>694</v>
      </c>
      <c r="AH300" s="171" t="s">
        <v>97</v>
      </c>
      <c r="AI300" s="171" t="s">
        <v>79</v>
      </c>
      <c r="AK300" s="299">
        <v>25</v>
      </c>
      <c r="AL300" s="299" t="s">
        <v>81</v>
      </c>
      <c r="AM300" s="299" t="s">
        <v>1332</v>
      </c>
      <c r="AO300" s="299">
        <v>34</v>
      </c>
      <c r="AP300" s="299" t="s">
        <v>81</v>
      </c>
      <c r="AQ300" s="299" t="s">
        <v>1369</v>
      </c>
    </row>
    <row r="301" spans="1:43" ht="15" customHeight="1" x14ac:dyDescent="0.25">
      <c r="A301">
        <v>30</v>
      </c>
      <c r="B301" t="s">
        <v>98</v>
      </c>
      <c r="C301" t="s">
        <v>56</v>
      </c>
      <c r="E301" s="72">
        <v>36</v>
      </c>
      <c r="F301" t="s">
        <v>97</v>
      </c>
      <c r="G301" t="s">
        <v>122</v>
      </c>
      <c r="I301" s="171">
        <v>24</v>
      </c>
      <c r="J301" s="171" t="s">
        <v>98</v>
      </c>
      <c r="K301" s="171" t="s">
        <v>38</v>
      </c>
      <c r="M301" s="171">
        <v>19</v>
      </c>
      <c r="N301" s="171" t="s">
        <v>98</v>
      </c>
      <c r="O301" s="171" t="s">
        <v>55</v>
      </c>
      <c r="Q301" s="399">
        <v>29</v>
      </c>
      <c r="R301" s="396" t="s">
        <v>98</v>
      </c>
      <c r="S301" s="398" t="s">
        <v>38</v>
      </c>
      <c r="U301" s="421">
        <v>2</v>
      </c>
      <c r="V301" s="171" t="s">
        <v>98</v>
      </c>
      <c r="W301" s="171" t="s">
        <v>134</v>
      </c>
      <c r="Y301" s="171">
        <v>32</v>
      </c>
      <c r="Z301" s="460" t="s">
        <v>98</v>
      </c>
      <c r="AA301" s="171" t="s">
        <v>38</v>
      </c>
      <c r="AC301" s="505">
        <v>16</v>
      </c>
      <c r="AD301" s="505" t="s">
        <v>98</v>
      </c>
      <c r="AE301" s="505" t="s">
        <v>38</v>
      </c>
      <c r="AG301" s="171" t="s">
        <v>694</v>
      </c>
      <c r="AH301" s="171" t="s">
        <v>98</v>
      </c>
      <c r="AI301" s="171" t="s">
        <v>79</v>
      </c>
      <c r="AK301" s="299">
        <v>33</v>
      </c>
      <c r="AL301" s="299" t="s">
        <v>81</v>
      </c>
      <c r="AM301" s="299" t="s">
        <v>1332</v>
      </c>
      <c r="AO301" s="299">
        <v>27</v>
      </c>
      <c r="AP301" s="299" t="s">
        <v>81</v>
      </c>
      <c r="AQ301" s="299" t="s">
        <v>1369</v>
      </c>
    </row>
    <row r="302" spans="1:43" ht="15" customHeight="1" x14ac:dyDescent="0.25">
      <c r="A302">
        <v>32</v>
      </c>
      <c r="B302" t="s">
        <v>98</v>
      </c>
      <c r="C302" t="s">
        <v>56</v>
      </c>
      <c r="E302" s="72">
        <v>36</v>
      </c>
      <c r="F302" t="s">
        <v>97</v>
      </c>
      <c r="G302" t="s">
        <v>122</v>
      </c>
      <c r="I302" s="171">
        <v>30</v>
      </c>
      <c r="J302" s="171" t="s">
        <v>98</v>
      </c>
      <c r="K302" s="171" t="s">
        <v>38</v>
      </c>
      <c r="M302" s="171">
        <v>20</v>
      </c>
      <c r="N302" s="171" t="s">
        <v>98</v>
      </c>
      <c r="O302" s="171" t="s">
        <v>55</v>
      </c>
      <c r="Q302" s="399">
        <v>16</v>
      </c>
      <c r="R302" s="396" t="s">
        <v>98</v>
      </c>
      <c r="S302" s="398" t="s">
        <v>38</v>
      </c>
      <c r="U302" s="421" t="s">
        <v>689</v>
      </c>
      <c r="V302" s="171" t="s">
        <v>98</v>
      </c>
      <c r="W302" s="171" t="s">
        <v>134</v>
      </c>
      <c r="Y302" s="171">
        <v>21</v>
      </c>
      <c r="Z302" s="460" t="s">
        <v>98</v>
      </c>
      <c r="AA302" s="171" t="s">
        <v>38</v>
      </c>
      <c r="AC302" s="505">
        <v>35</v>
      </c>
      <c r="AD302" s="505" t="s">
        <v>98</v>
      </c>
      <c r="AE302" s="505" t="s">
        <v>38</v>
      </c>
      <c r="AG302" s="171">
        <v>53</v>
      </c>
      <c r="AH302" s="171" t="s">
        <v>98</v>
      </c>
      <c r="AI302" s="171" t="s">
        <v>688</v>
      </c>
      <c r="AK302" s="299">
        <v>18</v>
      </c>
      <c r="AL302" s="299" t="s">
        <v>81</v>
      </c>
      <c r="AM302" s="299" t="s">
        <v>1332</v>
      </c>
      <c r="AO302" s="299">
        <v>27</v>
      </c>
      <c r="AP302" s="299" t="s">
        <v>81</v>
      </c>
      <c r="AQ302" s="299" t="s">
        <v>1369</v>
      </c>
    </row>
    <row r="303" spans="1:43" ht="15" customHeight="1" x14ac:dyDescent="0.25">
      <c r="A303">
        <v>25</v>
      </c>
      <c r="B303" t="s">
        <v>98</v>
      </c>
      <c r="C303" t="s">
        <v>56</v>
      </c>
      <c r="E303" s="72">
        <v>35</v>
      </c>
      <c r="F303" t="s">
        <v>97</v>
      </c>
      <c r="G303" t="s">
        <v>688</v>
      </c>
      <c r="I303" s="171">
        <v>21</v>
      </c>
      <c r="J303" s="171" t="s">
        <v>98</v>
      </c>
      <c r="K303" s="171" t="s">
        <v>38</v>
      </c>
      <c r="M303" s="171">
        <v>33</v>
      </c>
      <c r="N303" s="171" t="s">
        <v>98</v>
      </c>
      <c r="O303" s="171" t="s">
        <v>55</v>
      </c>
      <c r="Q303" s="399">
        <v>31</v>
      </c>
      <c r="R303" s="396" t="s">
        <v>98</v>
      </c>
      <c r="S303" s="398" t="s">
        <v>38</v>
      </c>
      <c r="U303" s="421">
        <v>1</v>
      </c>
      <c r="V303" s="171" t="s">
        <v>97</v>
      </c>
      <c r="W303" s="171" t="s">
        <v>134</v>
      </c>
      <c r="Y303" s="171">
        <v>39</v>
      </c>
      <c r="Z303" s="460" t="s">
        <v>98</v>
      </c>
      <c r="AA303" s="171" t="s">
        <v>38</v>
      </c>
      <c r="AC303" s="505">
        <v>28</v>
      </c>
      <c r="AD303" s="505" t="s">
        <v>98</v>
      </c>
      <c r="AE303" s="505" t="s">
        <v>38</v>
      </c>
      <c r="AG303" s="171">
        <v>33</v>
      </c>
      <c r="AH303" s="171" t="s">
        <v>98</v>
      </c>
      <c r="AI303" s="171" t="s">
        <v>688</v>
      </c>
      <c r="AK303" s="299">
        <v>40</v>
      </c>
      <c r="AL303" s="299" t="s">
        <v>81</v>
      </c>
      <c r="AM303" s="299" t="s">
        <v>1332</v>
      </c>
      <c r="AO303" s="299">
        <v>35</v>
      </c>
      <c r="AP303" s="299" t="s">
        <v>81</v>
      </c>
      <c r="AQ303" s="299" t="s">
        <v>1369</v>
      </c>
    </row>
    <row r="304" spans="1:43" ht="15" customHeight="1" x14ac:dyDescent="0.25">
      <c r="A304">
        <v>19</v>
      </c>
      <c r="B304" t="s">
        <v>98</v>
      </c>
      <c r="C304" t="s">
        <v>56</v>
      </c>
      <c r="E304" s="72">
        <v>35</v>
      </c>
      <c r="F304" t="s">
        <v>98</v>
      </c>
      <c r="G304" t="s">
        <v>688</v>
      </c>
      <c r="I304" s="171">
        <v>29</v>
      </c>
      <c r="J304" s="171" t="s">
        <v>98</v>
      </c>
      <c r="K304" s="171" t="s">
        <v>38</v>
      </c>
      <c r="M304" s="171">
        <v>19</v>
      </c>
      <c r="N304" s="171" t="s">
        <v>98</v>
      </c>
      <c r="O304" s="171" t="s">
        <v>55</v>
      </c>
      <c r="Q304" s="399">
        <v>21</v>
      </c>
      <c r="R304" s="396" t="s">
        <v>98</v>
      </c>
      <c r="S304" s="398" t="s">
        <v>38</v>
      </c>
      <c r="U304" s="421">
        <v>4</v>
      </c>
      <c r="V304" s="171" t="s">
        <v>97</v>
      </c>
      <c r="W304" s="171" t="s">
        <v>134</v>
      </c>
      <c r="Y304" s="171">
        <v>24</v>
      </c>
      <c r="Z304" s="460" t="s">
        <v>98</v>
      </c>
      <c r="AA304" s="171" t="s">
        <v>38</v>
      </c>
      <c r="AC304" s="505">
        <v>22</v>
      </c>
      <c r="AD304" s="505" t="s">
        <v>98</v>
      </c>
      <c r="AE304" s="505" t="s">
        <v>38</v>
      </c>
      <c r="AG304" s="171">
        <v>9</v>
      </c>
      <c r="AH304" s="171" t="s">
        <v>97</v>
      </c>
      <c r="AI304" s="171" t="s">
        <v>688</v>
      </c>
      <c r="AK304" s="299">
        <v>18</v>
      </c>
      <c r="AL304" s="299" t="s">
        <v>81</v>
      </c>
      <c r="AM304" s="299" t="s">
        <v>1332</v>
      </c>
      <c r="AO304" s="299">
        <v>23</v>
      </c>
      <c r="AP304" s="299" t="s">
        <v>81</v>
      </c>
      <c r="AQ304" s="299" t="s">
        <v>1369</v>
      </c>
    </row>
    <row r="305" spans="1:43" ht="15" customHeight="1" x14ac:dyDescent="0.25">
      <c r="A305">
        <v>27</v>
      </c>
      <c r="B305" t="s">
        <v>98</v>
      </c>
      <c r="C305" t="s">
        <v>56</v>
      </c>
      <c r="E305" s="72">
        <v>35</v>
      </c>
      <c r="F305" t="s">
        <v>98</v>
      </c>
      <c r="G305" t="s">
        <v>55</v>
      </c>
      <c r="I305" s="171">
        <v>20</v>
      </c>
      <c r="J305" s="171" t="s">
        <v>98</v>
      </c>
      <c r="K305" s="171" t="s">
        <v>38</v>
      </c>
      <c r="M305" s="171">
        <v>36</v>
      </c>
      <c r="N305" s="171" t="s">
        <v>98</v>
      </c>
      <c r="O305" s="171" t="s">
        <v>55</v>
      </c>
      <c r="Q305" s="399">
        <v>23</v>
      </c>
      <c r="R305" s="396" t="s">
        <v>98</v>
      </c>
      <c r="S305" s="398" t="s">
        <v>38</v>
      </c>
      <c r="U305" s="421">
        <v>3</v>
      </c>
      <c r="V305" s="171" t="s">
        <v>97</v>
      </c>
      <c r="W305" s="171" t="s">
        <v>134</v>
      </c>
      <c r="Y305" s="171">
        <v>31</v>
      </c>
      <c r="Z305" s="460" t="s">
        <v>98</v>
      </c>
      <c r="AA305" s="171" t="s">
        <v>38</v>
      </c>
      <c r="AC305" s="505">
        <v>33</v>
      </c>
      <c r="AD305" s="505" t="s">
        <v>98</v>
      </c>
      <c r="AE305" s="505" t="s">
        <v>38</v>
      </c>
      <c r="AG305" s="171">
        <v>31</v>
      </c>
      <c r="AH305" s="171" t="s">
        <v>97</v>
      </c>
      <c r="AI305" s="171" t="s">
        <v>688</v>
      </c>
      <c r="AK305" s="299">
        <v>22</v>
      </c>
      <c r="AL305" s="299" t="s">
        <v>81</v>
      </c>
      <c r="AM305" s="299" t="s">
        <v>1332</v>
      </c>
      <c r="AO305" s="299">
        <v>30</v>
      </c>
      <c r="AP305" s="299" t="s">
        <v>81</v>
      </c>
      <c r="AQ305" s="299" t="s">
        <v>1369</v>
      </c>
    </row>
    <row r="306" spans="1:43" ht="15" customHeight="1" x14ac:dyDescent="0.25">
      <c r="A306">
        <v>28</v>
      </c>
      <c r="B306" t="s">
        <v>98</v>
      </c>
      <c r="C306" t="s">
        <v>56</v>
      </c>
      <c r="E306" s="72">
        <v>35</v>
      </c>
      <c r="F306" t="s">
        <v>98</v>
      </c>
      <c r="G306" t="s">
        <v>55</v>
      </c>
      <c r="I306" s="171">
        <v>24</v>
      </c>
      <c r="J306" s="171" t="s">
        <v>98</v>
      </c>
      <c r="K306" s="171" t="s">
        <v>38</v>
      </c>
      <c r="M306" s="171">
        <v>39</v>
      </c>
      <c r="N306" s="171" t="s">
        <v>98</v>
      </c>
      <c r="O306" s="171" t="s">
        <v>55</v>
      </c>
      <c r="Q306" s="399">
        <v>36</v>
      </c>
      <c r="R306" s="396" t="s">
        <v>98</v>
      </c>
      <c r="S306" s="398" t="s">
        <v>38</v>
      </c>
      <c r="U306" s="421">
        <v>3</v>
      </c>
      <c r="V306" s="171" t="s">
        <v>97</v>
      </c>
      <c r="W306" s="171" t="s">
        <v>134</v>
      </c>
      <c r="Y306" s="171">
        <v>31</v>
      </c>
      <c r="Z306" s="460" t="s">
        <v>98</v>
      </c>
      <c r="AA306" s="171" t="s">
        <v>38</v>
      </c>
      <c r="AC306" s="505">
        <v>27</v>
      </c>
      <c r="AD306" s="505" t="s">
        <v>98</v>
      </c>
      <c r="AE306" s="505" t="s">
        <v>38</v>
      </c>
      <c r="AG306" s="171">
        <v>35</v>
      </c>
      <c r="AH306" s="171" t="s">
        <v>98</v>
      </c>
      <c r="AI306" s="171" t="s">
        <v>688</v>
      </c>
      <c r="AK306" s="299">
        <v>21</v>
      </c>
      <c r="AL306" s="299" t="s">
        <v>81</v>
      </c>
      <c r="AM306" s="299" t="s">
        <v>1332</v>
      </c>
      <c r="AO306" s="299">
        <v>24</v>
      </c>
      <c r="AP306" s="299" t="s">
        <v>81</v>
      </c>
      <c r="AQ306" s="299" t="s">
        <v>1369</v>
      </c>
    </row>
    <row r="307" spans="1:43" ht="15" customHeight="1" x14ac:dyDescent="0.25">
      <c r="A307">
        <v>23</v>
      </c>
      <c r="B307" t="s">
        <v>98</v>
      </c>
      <c r="C307" t="s">
        <v>56</v>
      </c>
      <c r="E307" s="72">
        <v>35</v>
      </c>
      <c r="F307" t="s">
        <v>98</v>
      </c>
      <c r="G307" t="s">
        <v>55</v>
      </c>
      <c r="I307" s="171">
        <v>26</v>
      </c>
      <c r="J307" s="171" t="s">
        <v>98</v>
      </c>
      <c r="K307" s="171" t="s">
        <v>38</v>
      </c>
      <c r="M307" s="171">
        <v>36</v>
      </c>
      <c r="N307" s="171" t="s">
        <v>98</v>
      </c>
      <c r="O307" s="171" t="s">
        <v>55</v>
      </c>
      <c r="Q307" s="399">
        <v>21</v>
      </c>
      <c r="R307" s="396" t="s">
        <v>98</v>
      </c>
      <c r="S307" s="398" t="s">
        <v>38</v>
      </c>
      <c r="U307" s="421">
        <v>4</v>
      </c>
      <c r="V307" s="171" t="s">
        <v>97</v>
      </c>
      <c r="W307" s="171" t="s">
        <v>134</v>
      </c>
      <c r="Y307" s="171">
        <v>36</v>
      </c>
      <c r="Z307" s="460" t="s">
        <v>98</v>
      </c>
      <c r="AA307" s="171" t="s">
        <v>38</v>
      </c>
      <c r="AC307" s="505">
        <v>22</v>
      </c>
      <c r="AD307" s="505" t="s">
        <v>98</v>
      </c>
      <c r="AE307" s="505" t="s">
        <v>38</v>
      </c>
      <c r="AG307" s="171">
        <v>86</v>
      </c>
      <c r="AH307" s="171" t="s">
        <v>97</v>
      </c>
      <c r="AI307" s="171" t="s">
        <v>688</v>
      </c>
      <c r="AK307" s="299">
        <v>20</v>
      </c>
      <c r="AL307" s="299" t="s">
        <v>81</v>
      </c>
      <c r="AM307" s="299" t="s">
        <v>1332</v>
      </c>
      <c r="AO307" s="299">
        <v>33</v>
      </c>
      <c r="AP307" s="299" t="s">
        <v>81</v>
      </c>
      <c r="AQ307" s="299" t="s">
        <v>1369</v>
      </c>
    </row>
    <row r="308" spans="1:43" ht="15" customHeight="1" x14ac:dyDescent="0.25">
      <c r="A308">
        <v>30</v>
      </c>
      <c r="B308" t="s">
        <v>98</v>
      </c>
      <c r="C308" t="s">
        <v>56</v>
      </c>
      <c r="E308" s="72">
        <v>35</v>
      </c>
      <c r="F308" t="s">
        <v>98</v>
      </c>
      <c r="G308" t="s">
        <v>56</v>
      </c>
      <c r="I308" s="171">
        <v>29</v>
      </c>
      <c r="J308" s="171" t="s">
        <v>98</v>
      </c>
      <c r="K308" s="171" t="s">
        <v>38</v>
      </c>
      <c r="M308" s="171">
        <v>40</v>
      </c>
      <c r="N308" s="171" t="s">
        <v>98</v>
      </c>
      <c r="O308" s="171" t="s">
        <v>55</v>
      </c>
      <c r="Q308" s="399">
        <v>36</v>
      </c>
      <c r="R308" s="396" t="s">
        <v>98</v>
      </c>
      <c r="S308" s="398" t="s">
        <v>38</v>
      </c>
      <c r="U308" s="421">
        <v>2</v>
      </c>
      <c r="V308" s="171" t="s">
        <v>98</v>
      </c>
      <c r="W308" s="171" t="s">
        <v>134</v>
      </c>
      <c r="Y308" s="171">
        <v>31</v>
      </c>
      <c r="Z308" s="460" t="s">
        <v>98</v>
      </c>
      <c r="AA308" s="171" t="s">
        <v>38</v>
      </c>
      <c r="AC308" s="505">
        <v>39</v>
      </c>
      <c r="AD308" s="505" t="s">
        <v>98</v>
      </c>
      <c r="AE308" s="505" t="s">
        <v>38</v>
      </c>
      <c r="AG308" s="171">
        <v>13</v>
      </c>
      <c r="AH308" s="171" t="s">
        <v>97</v>
      </c>
      <c r="AI308" s="171" t="s">
        <v>688</v>
      </c>
      <c r="AK308" s="299">
        <v>30</v>
      </c>
      <c r="AL308" s="299" t="s">
        <v>81</v>
      </c>
      <c r="AM308" s="299" t="s">
        <v>1332</v>
      </c>
      <c r="AO308" s="299">
        <v>41</v>
      </c>
      <c r="AP308" s="299" t="s">
        <v>81</v>
      </c>
      <c r="AQ308" s="299" t="s">
        <v>1369</v>
      </c>
    </row>
    <row r="309" spans="1:43" ht="15" customHeight="1" x14ac:dyDescent="0.25">
      <c r="A309">
        <v>29</v>
      </c>
      <c r="B309" t="s">
        <v>98</v>
      </c>
      <c r="C309" t="s">
        <v>56</v>
      </c>
      <c r="E309" s="72">
        <v>35</v>
      </c>
      <c r="F309" t="s">
        <v>98</v>
      </c>
      <c r="G309" t="s">
        <v>56</v>
      </c>
      <c r="I309" s="171">
        <v>40</v>
      </c>
      <c r="J309" s="171" t="s">
        <v>98</v>
      </c>
      <c r="K309" s="171" t="s">
        <v>38</v>
      </c>
      <c r="M309" s="171">
        <v>34</v>
      </c>
      <c r="N309" s="171" t="s">
        <v>98</v>
      </c>
      <c r="O309" s="171" t="s">
        <v>55</v>
      </c>
      <c r="Q309" s="399">
        <v>28</v>
      </c>
      <c r="R309" s="396" t="s">
        <v>98</v>
      </c>
      <c r="S309" s="398" t="s">
        <v>38</v>
      </c>
      <c r="U309" s="421">
        <v>2</v>
      </c>
      <c r="V309" s="171" t="s">
        <v>97</v>
      </c>
      <c r="W309" s="171" t="s">
        <v>134</v>
      </c>
      <c r="Y309" s="171">
        <v>42</v>
      </c>
      <c r="Z309" s="460" t="s">
        <v>98</v>
      </c>
      <c r="AA309" s="171" t="s">
        <v>38</v>
      </c>
      <c r="AC309" s="505">
        <v>21</v>
      </c>
      <c r="AD309" s="505" t="s">
        <v>98</v>
      </c>
      <c r="AE309" s="505" t="s">
        <v>38</v>
      </c>
      <c r="AG309" s="171">
        <v>31</v>
      </c>
      <c r="AH309" s="171" t="s">
        <v>97</v>
      </c>
      <c r="AI309" s="171" t="s">
        <v>688</v>
      </c>
      <c r="AK309" s="299">
        <v>35</v>
      </c>
      <c r="AL309" s="299" t="s">
        <v>81</v>
      </c>
      <c r="AM309" s="299" t="s">
        <v>1332</v>
      </c>
      <c r="AO309" s="299">
        <v>28</v>
      </c>
      <c r="AP309" s="299" t="s">
        <v>81</v>
      </c>
      <c r="AQ309" s="299" t="s">
        <v>1369</v>
      </c>
    </row>
    <row r="310" spans="1:43" ht="15" customHeight="1" x14ac:dyDescent="0.25">
      <c r="A310">
        <v>32</v>
      </c>
      <c r="B310" t="s">
        <v>98</v>
      </c>
      <c r="C310" t="s">
        <v>56</v>
      </c>
      <c r="E310" s="72">
        <v>35</v>
      </c>
      <c r="F310" t="s">
        <v>98</v>
      </c>
      <c r="G310" t="s">
        <v>56</v>
      </c>
      <c r="I310" s="171">
        <v>26</v>
      </c>
      <c r="J310" s="171" t="s">
        <v>98</v>
      </c>
      <c r="K310" s="171" t="s">
        <v>38</v>
      </c>
      <c r="M310" s="171">
        <v>32</v>
      </c>
      <c r="N310" s="171" t="s">
        <v>98</v>
      </c>
      <c r="O310" s="171" t="s">
        <v>55</v>
      </c>
      <c r="Q310" s="399">
        <v>35</v>
      </c>
      <c r="R310" s="396" t="s">
        <v>98</v>
      </c>
      <c r="S310" s="398" t="s">
        <v>38</v>
      </c>
      <c r="U310" s="421">
        <v>1</v>
      </c>
      <c r="V310" s="171" t="s">
        <v>97</v>
      </c>
      <c r="W310" s="171" t="s">
        <v>134</v>
      </c>
      <c r="Y310" s="171">
        <v>33</v>
      </c>
      <c r="Z310" s="460" t="s">
        <v>98</v>
      </c>
      <c r="AA310" s="171" t="s">
        <v>38</v>
      </c>
      <c r="AC310" s="505">
        <v>19</v>
      </c>
      <c r="AD310" s="505" t="s">
        <v>98</v>
      </c>
      <c r="AE310" s="505" t="s">
        <v>38</v>
      </c>
      <c r="AG310" s="171">
        <v>24</v>
      </c>
      <c r="AH310" s="171" t="s">
        <v>97</v>
      </c>
      <c r="AI310" s="171" t="s">
        <v>688</v>
      </c>
      <c r="AK310" s="299">
        <v>29</v>
      </c>
      <c r="AL310" s="299" t="s">
        <v>81</v>
      </c>
      <c r="AM310" s="299" t="s">
        <v>1332</v>
      </c>
      <c r="AO310" s="299">
        <v>32</v>
      </c>
      <c r="AP310" s="299" t="s">
        <v>81</v>
      </c>
      <c r="AQ310" s="299" t="s">
        <v>1369</v>
      </c>
    </row>
    <row r="311" spans="1:43" ht="15" customHeight="1" x14ac:dyDescent="0.25">
      <c r="A311">
        <v>38</v>
      </c>
      <c r="B311" t="s">
        <v>98</v>
      </c>
      <c r="C311" t="s">
        <v>56</v>
      </c>
      <c r="E311" s="72">
        <v>35</v>
      </c>
      <c r="F311" t="s">
        <v>98</v>
      </c>
      <c r="G311" t="s">
        <v>56</v>
      </c>
      <c r="I311" s="171">
        <v>22</v>
      </c>
      <c r="J311" s="171" t="s">
        <v>98</v>
      </c>
      <c r="K311" s="171" t="s">
        <v>38</v>
      </c>
      <c r="M311" s="171">
        <v>22</v>
      </c>
      <c r="N311" s="171" t="s">
        <v>98</v>
      </c>
      <c r="O311" s="171" t="s">
        <v>55</v>
      </c>
      <c r="Q311" s="399">
        <v>34</v>
      </c>
      <c r="R311" s="396" t="s">
        <v>98</v>
      </c>
      <c r="S311" s="398" t="s">
        <v>38</v>
      </c>
      <c r="U311" s="421">
        <v>3</v>
      </c>
      <c r="V311" s="171" t="s">
        <v>97</v>
      </c>
      <c r="W311" s="171" t="s">
        <v>134</v>
      </c>
      <c r="Y311" s="171">
        <v>22</v>
      </c>
      <c r="Z311" s="460" t="s">
        <v>98</v>
      </c>
      <c r="AA311" s="171" t="s">
        <v>38</v>
      </c>
      <c r="AC311" s="505">
        <v>38</v>
      </c>
      <c r="AD311" s="505" t="s">
        <v>98</v>
      </c>
      <c r="AE311" s="505" t="s">
        <v>38</v>
      </c>
      <c r="AG311" s="171">
        <v>56</v>
      </c>
      <c r="AH311" s="171" t="s">
        <v>97</v>
      </c>
      <c r="AI311" s="171" t="s">
        <v>688</v>
      </c>
      <c r="AK311" s="299">
        <v>26</v>
      </c>
      <c r="AL311" s="299" t="s">
        <v>81</v>
      </c>
      <c r="AM311" s="299" t="s">
        <v>1332</v>
      </c>
      <c r="AO311" s="299">
        <v>40</v>
      </c>
      <c r="AP311" s="299" t="s">
        <v>81</v>
      </c>
      <c r="AQ311" s="299" t="s">
        <v>1369</v>
      </c>
    </row>
    <row r="312" spans="1:43" ht="15" customHeight="1" x14ac:dyDescent="0.25">
      <c r="A312">
        <v>27</v>
      </c>
      <c r="B312" t="s">
        <v>98</v>
      </c>
      <c r="C312" t="s">
        <v>56</v>
      </c>
      <c r="E312" s="72">
        <v>35</v>
      </c>
      <c r="F312" t="s">
        <v>98</v>
      </c>
      <c r="G312" t="s">
        <v>38</v>
      </c>
      <c r="I312" s="171">
        <v>28</v>
      </c>
      <c r="J312" s="171" t="s">
        <v>98</v>
      </c>
      <c r="K312" s="171" t="s">
        <v>38</v>
      </c>
      <c r="M312" s="171">
        <v>25</v>
      </c>
      <c r="N312" s="171" t="s">
        <v>98</v>
      </c>
      <c r="O312" s="171" t="s">
        <v>55</v>
      </c>
      <c r="Q312" s="399">
        <v>25</v>
      </c>
      <c r="R312" s="396" t="s">
        <v>98</v>
      </c>
      <c r="S312" s="398" t="s">
        <v>38</v>
      </c>
      <c r="U312" s="421">
        <v>7</v>
      </c>
      <c r="V312" s="171" t="s">
        <v>97</v>
      </c>
      <c r="W312" s="171" t="s">
        <v>134</v>
      </c>
      <c r="Y312" s="171">
        <v>19</v>
      </c>
      <c r="Z312" s="460" t="s">
        <v>98</v>
      </c>
      <c r="AA312" s="171" t="s">
        <v>38</v>
      </c>
      <c r="AC312" s="505">
        <v>23</v>
      </c>
      <c r="AD312" s="505" t="s">
        <v>98</v>
      </c>
      <c r="AE312" s="505" t="s">
        <v>38</v>
      </c>
      <c r="AG312" s="171">
        <v>18</v>
      </c>
      <c r="AH312" s="171" t="s">
        <v>97</v>
      </c>
      <c r="AI312" s="171" t="s">
        <v>688</v>
      </c>
      <c r="AK312" s="299">
        <v>27</v>
      </c>
      <c r="AL312" s="299" t="s">
        <v>81</v>
      </c>
      <c r="AM312" s="299" t="s">
        <v>1332</v>
      </c>
      <c r="AO312" s="299">
        <v>33</v>
      </c>
      <c r="AP312" s="299" t="s">
        <v>81</v>
      </c>
      <c r="AQ312" s="299" t="s">
        <v>1369</v>
      </c>
    </row>
    <row r="313" spans="1:43" ht="15" customHeight="1" x14ac:dyDescent="0.25">
      <c r="A313">
        <v>24</v>
      </c>
      <c r="B313" t="s">
        <v>98</v>
      </c>
      <c r="C313" t="s">
        <v>56</v>
      </c>
      <c r="E313" s="72">
        <v>35</v>
      </c>
      <c r="F313" t="s">
        <v>98</v>
      </c>
      <c r="G313" t="s">
        <v>38</v>
      </c>
      <c r="I313" s="171">
        <v>20</v>
      </c>
      <c r="J313" s="171" t="s">
        <v>98</v>
      </c>
      <c r="K313" s="171" t="s">
        <v>38</v>
      </c>
      <c r="M313" s="171">
        <v>35</v>
      </c>
      <c r="N313" s="171" t="s">
        <v>98</v>
      </c>
      <c r="O313" s="171" t="s">
        <v>55</v>
      </c>
      <c r="Q313" s="399">
        <v>43</v>
      </c>
      <c r="R313" s="396" t="s">
        <v>98</v>
      </c>
      <c r="S313" s="398" t="s">
        <v>38</v>
      </c>
      <c r="U313" s="421">
        <v>1</v>
      </c>
      <c r="V313" s="171" t="s">
        <v>98</v>
      </c>
      <c r="W313" s="171" t="s">
        <v>134</v>
      </c>
      <c r="Y313" s="171">
        <v>17</v>
      </c>
      <c r="Z313" s="460" t="s">
        <v>98</v>
      </c>
      <c r="AA313" s="171" t="s">
        <v>38</v>
      </c>
      <c r="AC313" s="505">
        <v>23</v>
      </c>
      <c r="AD313" s="505" t="s">
        <v>98</v>
      </c>
      <c r="AE313" s="505" t="s">
        <v>38</v>
      </c>
      <c r="AG313" s="171">
        <v>17</v>
      </c>
      <c r="AH313" s="171" t="s">
        <v>97</v>
      </c>
      <c r="AI313" s="171" t="s">
        <v>688</v>
      </c>
      <c r="AK313" s="299">
        <v>36</v>
      </c>
      <c r="AL313" s="299" t="s">
        <v>81</v>
      </c>
      <c r="AM313" s="299" t="s">
        <v>1332</v>
      </c>
      <c r="AO313" s="299">
        <v>32</v>
      </c>
      <c r="AP313" s="299" t="s">
        <v>81</v>
      </c>
      <c r="AQ313" s="299" t="s">
        <v>1369</v>
      </c>
    </row>
    <row r="314" spans="1:43" ht="15" customHeight="1" x14ac:dyDescent="0.25">
      <c r="A314">
        <v>39</v>
      </c>
      <c r="B314" t="s">
        <v>98</v>
      </c>
      <c r="C314" t="s">
        <v>56</v>
      </c>
      <c r="E314" s="72">
        <v>35</v>
      </c>
      <c r="F314" t="s">
        <v>97</v>
      </c>
      <c r="G314" t="s">
        <v>122</v>
      </c>
      <c r="I314" s="171">
        <v>38</v>
      </c>
      <c r="J314" s="171" t="s">
        <v>98</v>
      </c>
      <c r="K314" s="171" t="s">
        <v>38</v>
      </c>
      <c r="M314" s="171">
        <v>18</v>
      </c>
      <c r="N314" s="171" t="s">
        <v>98</v>
      </c>
      <c r="O314" s="171" t="s">
        <v>55</v>
      </c>
      <c r="Q314" s="399">
        <v>25</v>
      </c>
      <c r="R314" s="396" t="s">
        <v>98</v>
      </c>
      <c r="S314" s="398" t="s">
        <v>38</v>
      </c>
      <c r="U314" s="421">
        <v>1</v>
      </c>
      <c r="V314" s="171" t="s">
        <v>98</v>
      </c>
      <c r="W314" s="171" t="s">
        <v>134</v>
      </c>
      <c r="Y314" s="171">
        <v>18</v>
      </c>
      <c r="Z314" s="460" t="s">
        <v>98</v>
      </c>
      <c r="AA314" s="171" t="s">
        <v>38</v>
      </c>
      <c r="AC314" s="505">
        <v>28</v>
      </c>
      <c r="AD314" s="505" t="s">
        <v>98</v>
      </c>
      <c r="AE314" s="505" t="s">
        <v>38</v>
      </c>
      <c r="AG314" s="171">
        <v>31</v>
      </c>
      <c r="AH314" s="171" t="s">
        <v>98</v>
      </c>
      <c r="AI314" s="171" t="s">
        <v>688</v>
      </c>
      <c r="AK314" s="299">
        <v>29</v>
      </c>
      <c r="AL314" s="299" t="s">
        <v>81</v>
      </c>
      <c r="AM314" s="299" t="s">
        <v>1332</v>
      </c>
      <c r="AO314" s="299">
        <v>31</v>
      </c>
      <c r="AP314" s="299" t="s">
        <v>81</v>
      </c>
      <c r="AQ314" s="299" t="s">
        <v>1369</v>
      </c>
    </row>
    <row r="315" spans="1:43" ht="15" customHeight="1" x14ac:dyDescent="0.25">
      <c r="A315">
        <v>22</v>
      </c>
      <c r="B315" t="s">
        <v>98</v>
      </c>
      <c r="C315" t="s">
        <v>56</v>
      </c>
      <c r="E315" s="72">
        <v>35</v>
      </c>
      <c r="F315" t="s">
        <v>98</v>
      </c>
      <c r="G315" t="s">
        <v>123</v>
      </c>
      <c r="I315" s="171">
        <v>18</v>
      </c>
      <c r="J315" s="171" t="s">
        <v>98</v>
      </c>
      <c r="K315" s="171" t="s">
        <v>38</v>
      </c>
      <c r="M315" s="171">
        <v>32</v>
      </c>
      <c r="N315" s="171" t="s">
        <v>98</v>
      </c>
      <c r="O315" s="171" t="s">
        <v>55</v>
      </c>
      <c r="Q315" s="399">
        <v>42</v>
      </c>
      <c r="R315" s="396" t="s">
        <v>98</v>
      </c>
      <c r="S315" s="398" t="s">
        <v>38</v>
      </c>
      <c r="U315" s="421">
        <v>2</v>
      </c>
      <c r="V315" s="171" t="s">
        <v>98</v>
      </c>
      <c r="W315" s="171" t="s">
        <v>134</v>
      </c>
      <c r="Y315" s="171">
        <v>49</v>
      </c>
      <c r="Z315" s="460" t="s">
        <v>98</v>
      </c>
      <c r="AA315" s="171" t="s">
        <v>38</v>
      </c>
      <c r="AC315" s="505">
        <v>19</v>
      </c>
      <c r="AD315" s="505" t="s">
        <v>98</v>
      </c>
      <c r="AE315" s="505" t="s">
        <v>38</v>
      </c>
      <c r="AG315" s="171">
        <v>35</v>
      </c>
      <c r="AH315" s="171" t="s">
        <v>97</v>
      </c>
      <c r="AI315" s="171" t="s">
        <v>688</v>
      </c>
      <c r="AK315" s="299">
        <v>16</v>
      </c>
      <c r="AL315" s="299" t="s">
        <v>81</v>
      </c>
      <c r="AM315" s="299" t="s">
        <v>1332</v>
      </c>
      <c r="AO315" s="299">
        <v>41</v>
      </c>
      <c r="AP315" s="299" t="s">
        <v>81</v>
      </c>
      <c r="AQ315" s="299" t="s">
        <v>1369</v>
      </c>
    </row>
    <row r="316" spans="1:43" ht="15" customHeight="1" x14ac:dyDescent="0.25">
      <c r="A316">
        <v>27</v>
      </c>
      <c r="B316" t="s">
        <v>98</v>
      </c>
      <c r="C316" t="s">
        <v>56</v>
      </c>
      <c r="E316" s="72">
        <v>34</v>
      </c>
      <c r="F316" t="s">
        <v>97</v>
      </c>
      <c r="G316" t="s">
        <v>688</v>
      </c>
      <c r="I316" s="171">
        <v>25</v>
      </c>
      <c r="J316" s="171" t="s">
        <v>98</v>
      </c>
      <c r="K316" s="171" t="s">
        <v>38</v>
      </c>
      <c r="M316" s="171">
        <v>26</v>
      </c>
      <c r="N316" s="171" t="s">
        <v>98</v>
      </c>
      <c r="O316" s="171" t="s">
        <v>55</v>
      </c>
      <c r="Q316" s="399">
        <v>34</v>
      </c>
      <c r="R316" s="396" t="s">
        <v>98</v>
      </c>
      <c r="S316" s="398" t="s">
        <v>38</v>
      </c>
      <c r="U316" s="421">
        <v>8</v>
      </c>
      <c r="V316" s="171" t="s">
        <v>98</v>
      </c>
      <c r="W316" s="171" t="s">
        <v>134</v>
      </c>
      <c r="Y316" s="171">
        <v>25</v>
      </c>
      <c r="Z316" s="460" t="s">
        <v>98</v>
      </c>
      <c r="AA316" s="171" t="s">
        <v>38</v>
      </c>
      <c r="AC316" s="505">
        <v>30</v>
      </c>
      <c r="AD316" s="505" t="s">
        <v>98</v>
      </c>
      <c r="AE316" s="505" t="s">
        <v>38</v>
      </c>
      <c r="AG316" s="171">
        <v>75</v>
      </c>
      <c r="AH316" s="171" t="s">
        <v>98</v>
      </c>
      <c r="AI316" s="171" t="s">
        <v>688</v>
      </c>
      <c r="AK316" s="299">
        <v>17</v>
      </c>
      <c r="AL316" s="299" t="s">
        <v>81</v>
      </c>
      <c r="AM316" s="299" t="s">
        <v>1332</v>
      </c>
      <c r="AO316" s="299">
        <v>17</v>
      </c>
      <c r="AP316" s="299" t="s">
        <v>81</v>
      </c>
      <c r="AQ316" s="299" t="s">
        <v>1369</v>
      </c>
    </row>
    <row r="317" spans="1:43" ht="15" customHeight="1" x14ac:dyDescent="0.25">
      <c r="A317">
        <v>35</v>
      </c>
      <c r="B317" t="s">
        <v>98</v>
      </c>
      <c r="C317" t="s">
        <v>56</v>
      </c>
      <c r="E317" s="72">
        <v>34</v>
      </c>
      <c r="F317" t="s">
        <v>97</v>
      </c>
      <c r="G317" t="s">
        <v>688</v>
      </c>
      <c r="I317" s="171">
        <v>28</v>
      </c>
      <c r="J317" s="171" t="s">
        <v>98</v>
      </c>
      <c r="K317" s="171" t="s">
        <v>38</v>
      </c>
      <c r="M317" s="171">
        <v>31</v>
      </c>
      <c r="N317" s="171" t="s">
        <v>98</v>
      </c>
      <c r="O317" s="171" t="s">
        <v>55</v>
      </c>
      <c r="Q317" s="399">
        <v>24</v>
      </c>
      <c r="R317" s="396" t="s">
        <v>98</v>
      </c>
      <c r="S317" s="398" t="s">
        <v>38</v>
      </c>
      <c r="U317" s="421">
        <v>9</v>
      </c>
      <c r="V317" s="171" t="s">
        <v>98</v>
      </c>
      <c r="W317" s="171" t="s">
        <v>134</v>
      </c>
      <c r="Y317" s="171">
        <v>43</v>
      </c>
      <c r="Z317" s="460" t="s">
        <v>98</v>
      </c>
      <c r="AA317" s="171" t="s">
        <v>38</v>
      </c>
      <c r="AC317" s="505">
        <v>36</v>
      </c>
      <c r="AD317" s="505" t="s">
        <v>98</v>
      </c>
      <c r="AE317" s="505" t="s">
        <v>38</v>
      </c>
      <c r="AG317" s="171">
        <v>3</v>
      </c>
      <c r="AH317" s="171" t="s">
        <v>98</v>
      </c>
      <c r="AI317" s="171" t="s">
        <v>688</v>
      </c>
      <c r="AK317" s="299">
        <v>21</v>
      </c>
      <c r="AL317" s="299" t="s">
        <v>81</v>
      </c>
      <c r="AM317" s="299" t="s">
        <v>1332</v>
      </c>
      <c r="AO317" s="299">
        <v>20</v>
      </c>
      <c r="AP317" s="299" t="s">
        <v>81</v>
      </c>
      <c r="AQ317" s="299" t="s">
        <v>1369</v>
      </c>
    </row>
    <row r="318" spans="1:43" ht="15" customHeight="1" x14ac:dyDescent="0.25">
      <c r="A318">
        <v>33</v>
      </c>
      <c r="B318" t="s">
        <v>98</v>
      </c>
      <c r="C318" t="s">
        <v>56</v>
      </c>
      <c r="E318" s="72">
        <v>34</v>
      </c>
      <c r="F318" t="s">
        <v>98</v>
      </c>
      <c r="G318" t="s">
        <v>56</v>
      </c>
      <c r="I318" s="171">
        <v>46</v>
      </c>
      <c r="J318" s="171" t="s">
        <v>98</v>
      </c>
      <c r="K318" s="171" t="s">
        <v>38</v>
      </c>
      <c r="M318" s="171">
        <v>41</v>
      </c>
      <c r="N318" s="171" t="s">
        <v>98</v>
      </c>
      <c r="O318" s="171" t="s">
        <v>55</v>
      </c>
      <c r="Q318" s="399">
        <v>22</v>
      </c>
      <c r="R318" s="396" t="s">
        <v>98</v>
      </c>
      <c r="S318" s="398" t="s">
        <v>38</v>
      </c>
      <c r="U318" s="421">
        <v>3</v>
      </c>
      <c r="V318" s="171" t="s">
        <v>97</v>
      </c>
      <c r="W318" s="171" t="s">
        <v>134</v>
      </c>
      <c r="Y318" s="171">
        <v>26</v>
      </c>
      <c r="Z318" s="460" t="s">
        <v>98</v>
      </c>
      <c r="AA318" s="171" t="s">
        <v>38</v>
      </c>
      <c r="AC318" s="505">
        <v>35</v>
      </c>
      <c r="AD318" s="505" t="s">
        <v>98</v>
      </c>
      <c r="AE318" s="505" t="s">
        <v>38</v>
      </c>
      <c r="AG318" s="171">
        <v>69</v>
      </c>
      <c r="AH318" s="171" t="s">
        <v>98</v>
      </c>
      <c r="AI318" s="171" t="s">
        <v>688</v>
      </c>
      <c r="AK318" s="299">
        <v>42</v>
      </c>
      <c r="AL318" s="299" t="s">
        <v>81</v>
      </c>
      <c r="AM318" s="299" t="s">
        <v>1332</v>
      </c>
      <c r="AO318" s="299">
        <v>32</v>
      </c>
      <c r="AP318" s="299" t="s">
        <v>81</v>
      </c>
      <c r="AQ318" s="299" t="s">
        <v>1369</v>
      </c>
    </row>
    <row r="319" spans="1:43" ht="15" customHeight="1" x14ac:dyDescent="0.25">
      <c r="A319">
        <v>24</v>
      </c>
      <c r="B319" t="s">
        <v>98</v>
      </c>
      <c r="C319" t="s">
        <v>56</v>
      </c>
      <c r="E319" s="72">
        <v>34</v>
      </c>
      <c r="F319" t="s">
        <v>98</v>
      </c>
      <c r="G319" t="s">
        <v>38</v>
      </c>
      <c r="I319" s="171">
        <v>44</v>
      </c>
      <c r="J319" s="171" t="s">
        <v>98</v>
      </c>
      <c r="K319" s="171" t="s">
        <v>38</v>
      </c>
      <c r="M319" s="171">
        <v>21</v>
      </c>
      <c r="N319" s="171" t="s">
        <v>98</v>
      </c>
      <c r="O319" s="171" t="s">
        <v>55</v>
      </c>
      <c r="Q319" s="399">
        <v>20</v>
      </c>
      <c r="R319" s="396" t="s">
        <v>98</v>
      </c>
      <c r="S319" s="398" t="s">
        <v>38</v>
      </c>
      <c r="U319" s="421" t="s">
        <v>707</v>
      </c>
      <c r="V319" s="171" t="s">
        <v>97</v>
      </c>
      <c r="W319" s="171" t="s">
        <v>134</v>
      </c>
      <c r="Y319" s="171">
        <v>26</v>
      </c>
      <c r="Z319" s="460" t="s">
        <v>98</v>
      </c>
      <c r="AA319" s="171" t="s">
        <v>38</v>
      </c>
      <c r="AC319" s="505">
        <v>49</v>
      </c>
      <c r="AD319" s="505" t="s">
        <v>98</v>
      </c>
      <c r="AE319" s="505" t="s">
        <v>38</v>
      </c>
      <c r="AG319" s="171">
        <v>30</v>
      </c>
      <c r="AH319" s="171" t="s">
        <v>98</v>
      </c>
      <c r="AI319" s="171" t="s">
        <v>688</v>
      </c>
      <c r="AK319" s="299">
        <v>30</v>
      </c>
      <c r="AL319" s="299" t="s">
        <v>81</v>
      </c>
      <c r="AM319" s="299" t="s">
        <v>1332</v>
      </c>
      <c r="AO319" s="299">
        <v>37</v>
      </c>
      <c r="AP319" s="299" t="s">
        <v>81</v>
      </c>
      <c r="AQ319" s="299" t="s">
        <v>1369</v>
      </c>
    </row>
    <row r="320" spans="1:43" ht="15" customHeight="1" x14ac:dyDescent="0.25">
      <c r="A320">
        <v>35</v>
      </c>
      <c r="B320" t="s">
        <v>98</v>
      </c>
      <c r="C320" t="s">
        <v>56</v>
      </c>
      <c r="E320" s="72">
        <v>34</v>
      </c>
      <c r="F320" t="s">
        <v>98</v>
      </c>
      <c r="G320" t="s">
        <v>38</v>
      </c>
      <c r="I320" s="171">
        <v>40</v>
      </c>
      <c r="J320" s="171" t="s">
        <v>98</v>
      </c>
      <c r="K320" s="171" t="s">
        <v>38</v>
      </c>
      <c r="M320" s="171">
        <v>19</v>
      </c>
      <c r="N320" s="171" t="s">
        <v>98</v>
      </c>
      <c r="O320" s="171" t="s">
        <v>55</v>
      </c>
      <c r="Q320" s="399">
        <v>25</v>
      </c>
      <c r="R320" s="396" t="s">
        <v>98</v>
      </c>
      <c r="S320" s="398" t="s">
        <v>38</v>
      </c>
      <c r="U320" s="421" t="s">
        <v>705</v>
      </c>
      <c r="V320" s="171" t="s">
        <v>97</v>
      </c>
      <c r="W320" s="171" t="s">
        <v>134</v>
      </c>
      <c r="Y320" s="171">
        <v>33</v>
      </c>
      <c r="Z320" s="460" t="s">
        <v>98</v>
      </c>
      <c r="AA320" s="171" t="s">
        <v>38</v>
      </c>
      <c r="AC320" s="505">
        <v>37</v>
      </c>
      <c r="AD320" s="505" t="s">
        <v>98</v>
      </c>
      <c r="AE320" s="505" t="s">
        <v>38</v>
      </c>
      <c r="AG320" s="171">
        <v>80</v>
      </c>
      <c r="AH320" s="171" t="s">
        <v>97</v>
      </c>
      <c r="AI320" s="171" t="s">
        <v>688</v>
      </c>
      <c r="AK320" s="299">
        <v>26</v>
      </c>
      <c r="AL320" s="299" t="s">
        <v>81</v>
      </c>
      <c r="AM320" s="299" t="s">
        <v>1332</v>
      </c>
      <c r="AO320" s="299">
        <v>33</v>
      </c>
      <c r="AP320" s="299" t="s">
        <v>81</v>
      </c>
      <c r="AQ320" s="299" t="s">
        <v>1369</v>
      </c>
    </row>
    <row r="321" spans="1:43" ht="15" customHeight="1" x14ac:dyDescent="0.25">
      <c r="A321">
        <v>24</v>
      </c>
      <c r="B321" t="s">
        <v>98</v>
      </c>
      <c r="C321" t="s">
        <v>56</v>
      </c>
      <c r="E321" s="72">
        <v>34</v>
      </c>
      <c r="F321" t="s">
        <v>98</v>
      </c>
      <c r="G321" t="s">
        <v>38</v>
      </c>
      <c r="I321" s="171">
        <v>40</v>
      </c>
      <c r="J321" s="171" t="s">
        <v>98</v>
      </c>
      <c r="K321" s="171" t="s">
        <v>38</v>
      </c>
      <c r="M321" s="171">
        <v>22</v>
      </c>
      <c r="N321" s="171" t="s">
        <v>98</v>
      </c>
      <c r="O321" s="171" t="s">
        <v>55</v>
      </c>
      <c r="Q321" s="399">
        <v>31</v>
      </c>
      <c r="R321" s="396" t="s">
        <v>98</v>
      </c>
      <c r="S321" s="398" t="s">
        <v>38</v>
      </c>
      <c r="U321" s="421" t="s">
        <v>705</v>
      </c>
      <c r="V321" s="171" t="s">
        <v>98</v>
      </c>
      <c r="W321" s="171" t="s">
        <v>134</v>
      </c>
      <c r="Y321" s="171">
        <v>22</v>
      </c>
      <c r="Z321" s="460" t="s">
        <v>98</v>
      </c>
      <c r="AA321" s="171" t="s">
        <v>38</v>
      </c>
      <c r="AC321" s="505">
        <v>25</v>
      </c>
      <c r="AD321" s="505" t="s">
        <v>98</v>
      </c>
      <c r="AE321" s="505" t="s">
        <v>38</v>
      </c>
      <c r="AG321" s="171">
        <v>88</v>
      </c>
      <c r="AH321" s="171" t="s">
        <v>97</v>
      </c>
      <c r="AI321" s="171" t="s">
        <v>688</v>
      </c>
      <c r="AK321" s="299">
        <v>21</v>
      </c>
      <c r="AL321" s="299" t="s">
        <v>81</v>
      </c>
      <c r="AM321" s="299" t="s">
        <v>1332</v>
      </c>
      <c r="AO321" s="299">
        <v>35</v>
      </c>
      <c r="AP321" s="299" t="s">
        <v>81</v>
      </c>
      <c r="AQ321" s="299" t="s">
        <v>1369</v>
      </c>
    </row>
    <row r="322" spans="1:43" ht="15" customHeight="1" x14ac:dyDescent="0.25">
      <c r="A322">
        <v>22</v>
      </c>
      <c r="B322" t="s">
        <v>98</v>
      </c>
      <c r="C322" t="s">
        <v>56</v>
      </c>
      <c r="E322" s="72">
        <v>34</v>
      </c>
      <c r="F322" t="s">
        <v>98</v>
      </c>
      <c r="G322" t="s">
        <v>123</v>
      </c>
      <c r="I322" s="171">
        <v>39</v>
      </c>
      <c r="J322" s="171" t="s">
        <v>98</v>
      </c>
      <c r="K322" s="171" t="s">
        <v>38</v>
      </c>
      <c r="M322" s="171">
        <v>20</v>
      </c>
      <c r="N322" s="171" t="s">
        <v>98</v>
      </c>
      <c r="O322" s="171" t="s">
        <v>55</v>
      </c>
      <c r="Q322" s="399">
        <v>26</v>
      </c>
      <c r="R322" s="396" t="s">
        <v>98</v>
      </c>
      <c r="S322" s="398" t="s">
        <v>38</v>
      </c>
      <c r="U322" s="421" t="s">
        <v>705</v>
      </c>
      <c r="V322" s="171" t="s">
        <v>98</v>
      </c>
      <c r="W322" s="171" t="s">
        <v>134</v>
      </c>
      <c r="Y322" s="171">
        <v>31</v>
      </c>
      <c r="Z322" s="460" t="s">
        <v>98</v>
      </c>
      <c r="AA322" s="171" t="s">
        <v>38</v>
      </c>
      <c r="AC322" s="505">
        <v>37</v>
      </c>
      <c r="AD322" s="505" t="s">
        <v>98</v>
      </c>
      <c r="AE322" s="505" t="s">
        <v>38</v>
      </c>
      <c r="AG322" s="171">
        <v>57</v>
      </c>
      <c r="AH322" s="171" t="s">
        <v>98</v>
      </c>
      <c r="AI322" s="171" t="s">
        <v>688</v>
      </c>
      <c r="AK322" s="299">
        <v>37</v>
      </c>
      <c r="AL322" s="299" t="s">
        <v>81</v>
      </c>
      <c r="AM322" s="299" t="s">
        <v>1332</v>
      </c>
      <c r="AO322" s="299">
        <v>24</v>
      </c>
      <c r="AP322" s="299" t="s">
        <v>81</v>
      </c>
      <c r="AQ322" s="299" t="s">
        <v>1369</v>
      </c>
    </row>
    <row r="323" spans="1:43" ht="15" customHeight="1" x14ac:dyDescent="0.25">
      <c r="A323">
        <v>39</v>
      </c>
      <c r="B323" t="s">
        <v>98</v>
      </c>
      <c r="C323" t="s">
        <v>56</v>
      </c>
      <c r="E323" s="72">
        <v>33</v>
      </c>
      <c r="F323" t="s">
        <v>97</v>
      </c>
      <c r="G323" t="s">
        <v>688</v>
      </c>
      <c r="I323" s="171">
        <v>27</v>
      </c>
      <c r="J323" s="171" t="s">
        <v>98</v>
      </c>
      <c r="K323" s="171" t="s">
        <v>38</v>
      </c>
      <c r="M323" s="171">
        <v>30</v>
      </c>
      <c r="N323" s="171" t="s">
        <v>98</v>
      </c>
      <c r="O323" s="171" t="s">
        <v>55</v>
      </c>
      <c r="Q323" s="399">
        <v>36</v>
      </c>
      <c r="R323" s="396" t="s">
        <v>98</v>
      </c>
      <c r="S323" s="398" t="s">
        <v>38</v>
      </c>
      <c r="U323" s="421">
        <v>3</v>
      </c>
      <c r="V323" s="171" t="s">
        <v>97</v>
      </c>
      <c r="W323" s="171" t="s">
        <v>134</v>
      </c>
      <c r="Y323" s="171">
        <v>32</v>
      </c>
      <c r="Z323" s="460" t="s">
        <v>98</v>
      </c>
      <c r="AA323" s="171" t="s">
        <v>38</v>
      </c>
      <c r="AC323" s="505">
        <v>34</v>
      </c>
      <c r="AD323" s="505" t="s">
        <v>98</v>
      </c>
      <c r="AE323" s="505" t="s">
        <v>38</v>
      </c>
      <c r="AG323" s="171">
        <v>69</v>
      </c>
      <c r="AH323" s="171" t="s">
        <v>97</v>
      </c>
      <c r="AI323" s="171" t="s">
        <v>688</v>
      </c>
      <c r="AK323" s="299">
        <v>33</v>
      </c>
      <c r="AL323" s="299" t="s">
        <v>81</v>
      </c>
      <c r="AM323" s="299" t="s">
        <v>1332</v>
      </c>
      <c r="AO323" s="299">
        <v>36</v>
      </c>
      <c r="AP323" s="299" t="s">
        <v>81</v>
      </c>
      <c r="AQ323" s="299" t="s">
        <v>1369</v>
      </c>
    </row>
    <row r="324" spans="1:43" ht="15" customHeight="1" x14ac:dyDescent="0.25">
      <c r="A324">
        <v>19</v>
      </c>
      <c r="B324" t="s">
        <v>98</v>
      </c>
      <c r="C324" t="s">
        <v>56</v>
      </c>
      <c r="E324" s="72">
        <v>33</v>
      </c>
      <c r="F324" t="s">
        <v>98</v>
      </c>
      <c r="G324" t="s">
        <v>688</v>
      </c>
      <c r="I324" s="171">
        <v>40</v>
      </c>
      <c r="J324" s="171" t="s">
        <v>98</v>
      </c>
      <c r="K324" s="171" t="s">
        <v>38</v>
      </c>
      <c r="M324" s="171">
        <v>26</v>
      </c>
      <c r="N324" s="171" t="s">
        <v>98</v>
      </c>
      <c r="O324" s="171" t="s">
        <v>55</v>
      </c>
      <c r="Q324" s="399">
        <v>23</v>
      </c>
      <c r="R324" s="396" t="s">
        <v>98</v>
      </c>
      <c r="S324" s="398" t="s">
        <v>38</v>
      </c>
      <c r="U324" s="421">
        <v>7</v>
      </c>
      <c r="V324" s="171" t="s">
        <v>98</v>
      </c>
      <c r="W324" s="171" t="s">
        <v>134</v>
      </c>
      <c r="Y324" s="171">
        <v>24</v>
      </c>
      <c r="Z324" s="460" t="s">
        <v>98</v>
      </c>
      <c r="AA324" s="171" t="s">
        <v>38</v>
      </c>
      <c r="AC324" s="505">
        <v>41</v>
      </c>
      <c r="AD324" s="505" t="s">
        <v>98</v>
      </c>
      <c r="AE324" s="505" t="s">
        <v>38</v>
      </c>
      <c r="AG324" s="171">
        <v>62</v>
      </c>
      <c r="AH324" s="171" t="s">
        <v>98</v>
      </c>
      <c r="AI324" s="171" t="s">
        <v>688</v>
      </c>
      <c r="AK324" s="299">
        <v>26</v>
      </c>
      <c r="AL324" s="299" t="s">
        <v>81</v>
      </c>
      <c r="AM324" s="299" t="s">
        <v>1332</v>
      </c>
      <c r="AO324" s="299">
        <v>36</v>
      </c>
      <c r="AP324" s="299" t="s">
        <v>81</v>
      </c>
      <c r="AQ324" s="299" t="s">
        <v>1369</v>
      </c>
    </row>
    <row r="325" spans="1:43" ht="15" customHeight="1" x14ac:dyDescent="0.25">
      <c r="A325">
        <v>45</v>
      </c>
      <c r="B325" t="s">
        <v>98</v>
      </c>
      <c r="C325" t="s">
        <v>56</v>
      </c>
      <c r="E325" s="72">
        <v>33</v>
      </c>
      <c r="F325" t="s">
        <v>98</v>
      </c>
      <c r="G325" t="s">
        <v>55</v>
      </c>
      <c r="I325" s="171">
        <v>31</v>
      </c>
      <c r="J325" s="171" t="s">
        <v>98</v>
      </c>
      <c r="K325" s="171" t="s">
        <v>38</v>
      </c>
      <c r="M325" s="171">
        <v>22</v>
      </c>
      <c r="N325" s="171" t="s">
        <v>98</v>
      </c>
      <c r="O325" s="171" t="s">
        <v>55</v>
      </c>
      <c r="Q325" s="399">
        <v>33</v>
      </c>
      <c r="R325" s="396" t="s">
        <v>98</v>
      </c>
      <c r="S325" s="398" t="s">
        <v>38</v>
      </c>
      <c r="U325" s="421">
        <v>4</v>
      </c>
      <c r="V325" s="171" t="s">
        <v>97</v>
      </c>
      <c r="W325" s="171" t="s">
        <v>134</v>
      </c>
      <c r="Y325" s="171">
        <v>22</v>
      </c>
      <c r="Z325" s="460" t="s">
        <v>98</v>
      </c>
      <c r="AA325" s="171" t="s">
        <v>38</v>
      </c>
      <c r="AC325" s="505">
        <v>28</v>
      </c>
      <c r="AD325" s="505" t="s">
        <v>98</v>
      </c>
      <c r="AE325" s="505" t="s">
        <v>38</v>
      </c>
      <c r="AG325" s="171">
        <v>43</v>
      </c>
      <c r="AH325" s="171" t="s">
        <v>97</v>
      </c>
      <c r="AI325" s="171" t="s">
        <v>688</v>
      </c>
      <c r="AK325" s="299">
        <v>19</v>
      </c>
      <c r="AL325" s="299" t="s">
        <v>81</v>
      </c>
      <c r="AM325" s="299" t="s">
        <v>1332</v>
      </c>
      <c r="AO325" s="299">
        <v>40</v>
      </c>
      <c r="AP325" s="299" t="s">
        <v>81</v>
      </c>
      <c r="AQ325" s="299" t="s">
        <v>1369</v>
      </c>
    </row>
    <row r="326" spans="1:43" ht="15" customHeight="1" x14ac:dyDescent="0.25">
      <c r="A326">
        <v>41</v>
      </c>
      <c r="B326" t="s">
        <v>98</v>
      </c>
      <c r="C326" t="s">
        <v>56</v>
      </c>
      <c r="E326" s="72">
        <v>33</v>
      </c>
      <c r="F326" t="s">
        <v>98</v>
      </c>
      <c r="G326" t="s">
        <v>55</v>
      </c>
      <c r="I326" s="171">
        <v>45</v>
      </c>
      <c r="J326" s="171" t="s">
        <v>98</v>
      </c>
      <c r="K326" s="171" t="s">
        <v>38</v>
      </c>
      <c r="M326" s="171">
        <v>85</v>
      </c>
      <c r="N326" s="171" t="s">
        <v>97</v>
      </c>
      <c r="O326" s="171" t="s">
        <v>688</v>
      </c>
      <c r="Q326" s="399">
        <v>26</v>
      </c>
      <c r="R326" s="396" t="s">
        <v>98</v>
      </c>
      <c r="S326" s="398" t="s">
        <v>38</v>
      </c>
      <c r="U326" s="421">
        <v>11</v>
      </c>
      <c r="V326" s="171" t="s">
        <v>98</v>
      </c>
      <c r="W326" s="171" t="s">
        <v>134</v>
      </c>
      <c r="Y326" s="171">
        <v>22</v>
      </c>
      <c r="Z326" s="460" t="s">
        <v>98</v>
      </c>
      <c r="AA326" s="171" t="s">
        <v>38</v>
      </c>
      <c r="AC326" s="505">
        <v>22</v>
      </c>
      <c r="AD326" s="505" t="s">
        <v>98</v>
      </c>
      <c r="AE326" s="505" t="s">
        <v>38</v>
      </c>
      <c r="AG326" s="171">
        <v>34</v>
      </c>
      <c r="AH326" s="171" t="s">
        <v>97</v>
      </c>
      <c r="AI326" s="171" t="s">
        <v>688</v>
      </c>
      <c r="AK326" s="299">
        <v>33</v>
      </c>
      <c r="AL326" s="299" t="s">
        <v>81</v>
      </c>
      <c r="AM326" s="299" t="s">
        <v>1332</v>
      </c>
      <c r="AO326" s="299">
        <v>31</v>
      </c>
      <c r="AP326" s="299" t="s">
        <v>81</v>
      </c>
      <c r="AQ326" s="299" t="s">
        <v>1369</v>
      </c>
    </row>
    <row r="327" spans="1:43" ht="15" customHeight="1" x14ac:dyDescent="0.25">
      <c r="A327">
        <v>30</v>
      </c>
      <c r="B327" t="s">
        <v>98</v>
      </c>
      <c r="C327" t="s">
        <v>56</v>
      </c>
      <c r="E327" s="72">
        <v>33</v>
      </c>
      <c r="F327" t="s">
        <v>98</v>
      </c>
      <c r="G327" t="s">
        <v>55</v>
      </c>
      <c r="I327" s="171">
        <v>30</v>
      </c>
      <c r="J327" s="171" t="s">
        <v>98</v>
      </c>
      <c r="K327" s="171" t="s">
        <v>38</v>
      </c>
      <c r="M327" s="171">
        <v>19</v>
      </c>
      <c r="N327" s="171" t="s">
        <v>98</v>
      </c>
      <c r="O327" s="171" t="s">
        <v>688</v>
      </c>
      <c r="Q327" s="396">
        <v>39</v>
      </c>
      <c r="R327" s="396" t="s">
        <v>98</v>
      </c>
      <c r="S327" s="398" t="s">
        <v>56</v>
      </c>
      <c r="U327" s="421" t="s">
        <v>706</v>
      </c>
      <c r="V327" s="171" t="s">
        <v>97</v>
      </c>
      <c r="W327" s="171" t="s">
        <v>134</v>
      </c>
      <c r="Y327" s="171">
        <v>24</v>
      </c>
      <c r="Z327" s="460" t="s">
        <v>98</v>
      </c>
      <c r="AA327" s="171" t="s">
        <v>38</v>
      </c>
      <c r="AC327" s="505">
        <v>35</v>
      </c>
      <c r="AD327" s="505" t="s">
        <v>98</v>
      </c>
      <c r="AE327" s="505" t="s">
        <v>38</v>
      </c>
      <c r="AG327" s="171">
        <v>87</v>
      </c>
      <c r="AH327" s="171" t="s">
        <v>97</v>
      </c>
      <c r="AI327" s="171" t="s">
        <v>688</v>
      </c>
      <c r="AK327" s="299">
        <v>22</v>
      </c>
      <c r="AL327" s="299" t="s">
        <v>81</v>
      </c>
      <c r="AM327" s="299" t="s">
        <v>1332</v>
      </c>
      <c r="AO327" s="299">
        <v>34</v>
      </c>
      <c r="AP327" s="299" t="s">
        <v>81</v>
      </c>
      <c r="AQ327" s="299" t="s">
        <v>1369</v>
      </c>
    </row>
    <row r="328" spans="1:43" ht="15" customHeight="1" x14ac:dyDescent="0.25">
      <c r="A328">
        <v>23</v>
      </c>
      <c r="B328" t="s">
        <v>98</v>
      </c>
      <c r="C328" t="s">
        <v>56</v>
      </c>
      <c r="E328" s="72">
        <v>33</v>
      </c>
      <c r="F328" t="s">
        <v>98</v>
      </c>
      <c r="G328" t="s">
        <v>55</v>
      </c>
      <c r="I328" s="171">
        <v>36</v>
      </c>
      <c r="J328" s="171" t="s">
        <v>98</v>
      </c>
      <c r="K328" s="171" t="s">
        <v>38</v>
      </c>
      <c r="M328" s="171">
        <v>46</v>
      </c>
      <c r="N328" s="171" t="s">
        <v>98</v>
      </c>
      <c r="O328" s="171" t="s">
        <v>688</v>
      </c>
      <c r="Q328" s="399">
        <v>32</v>
      </c>
      <c r="R328" s="396" t="s">
        <v>98</v>
      </c>
      <c r="S328" s="398" t="s">
        <v>56</v>
      </c>
      <c r="U328" s="421">
        <v>1</v>
      </c>
      <c r="V328" s="171" t="s">
        <v>97</v>
      </c>
      <c r="W328" s="171" t="s">
        <v>134</v>
      </c>
      <c r="Y328" s="171">
        <v>37</v>
      </c>
      <c r="Z328" s="460" t="s">
        <v>98</v>
      </c>
      <c r="AA328" s="171" t="s">
        <v>38</v>
      </c>
      <c r="AC328" s="505">
        <v>17</v>
      </c>
      <c r="AD328" s="505" t="s">
        <v>98</v>
      </c>
      <c r="AE328" s="505" t="s">
        <v>38</v>
      </c>
      <c r="AG328" s="171">
        <v>12</v>
      </c>
      <c r="AH328" s="171" t="s">
        <v>98</v>
      </c>
      <c r="AI328" s="171" t="s">
        <v>688</v>
      </c>
      <c r="AK328" s="299">
        <v>31</v>
      </c>
      <c r="AL328" s="299" t="s">
        <v>81</v>
      </c>
      <c r="AM328" s="299" t="s">
        <v>1332</v>
      </c>
      <c r="AO328" s="299">
        <v>40</v>
      </c>
      <c r="AP328" s="299" t="s">
        <v>81</v>
      </c>
      <c r="AQ328" s="299" t="s">
        <v>1369</v>
      </c>
    </row>
    <row r="329" spans="1:43" ht="15" customHeight="1" x14ac:dyDescent="0.25">
      <c r="A329">
        <v>16</v>
      </c>
      <c r="B329" t="s">
        <v>98</v>
      </c>
      <c r="C329" t="s">
        <v>56</v>
      </c>
      <c r="E329" s="72">
        <v>33</v>
      </c>
      <c r="F329" t="s">
        <v>98</v>
      </c>
      <c r="G329" t="s">
        <v>56</v>
      </c>
      <c r="I329" s="171">
        <v>31</v>
      </c>
      <c r="J329" s="171" t="s">
        <v>98</v>
      </c>
      <c r="K329" s="171" t="s">
        <v>38</v>
      </c>
      <c r="M329" s="171">
        <v>43</v>
      </c>
      <c r="N329" s="171" t="s">
        <v>98</v>
      </c>
      <c r="O329" s="171" t="s">
        <v>688</v>
      </c>
      <c r="Q329" s="399">
        <v>31</v>
      </c>
      <c r="R329" s="396" t="s">
        <v>98</v>
      </c>
      <c r="S329" s="398" t="s">
        <v>56</v>
      </c>
      <c r="U329" s="421">
        <v>2</v>
      </c>
      <c r="V329" s="171" t="s">
        <v>98</v>
      </c>
      <c r="W329" s="171" t="s">
        <v>134</v>
      </c>
      <c r="Y329" s="171">
        <v>44</v>
      </c>
      <c r="Z329" s="460" t="s">
        <v>98</v>
      </c>
      <c r="AA329" s="171" t="s">
        <v>38</v>
      </c>
      <c r="AC329" s="505">
        <v>24</v>
      </c>
      <c r="AD329" s="505" t="s">
        <v>98</v>
      </c>
      <c r="AE329" s="505" t="s">
        <v>38</v>
      </c>
      <c r="AG329" s="171">
        <v>78</v>
      </c>
      <c r="AH329" s="171" t="s">
        <v>98</v>
      </c>
      <c r="AI329" s="171" t="s">
        <v>688</v>
      </c>
      <c r="AK329" s="299">
        <v>16</v>
      </c>
      <c r="AL329" s="299" t="s">
        <v>81</v>
      </c>
      <c r="AM329" s="299" t="s">
        <v>1332</v>
      </c>
      <c r="AO329" s="299">
        <v>25</v>
      </c>
      <c r="AP329" s="299" t="s">
        <v>81</v>
      </c>
      <c r="AQ329" s="299" t="s">
        <v>1369</v>
      </c>
    </row>
    <row r="330" spans="1:43" ht="15" customHeight="1" x14ac:dyDescent="0.25">
      <c r="A330">
        <v>25</v>
      </c>
      <c r="B330" t="s">
        <v>98</v>
      </c>
      <c r="C330" t="s">
        <v>56</v>
      </c>
      <c r="E330" s="72">
        <v>33</v>
      </c>
      <c r="F330" t="s">
        <v>98</v>
      </c>
      <c r="G330" t="s">
        <v>38</v>
      </c>
      <c r="I330" s="171">
        <v>26</v>
      </c>
      <c r="J330" s="171" t="s">
        <v>98</v>
      </c>
      <c r="K330" s="171" t="s">
        <v>38</v>
      </c>
      <c r="M330" s="171">
        <v>49</v>
      </c>
      <c r="N330" s="171" t="s">
        <v>98</v>
      </c>
      <c r="O330" s="171" t="s">
        <v>688</v>
      </c>
      <c r="Q330" s="399">
        <v>41</v>
      </c>
      <c r="R330" s="396" t="s">
        <v>98</v>
      </c>
      <c r="S330" s="398" t="s">
        <v>56</v>
      </c>
      <c r="U330" s="421">
        <v>2</v>
      </c>
      <c r="V330" s="171" t="s">
        <v>98</v>
      </c>
      <c r="W330" s="171" t="s">
        <v>134</v>
      </c>
      <c r="Y330" s="460">
        <v>33</v>
      </c>
      <c r="Z330" s="460" t="s">
        <v>98</v>
      </c>
      <c r="AA330" s="460" t="s">
        <v>38</v>
      </c>
      <c r="AC330" s="505">
        <v>35</v>
      </c>
      <c r="AD330" s="505" t="s">
        <v>98</v>
      </c>
      <c r="AE330" s="505" t="s">
        <v>38</v>
      </c>
      <c r="AG330" s="171">
        <v>61</v>
      </c>
      <c r="AH330" s="171" t="s">
        <v>97</v>
      </c>
      <c r="AI330" s="171" t="s">
        <v>688</v>
      </c>
      <c r="AK330" s="299">
        <v>26</v>
      </c>
      <c r="AL330" s="299" t="s">
        <v>81</v>
      </c>
      <c r="AM330" s="299" t="s">
        <v>1332</v>
      </c>
      <c r="AO330" s="299">
        <v>25</v>
      </c>
      <c r="AP330" s="299" t="s">
        <v>81</v>
      </c>
      <c r="AQ330" s="299" t="s">
        <v>1369</v>
      </c>
    </row>
    <row r="331" spans="1:43" ht="15" customHeight="1" x14ac:dyDescent="0.25">
      <c r="A331">
        <v>27</v>
      </c>
      <c r="B331" t="s">
        <v>98</v>
      </c>
      <c r="C331" t="s">
        <v>56</v>
      </c>
      <c r="E331" s="72">
        <v>33</v>
      </c>
      <c r="F331" t="s">
        <v>98</v>
      </c>
      <c r="G331" t="s">
        <v>38</v>
      </c>
      <c r="I331" s="171">
        <v>44</v>
      </c>
      <c r="J331" s="171" t="s">
        <v>98</v>
      </c>
      <c r="K331" s="171" t="s">
        <v>38</v>
      </c>
      <c r="M331" s="171">
        <v>29</v>
      </c>
      <c r="N331" s="171" t="s">
        <v>97</v>
      </c>
      <c r="O331" s="171" t="s">
        <v>688</v>
      </c>
      <c r="Q331" s="399">
        <v>26</v>
      </c>
      <c r="R331" s="396" t="s">
        <v>98</v>
      </c>
      <c r="S331" s="398" t="s">
        <v>56</v>
      </c>
      <c r="U331" s="421">
        <v>3</v>
      </c>
      <c r="V331" s="171" t="s">
        <v>98</v>
      </c>
      <c r="W331" s="171" t="s">
        <v>134</v>
      </c>
      <c r="Y331" s="171">
        <v>34</v>
      </c>
      <c r="Z331" s="460" t="s">
        <v>98</v>
      </c>
      <c r="AA331" s="171" t="s">
        <v>56</v>
      </c>
      <c r="AC331" s="505">
        <v>42</v>
      </c>
      <c r="AD331" s="505" t="s">
        <v>98</v>
      </c>
      <c r="AE331" s="505" t="s">
        <v>38</v>
      </c>
      <c r="AG331" s="171">
        <v>46</v>
      </c>
      <c r="AH331" s="171" t="s">
        <v>97</v>
      </c>
      <c r="AI331" s="171" t="s">
        <v>688</v>
      </c>
      <c r="AK331" s="299">
        <v>19</v>
      </c>
      <c r="AL331" s="299" t="s">
        <v>81</v>
      </c>
      <c r="AM331" s="299" t="s">
        <v>1332</v>
      </c>
      <c r="AO331" s="299">
        <v>31</v>
      </c>
      <c r="AP331" s="299" t="s">
        <v>81</v>
      </c>
      <c r="AQ331" s="299" t="s">
        <v>1369</v>
      </c>
    </row>
    <row r="332" spans="1:43" ht="15" customHeight="1" x14ac:dyDescent="0.25">
      <c r="A332">
        <v>24</v>
      </c>
      <c r="B332" t="s">
        <v>98</v>
      </c>
      <c r="C332" t="s">
        <v>56</v>
      </c>
      <c r="E332" s="72">
        <v>33</v>
      </c>
      <c r="F332" t="s">
        <v>97</v>
      </c>
      <c r="G332" t="s">
        <v>122</v>
      </c>
      <c r="I332" s="171">
        <v>32</v>
      </c>
      <c r="J332" s="171" t="s">
        <v>98</v>
      </c>
      <c r="K332" s="171" t="s">
        <v>38</v>
      </c>
      <c r="M332" s="171">
        <v>45</v>
      </c>
      <c r="N332" s="171" t="s">
        <v>98</v>
      </c>
      <c r="O332" s="171" t="s">
        <v>688</v>
      </c>
      <c r="Q332" s="399">
        <v>26</v>
      </c>
      <c r="R332" s="396" t="s">
        <v>98</v>
      </c>
      <c r="S332" s="398" t="s">
        <v>56</v>
      </c>
      <c r="U332" s="421">
        <v>6</v>
      </c>
      <c r="V332" s="171" t="s">
        <v>97</v>
      </c>
      <c r="W332" s="171" t="s">
        <v>134</v>
      </c>
      <c r="Y332" s="171">
        <v>32</v>
      </c>
      <c r="Z332" s="460" t="s">
        <v>98</v>
      </c>
      <c r="AA332" s="171" t="s">
        <v>56</v>
      </c>
      <c r="AC332" s="505">
        <v>34</v>
      </c>
      <c r="AD332" s="505" t="s">
        <v>98</v>
      </c>
      <c r="AE332" s="505" t="s">
        <v>38</v>
      </c>
      <c r="AG332" s="171">
        <v>60</v>
      </c>
      <c r="AH332" s="171" t="s">
        <v>98</v>
      </c>
      <c r="AI332" s="171" t="s">
        <v>688</v>
      </c>
      <c r="AK332" s="299">
        <v>30</v>
      </c>
      <c r="AL332" s="299" t="s">
        <v>81</v>
      </c>
      <c r="AM332" s="299" t="s">
        <v>1332</v>
      </c>
      <c r="AO332" s="299">
        <v>15</v>
      </c>
      <c r="AP332" s="299" t="s">
        <v>81</v>
      </c>
      <c r="AQ332" s="299" t="s">
        <v>1369</v>
      </c>
    </row>
    <row r="333" spans="1:43" ht="15" customHeight="1" x14ac:dyDescent="0.25">
      <c r="A333">
        <v>20</v>
      </c>
      <c r="B333" t="s">
        <v>98</v>
      </c>
      <c r="C333" t="s">
        <v>56</v>
      </c>
      <c r="E333" s="72">
        <v>33</v>
      </c>
      <c r="F333" t="s">
        <v>98</v>
      </c>
      <c r="G333" t="s">
        <v>123</v>
      </c>
      <c r="I333" s="171">
        <v>22</v>
      </c>
      <c r="J333" s="171" t="s">
        <v>98</v>
      </c>
      <c r="K333" s="171" t="s">
        <v>38</v>
      </c>
      <c r="M333" s="171">
        <v>29</v>
      </c>
      <c r="N333" s="171" t="s">
        <v>98</v>
      </c>
      <c r="O333" s="171" t="s">
        <v>688</v>
      </c>
      <c r="Q333" s="399">
        <v>26</v>
      </c>
      <c r="R333" s="396" t="s">
        <v>98</v>
      </c>
      <c r="S333" s="398" t="s">
        <v>56</v>
      </c>
      <c r="U333" s="421" t="s">
        <v>708</v>
      </c>
      <c r="V333" s="171" t="s">
        <v>98</v>
      </c>
      <c r="W333" s="171" t="s">
        <v>134</v>
      </c>
      <c r="Y333" s="171">
        <v>39</v>
      </c>
      <c r="Z333" s="460" t="s">
        <v>98</v>
      </c>
      <c r="AA333" s="171" t="s">
        <v>56</v>
      </c>
      <c r="AC333" s="505">
        <v>35</v>
      </c>
      <c r="AD333" s="505" t="s">
        <v>98</v>
      </c>
      <c r="AE333" s="505" t="s">
        <v>38</v>
      </c>
      <c r="AG333" s="171">
        <v>58</v>
      </c>
      <c r="AH333" s="171" t="s">
        <v>97</v>
      </c>
      <c r="AI333" s="171" t="s">
        <v>688</v>
      </c>
      <c r="AK333" s="299">
        <v>25</v>
      </c>
      <c r="AL333" s="299" t="s">
        <v>81</v>
      </c>
      <c r="AM333" s="299" t="s">
        <v>1332</v>
      </c>
      <c r="AO333" s="299">
        <v>21</v>
      </c>
      <c r="AP333" s="299" t="s">
        <v>81</v>
      </c>
      <c r="AQ333" s="299" t="s">
        <v>1369</v>
      </c>
    </row>
    <row r="334" spans="1:43" ht="15" customHeight="1" x14ac:dyDescent="0.25">
      <c r="A334">
        <v>19</v>
      </c>
      <c r="B334" t="s">
        <v>98</v>
      </c>
      <c r="C334" t="s">
        <v>56</v>
      </c>
      <c r="E334" s="72">
        <v>32</v>
      </c>
      <c r="F334" t="s">
        <v>98</v>
      </c>
      <c r="G334" t="s">
        <v>55</v>
      </c>
      <c r="I334" s="171">
        <v>21</v>
      </c>
      <c r="J334" s="171" t="s">
        <v>98</v>
      </c>
      <c r="K334" s="171" t="s">
        <v>38</v>
      </c>
      <c r="M334" s="171">
        <v>50</v>
      </c>
      <c r="N334" s="171" t="s">
        <v>97</v>
      </c>
      <c r="O334" s="171" t="s">
        <v>688</v>
      </c>
      <c r="Q334" s="399">
        <v>25</v>
      </c>
      <c r="R334" s="396" t="s">
        <v>98</v>
      </c>
      <c r="S334" s="398" t="s">
        <v>56</v>
      </c>
      <c r="U334" s="421">
        <v>8</v>
      </c>
      <c r="V334" s="171" t="s">
        <v>97</v>
      </c>
      <c r="W334" s="171" t="s">
        <v>134</v>
      </c>
      <c r="Y334" s="171">
        <v>37</v>
      </c>
      <c r="Z334" s="460" t="s">
        <v>98</v>
      </c>
      <c r="AA334" s="171" t="s">
        <v>56</v>
      </c>
      <c r="AC334" s="505">
        <v>33</v>
      </c>
      <c r="AD334" s="505" t="s">
        <v>98</v>
      </c>
      <c r="AE334" s="505" t="s">
        <v>38</v>
      </c>
      <c r="AG334" s="171">
        <v>23</v>
      </c>
      <c r="AH334" s="171" t="s">
        <v>97</v>
      </c>
      <c r="AI334" s="171" t="s">
        <v>688</v>
      </c>
      <c r="AK334" s="299">
        <v>24</v>
      </c>
      <c r="AL334" s="299" t="s">
        <v>81</v>
      </c>
      <c r="AM334" s="299" t="s">
        <v>1332</v>
      </c>
      <c r="AO334" s="299">
        <v>28</v>
      </c>
      <c r="AP334" s="299" t="s">
        <v>81</v>
      </c>
      <c r="AQ334" s="299" t="s">
        <v>1369</v>
      </c>
    </row>
    <row r="335" spans="1:43" ht="15" customHeight="1" x14ac:dyDescent="0.25">
      <c r="A335">
        <v>30</v>
      </c>
      <c r="B335" t="s">
        <v>98</v>
      </c>
      <c r="C335" t="s">
        <v>56</v>
      </c>
      <c r="E335" s="72">
        <v>32</v>
      </c>
      <c r="F335" t="s">
        <v>98</v>
      </c>
      <c r="G335" t="s">
        <v>55</v>
      </c>
      <c r="I335" s="171">
        <v>17</v>
      </c>
      <c r="J335" s="171" t="s">
        <v>98</v>
      </c>
      <c r="K335" s="171" t="s">
        <v>38</v>
      </c>
      <c r="M335" s="171">
        <v>16</v>
      </c>
      <c r="N335" s="171" t="s">
        <v>97</v>
      </c>
      <c r="O335" s="171" t="s">
        <v>688</v>
      </c>
      <c r="Q335" s="399">
        <v>29</v>
      </c>
      <c r="R335" s="396" t="s">
        <v>98</v>
      </c>
      <c r="S335" s="398" t="s">
        <v>56</v>
      </c>
      <c r="U335" s="421">
        <v>1</v>
      </c>
      <c r="V335" s="171" t="s">
        <v>97</v>
      </c>
      <c r="W335" s="171" t="s">
        <v>134</v>
      </c>
      <c r="Y335" s="171">
        <v>34</v>
      </c>
      <c r="Z335" s="460" t="s">
        <v>98</v>
      </c>
      <c r="AA335" s="171" t="s">
        <v>56</v>
      </c>
      <c r="AC335" s="505">
        <v>30</v>
      </c>
      <c r="AD335" s="505" t="s">
        <v>98</v>
      </c>
      <c r="AE335" s="505" t="s">
        <v>38</v>
      </c>
      <c r="AG335" s="171">
        <v>4</v>
      </c>
      <c r="AH335" s="171" t="s">
        <v>97</v>
      </c>
      <c r="AI335" s="171" t="s">
        <v>688</v>
      </c>
      <c r="AK335" s="299">
        <v>25</v>
      </c>
      <c r="AL335" s="299" t="s">
        <v>81</v>
      </c>
      <c r="AM335" s="299" t="s">
        <v>1332</v>
      </c>
      <c r="AO335" s="299">
        <v>27</v>
      </c>
      <c r="AP335" s="299" t="s">
        <v>81</v>
      </c>
      <c r="AQ335" s="299" t="s">
        <v>1369</v>
      </c>
    </row>
    <row r="336" spans="1:43" ht="15" customHeight="1" x14ac:dyDescent="0.25">
      <c r="A336">
        <v>34</v>
      </c>
      <c r="B336" t="s">
        <v>98</v>
      </c>
      <c r="C336" t="s">
        <v>56</v>
      </c>
      <c r="E336" s="72">
        <v>32</v>
      </c>
      <c r="F336" t="s">
        <v>98</v>
      </c>
      <c r="G336" t="s">
        <v>55</v>
      </c>
      <c r="I336" s="171">
        <v>35</v>
      </c>
      <c r="J336" s="171" t="s">
        <v>98</v>
      </c>
      <c r="K336" s="171" t="s">
        <v>38</v>
      </c>
      <c r="M336" s="171">
        <v>45</v>
      </c>
      <c r="N336" s="171" t="s">
        <v>98</v>
      </c>
      <c r="O336" s="171" t="s">
        <v>688</v>
      </c>
      <c r="Q336" s="399">
        <v>31</v>
      </c>
      <c r="R336" s="396" t="s">
        <v>98</v>
      </c>
      <c r="S336" s="398" t="s">
        <v>56</v>
      </c>
      <c r="U336" s="421">
        <v>2</v>
      </c>
      <c r="V336" s="171" t="s">
        <v>97</v>
      </c>
      <c r="W336" s="171" t="s">
        <v>134</v>
      </c>
      <c r="Y336" s="171">
        <v>40</v>
      </c>
      <c r="Z336" s="460" t="s">
        <v>98</v>
      </c>
      <c r="AA336" s="171" t="s">
        <v>56</v>
      </c>
      <c r="AC336" s="505">
        <v>36</v>
      </c>
      <c r="AD336" s="505" t="s">
        <v>98</v>
      </c>
      <c r="AE336" s="505" t="s">
        <v>38</v>
      </c>
      <c r="AG336" s="171">
        <v>53</v>
      </c>
      <c r="AH336" s="171" t="s">
        <v>97</v>
      </c>
      <c r="AI336" s="171" t="s">
        <v>688</v>
      </c>
      <c r="AK336" s="299">
        <v>41</v>
      </c>
      <c r="AL336" s="299" t="s">
        <v>81</v>
      </c>
      <c r="AM336" s="299" t="s">
        <v>1332</v>
      </c>
      <c r="AO336" s="299">
        <v>30</v>
      </c>
      <c r="AP336" s="299" t="s">
        <v>81</v>
      </c>
      <c r="AQ336" s="299" t="s">
        <v>1369</v>
      </c>
    </row>
    <row r="337" spans="1:43" ht="15" customHeight="1" x14ac:dyDescent="0.25">
      <c r="A337">
        <v>25</v>
      </c>
      <c r="B337" t="s">
        <v>98</v>
      </c>
      <c r="C337" t="s">
        <v>56</v>
      </c>
      <c r="E337" s="72">
        <v>32</v>
      </c>
      <c r="F337" t="s">
        <v>98</v>
      </c>
      <c r="G337" t="s">
        <v>56</v>
      </c>
      <c r="I337" s="171">
        <v>27</v>
      </c>
      <c r="J337" s="171" t="s">
        <v>98</v>
      </c>
      <c r="K337" s="171" t="s">
        <v>55</v>
      </c>
      <c r="M337" s="171">
        <v>62</v>
      </c>
      <c r="N337" s="171" t="s">
        <v>97</v>
      </c>
      <c r="O337" s="171" t="s">
        <v>688</v>
      </c>
      <c r="Q337" s="399">
        <v>22</v>
      </c>
      <c r="R337" s="396" t="s">
        <v>98</v>
      </c>
      <c r="S337" s="398" t="s">
        <v>56</v>
      </c>
      <c r="U337" s="421">
        <v>1</v>
      </c>
      <c r="V337" s="171" t="s">
        <v>97</v>
      </c>
      <c r="W337" s="171" t="s">
        <v>134</v>
      </c>
      <c r="Y337" s="171">
        <v>20</v>
      </c>
      <c r="Z337" s="460" t="s">
        <v>98</v>
      </c>
      <c r="AA337" s="171" t="s">
        <v>56</v>
      </c>
      <c r="AC337" s="505">
        <v>37</v>
      </c>
      <c r="AD337" s="505" t="s">
        <v>98</v>
      </c>
      <c r="AE337" s="505" t="s">
        <v>38</v>
      </c>
      <c r="AG337" s="171">
        <v>84</v>
      </c>
      <c r="AH337" s="171" t="s">
        <v>98</v>
      </c>
      <c r="AI337" s="171" t="s">
        <v>688</v>
      </c>
      <c r="AK337" s="299">
        <v>22</v>
      </c>
      <c r="AL337" s="299" t="s">
        <v>81</v>
      </c>
      <c r="AM337" s="299" t="s">
        <v>1332</v>
      </c>
      <c r="AO337" s="299">
        <v>30</v>
      </c>
      <c r="AP337" s="299" t="s">
        <v>81</v>
      </c>
      <c r="AQ337" s="299" t="s">
        <v>1369</v>
      </c>
    </row>
    <row r="338" spans="1:43" ht="15" customHeight="1" x14ac:dyDescent="0.25">
      <c r="A338">
        <v>29</v>
      </c>
      <c r="B338" t="s">
        <v>98</v>
      </c>
      <c r="C338" t="s">
        <v>56</v>
      </c>
      <c r="E338" s="72">
        <v>32</v>
      </c>
      <c r="F338" t="s">
        <v>98</v>
      </c>
      <c r="G338" t="s">
        <v>56</v>
      </c>
      <c r="I338" s="171">
        <v>22</v>
      </c>
      <c r="J338" s="171" t="s">
        <v>98</v>
      </c>
      <c r="K338" s="171" t="s">
        <v>55</v>
      </c>
      <c r="M338" s="171">
        <v>1</v>
      </c>
      <c r="N338" s="171" t="s">
        <v>98</v>
      </c>
      <c r="O338" s="171" t="s">
        <v>688</v>
      </c>
      <c r="Q338" s="399">
        <v>27</v>
      </c>
      <c r="R338" s="396" t="s">
        <v>98</v>
      </c>
      <c r="S338" s="398" t="s">
        <v>56</v>
      </c>
      <c r="U338" s="421" t="s">
        <v>708</v>
      </c>
      <c r="V338" s="171" t="s">
        <v>97</v>
      </c>
      <c r="W338" s="171" t="s">
        <v>134</v>
      </c>
      <c r="Y338" s="171">
        <v>26</v>
      </c>
      <c r="Z338" s="460" t="s">
        <v>98</v>
      </c>
      <c r="AA338" s="171" t="s">
        <v>56</v>
      </c>
      <c r="AC338" s="505">
        <v>33</v>
      </c>
      <c r="AD338" s="505" t="s">
        <v>98</v>
      </c>
      <c r="AE338" s="505" t="s">
        <v>38</v>
      </c>
      <c r="AG338" s="171">
        <v>50</v>
      </c>
      <c r="AH338" s="171" t="s">
        <v>97</v>
      </c>
      <c r="AI338" s="171" t="s">
        <v>688</v>
      </c>
      <c r="AK338" s="299">
        <v>30</v>
      </c>
      <c r="AL338" s="299" t="s">
        <v>81</v>
      </c>
      <c r="AM338" s="299" t="s">
        <v>1332</v>
      </c>
      <c r="AO338" s="299">
        <v>16</v>
      </c>
      <c r="AP338" s="299" t="s">
        <v>81</v>
      </c>
      <c r="AQ338" s="299" t="s">
        <v>1369</v>
      </c>
    </row>
    <row r="339" spans="1:43" ht="15" customHeight="1" x14ac:dyDescent="0.25">
      <c r="A339">
        <v>21</v>
      </c>
      <c r="B339" t="s">
        <v>98</v>
      </c>
      <c r="C339" t="s">
        <v>56</v>
      </c>
      <c r="E339" s="72">
        <v>32</v>
      </c>
      <c r="F339" t="s">
        <v>98</v>
      </c>
      <c r="G339" t="s">
        <v>56</v>
      </c>
      <c r="I339" s="171">
        <v>31</v>
      </c>
      <c r="J339" s="171" t="s">
        <v>98</v>
      </c>
      <c r="K339" s="171" t="s">
        <v>55</v>
      </c>
      <c r="M339" s="171">
        <v>65</v>
      </c>
      <c r="N339" s="171" t="s">
        <v>98</v>
      </c>
      <c r="O339" s="171" t="s">
        <v>688</v>
      </c>
      <c r="Q339" s="399">
        <v>40</v>
      </c>
      <c r="R339" s="396" t="s">
        <v>98</v>
      </c>
      <c r="S339" s="398" t="s">
        <v>56</v>
      </c>
      <c r="U339" s="171">
        <v>52</v>
      </c>
      <c r="V339" s="171" t="s">
        <v>98</v>
      </c>
      <c r="W339" s="171" t="s">
        <v>123</v>
      </c>
      <c r="Y339" s="171">
        <v>43</v>
      </c>
      <c r="Z339" s="460" t="s">
        <v>98</v>
      </c>
      <c r="AA339" s="171" t="s">
        <v>56</v>
      </c>
      <c r="AC339" s="505">
        <v>18</v>
      </c>
      <c r="AD339" s="505" t="s">
        <v>98</v>
      </c>
      <c r="AE339" s="505" t="s">
        <v>38</v>
      </c>
      <c r="AG339" s="171">
        <v>51</v>
      </c>
      <c r="AH339" s="171" t="s">
        <v>97</v>
      </c>
      <c r="AI339" s="171" t="s">
        <v>688</v>
      </c>
      <c r="AK339" s="299">
        <v>35</v>
      </c>
      <c r="AL339" s="299" t="s">
        <v>81</v>
      </c>
      <c r="AM339" s="299" t="s">
        <v>1332</v>
      </c>
      <c r="AO339" s="299">
        <v>20</v>
      </c>
      <c r="AP339" s="299" t="s">
        <v>81</v>
      </c>
      <c r="AQ339" s="299" t="s">
        <v>1369</v>
      </c>
    </row>
    <row r="340" spans="1:43" ht="15" customHeight="1" x14ac:dyDescent="0.25">
      <c r="A340">
        <v>29</v>
      </c>
      <c r="B340" t="s">
        <v>98</v>
      </c>
      <c r="C340" t="s">
        <v>56</v>
      </c>
      <c r="E340" s="72">
        <v>32</v>
      </c>
      <c r="F340" t="s">
        <v>98</v>
      </c>
      <c r="G340" t="s">
        <v>56</v>
      </c>
      <c r="I340" s="171">
        <v>35</v>
      </c>
      <c r="J340" s="171" t="s">
        <v>98</v>
      </c>
      <c r="K340" s="171" t="s">
        <v>55</v>
      </c>
      <c r="M340" s="171">
        <v>17</v>
      </c>
      <c r="N340" s="171" t="s">
        <v>98</v>
      </c>
      <c r="O340" s="171" t="s">
        <v>688</v>
      </c>
      <c r="Q340" s="399">
        <v>36</v>
      </c>
      <c r="R340" s="396" t="s">
        <v>98</v>
      </c>
      <c r="S340" s="398" t="s">
        <v>56</v>
      </c>
      <c r="U340" s="171">
        <v>82</v>
      </c>
      <c r="V340" s="171" t="s">
        <v>98</v>
      </c>
      <c r="W340" s="171" t="s">
        <v>123</v>
      </c>
      <c r="Y340" s="171">
        <v>24</v>
      </c>
      <c r="Z340" s="460" t="s">
        <v>98</v>
      </c>
      <c r="AA340" s="171" t="s">
        <v>56</v>
      </c>
      <c r="AC340" s="505">
        <v>20</v>
      </c>
      <c r="AD340" s="505" t="s">
        <v>98</v>
      </c>
      <c r="AE340" s="505" t="s">
        <v>38</v>
      </c>
      <c r="AG340" s="171">
        <v>41</v>
      </c>
      <c r="AH340" s="171" t="s">
        <v>97</v>
      </c>
      <c r="AI340" s="171" t="s">
        <v>688</v>
      </c>
      <c r="AK340" s="299">
        <v>19</v>
      </c>
      <c r="AL340" s="299" t="s">
        <v>81</v>
      </c>
      <c r="AM340" s="299" t="s">
        <v>1332</v>
      </c>
      <c r="AO340" s="299">
        <v>32</v>
      </c>
      <c r="AP340" s="299" t="s">
        <v>81</v>
      </c>
      <c r="AQ340" s="299" t="s">
        <v>1369</v>
      </c>
    </row>
    <row r="341" spans="1:43" ht="15" customHeight="1" x14ac:dyDescent="0.25">
      <c r="A341">
        <v>22</v>
      </c>
      <c r="B341" t="s">
        <v>98</v>
      </c>
      <c r="C341" t="s">
        <v>56</v>
      </c>
      <c r="E341" s="72">
        <v>32</v>
      </c>
      <c r="F341" t="s">
        <v>98</v>
      </c>
      <c r="G341" t="s">
        <v>56</v>
      </c>
      <c r="I341" s="171">
        <v>26</v>
      </c>
      <c r="J341" s="171" t="s">
        <v>98</v>
      </c>
      <c r="K341" s="171" t="s">
        <v>55</v>
      </c>
      <c r="M341" s="171">
        <v>27</v>
      </c>
      <c r="N341" s="171" t="s">
        <v>97</v>
      </c>
      <c r="O341" s="171" t="s">
        <v>688</v>
      </c>
      <c r="Q341" s="399">
        <v>27</v>
      </c>
      <c r="R341" s="396" t="s">
        <v>98</v>
      </c>
      <c r="S341" s="398" t="s">
        <v>56</v>
      </c>
      <c r="U341" s="171">
        <v>80</v>
      </c>
      <c r="V341" s="171" t="s">
        <v>98</v>
      </c>
      <c r="W341" s="171" t="s">
        <v>123</v>
      </c>
      <c r="Y341" s="171">
        <v>24</v>
      </c>
      <c r="Z341" s="460" t="s">
        <v>98</v>
      </c>
      <c r="AA341" s="171" t="s">
        <v>56</v>
      </c>
      <c r="AC341" s="505">
        <v>19</v>
      </c>
      <c r="AD341" s="505" t="s">
        <v>98</v>
      </c>
      <c r="AE341" s="505" t="s">
        <v>38</v>
      </c>
      <c r="AG341" s="171">
        <v>44</v>
      </c>
      <c r="AH341" s="171" t="s">
        <v>97</v>
      </c>
      <c r="AI341" s="171" t="s">
        <v>688</v>
      </c>
      <c r="AK341" s="299">
        <v>32</v>
      </c>
      <c r="AL341" s="299" t="s">
        <v>81</v>
      </c>
      <c r="AM341" s="299" t="s">
        <v>1332</v>
      </c>
      <c r="AO341" s="299">
        <v>32</v>
      </c>
      <c r="AP341" s="299" t="s">
        <v>81</v>
      </c>
      <c r="AQ341" s="299" t="s">
        <v>1369</v>
      </c>
    </row>
    <row r="342" spans="1:43" ht="15" customHeight="1" x14ac:dyDescent="0.25">
      <c r="A342">
        <v>29</v>
      </c>
      <c r="B342" t="s">
        <v>98</v>
      </c>
      <c r="C342" t="s">
        <v>56</v>
      </c>
      <c r="E342" s="72">
        <v>32</v>
      </c>
      <c r="F342" t="s">
        <v>98</v>
      </c>
      <c r="G342" t="s">
        <v>38</v>
      </c>
      <c r="I342" s="171">
        <v>23</v>
      </c>
      <c r="J342" s="171" t="s">
        <v>98</v>
      </c>
      <c r="K342" s="171" t="s">
        <v>55</v>
      </c>
      <c r="M342" s="171">
        <v>1</v>
      </c>
      <c r="N342" s="171" t="s">
        <v>97</v>
      </c>
      <c r="O342" s="171" t="s">
        <v>688</v>
      </c>
      <c r="Q342" s="399">
        <v>20</v>
      </c>
      <c r="R342" s="396" t="s">
        <v>98</v>
      </c>
      <c r="S342" s="398" t="s">
        <v>56</v>
      </c>
      <c r="U342" s="171">
        <v>65</v>
      </c>
      <c r="V342" s="171" t="s">
        <v>98</v>
      </c>
      <c r="W342" s="171" t="s">
        <v>123</v>
      </c>
      <c r="Y342" s="171">
        <v>26</v>
      </c>
      <c r="Z342" s="460" t="s">
        <v>98</v>
      </c>
      <c r="AA342" s="171" t="s">
        <v>56</v>
      </c>
      <c r="AC342" s="505">
        <v>19</v>
      </c>
      <c r="AD342" s="505" t="s">
        <v>98</v>
      </c>
      <c r="AE342" s="505" t="s">
        <v>38</v>
      </c>
      <c r="AG342" s="171">
        <v>52</v>
      </c>
      <c r="AH342" s="171" t="s">
        <v>98</v>
      </c>
      <c r="AI342" s="171" t="s">
        <v>688</v>
      </c>
      <c r="AK342" s="299">
        <v>30</v>
      </c>
      <c r="AL342" s="299" t="s">
        <v>81</v>
      </c>
      <c r="AM342" s="299" t="s">
        <v>1332</v>
      </c>
      <c r="AO342" s="299">
        <v>24</v>
      </c>
      <c r="AP342" s="299" t="s">
        <v>81</v>
      </c>
      <c r="AQ342" s="299" t="s">
        <v>1369</v>
      </c>
    </row>
    <row r="343" spans="1:43" ht="15" customHeight="1" x14ac:dyDescent="0.25">
      <c r="A343">
        <v>32</v>
      </c>
      <c r="B343" t="s">
        <v>98</v>
      </c>
      <c r="C343" t="s">
        <v>56</v>
      </c>
      <c r="E343" s="72">
        <v>32</v>
      </c>
      <c r="F343" t="s">
        <v>97</v>
      </c>
      <c r="G343" t="s">
        <v>122</v>
      </c>
      <c r="I343" s="171">
        <v>26</v>
      </c>
      <c r="J343" s="171" t="s">
        <v>98</v>
      </c>
      <c r="K343" s="171" t="s">
        <v>55</v>
      </c>
      <c r="M343" s="171">
        <v>87</v>
      </c>
      <c r="N343" s="171" t="s">
        <v>97</v>
      </c>
      <c r="O343" s="171" t="s">
        <v>688</v>
      </c>
      <c r="Q343" s="399">
        <v>32</v>
      </c>
      <c r="R343" s="396" t="s">
        <v>98</v>
      </c>
      <c r="S343" s="398" t="s">
        <v>56</v>
      </c>
      <c r="U343" s="171">
        <v>15</v>
      </c>
      <c r="V343" s="171" t="s">
        <v>98</v>
      </c>
      <c r="W343" s="171" t="s">
        <v>123</v>
      </c>
      <c r="Y343" s="171">
        <v>29</v>
      </c>
      <c r="Z343" s="460" t="s">
        <v>98</v>
      </c>
      <c r="AA343" s="171" t="s">
        <v>56</v>
      </c>
      <c r="AC343" s="505">
        <v>25</v>
      </c>
      <c r="AD343" s="505" t="s">
        <v>98</v>
      </c>
      <c r="AE343" s="505" t="s">
        <v>38</v>
      </c>
      <c r="AG343" s="171">
        <v>84</v>
      </c>
      <c r="AH343" s="171" t="s">
        <v>98</v>
      </c>
      <c r="AI343" s="171" t="s">
        <v>688</v>
      </c>
      <c r="AK343" s="299">
        <v>36</v>
      </c>
      <c r="AL343" s="299" t="s">
        <v>81</v>
      </c>
      <c r="AM343" s="299" t="s">
        <v>1332</v>
      </c>
      <c r="AO343" s="299">
        <v>21</v>
      </c>
      <c r="AP343" s="299" t="s">
        <v>81</v>
      </c>
      <c r="AQ343" s="299" t="s">
        <v>1369</v>
      </c>
    </row>
    <row r="344" spans="1:43" ht="15" customHeight="1" x14ac:dyDescent="0.25">
      <c r="A344">
        <v>25</v>
      </c>
      <c r="B344" t="s">
        <v>98</v>
      </c>
      <c r="C344" t="s">
        <v>56</v>
      </c>
      <c r="E344" s="72">
        <v>32</v>
      </c>
      <c r="F344" t="s">
        <v>97</v>
      </c>
      <c r="G344" t="s">
        <v>122</v>
      </c>
      <c r="I344" s="171">
        <v>23</v>
      </c>
      <c r="J344" s="171" t="s">
        <v>98</v>
      </c>
      <c r="K344" s="171" t="s">
        <v>55</v>
      </c>
      <c r="M344" s="171">
        <v>87</v>
      </c>
      <c r="N344" s="171" t="s">
        <v>98</v>
      </c>
      <c r="O344" s="171" t="s">
        <v>688</v>
      </c>
      <c r="Q344" s="399">
        <v>21</v>
      </c>
      <c r="R344" s="396" t="s">
        <v>98</v>
      </c>
      <c r="S344" s="398" t="s">
        <v>56</v>
      </c>
      <c r="U344" s="171">
        <v>80</v>
      </c>
      <c r="V344" s="171" t="s">
        <v>98</v>
      </c>
      <c r="W344" s="171" t="s">
        <v>123</v>
      </c>
      <c r="Y344" s="171">
        <v>21</v>
      </c>
      <c r="Z344" s="460" t="s">
        <v>98</v>
      </c>
      <c r="AA344" s="171" t="s">
        <v>56</v>
      </c>
      <c r="AC344" s="505">
        <v>27</v>
      </c>
      <c r="AD344" s="505" t="s">
        <v>98</v>
      </c>
      <c r="AE344" s="505" t="s">
        <v>38</v>
      </c>
      <c r="AG344" s="171">
        <v>17</v>
      </c>
      <c r="AH344" s="171" t="s">
        <v>98</v>
      </c>
      <c r="AI344" s="171" t="s">
        <v>688</v>
      </c>
      <c r="AK344" s="299">
        <v>30</v>
      </c>
      <c r="AL344" s="299" t="s">
        <v>81</v>
      </c>
      <c r="AM344" s="299" t="s">
        <v>1332</v>
      </c>
      <c r="AO344" s="299">
        <v>25</v>
      </c>
      <c r="AP344" s="299" t="s">
        <v>81</v>
      </c>
      <c r="AQ344" s="299" t="s">
        <v>1369</v>
      </c>
    </row>
    <row r="345" spans="1:43" ht="15" customHeight="1" x14ac:dyDescent="0.25">
      <c r="A345">
        <v>30</v>
      </c>
      <c r="B345" t="s">
        <v>98</v>
      </c>
      <c r="C345" t="s">
        <v>56</v>
      </c>
      <c r="E345" s="72">
        <v>32</v>
      </c>
      <c r="F345" t="s">
        <v>98</v>
      </c>
      <c r="G345" t="s">
        <v>123</v>
      </c>
      <c r="I345" s="171">
        <v>34</v>
      </c>
      <c r="J345" s="171" t="s">
        <v>98</v>
      </c>
      <c r="K345" s="171" t="s">
        <v>55</v>
      </c>
      <c r="M345" s="171">
        <v>33</v>
      </c>
      <c r="N345" s="171" t="s">
        <v>98</v>
      </c>
      <c r="O345" s="171" t="s">
        <v>688</v>
      </c>
      <c r="Q345" s="399">
        <v>36</v>
      </c>
      <c r="R345" s="396" t="s">
        <v>98</v>
      </c>
      <c r="S345" s="398" t="s">
        <v>56</v>
      </c>
      <c r="U345" s="171">
        <v>19</v>
      </c>
      <c r="V345" s="171" t="s">
        <v>98</v>
      </c>
      <c r="W345" s="171" t="s">
        <v>123</v>
      </c>
      <c r="Y345" s="171">
        <v>34</v>
      </c>
      <c r="Z345" s="460" t="s">
        <v>98</v>
      </c>
      <c r="AA345" s="171" t="s">
        <v>56</v>
      </c>
      <c r="AC345" s="505">
        <v>36</v>
      </c>
      <c r="AD345" s="505" t="s">
        <v>98</v>
      </c>
      <c r="AE345" s="505" t="s">
        <v>38</v>
      </c>
      <c r="AG345" s="171">
        <v>23</v>
      </c>
      <c r="AH345" s="171" t="s">
        <v>98</v>
      </c>
      <c r="AI345" s="171" t="s">
        <v>688</v>
      </c>
      <c r="AK345" s="299">
        <v>25</v>
      </c>
      <c r="AL345" s="299" t="s">
        <v>81</v>
      </c>
      <c r="AM345" s="299" t="s">
        <v>1332</v>
      </c>
      <c r="AO345" s="299">
        <v>26</v>
      </c>
      <c r="AP345" s="299" t="s">
        <v>81</v>
      </c>
      <c r="AQ345" s="299" t="s">
        <v>1369</v>
      </c>
    </row>
    <row r="346" spans="1:43" ht="15" customHeight="1" x14ac:dyDescent="0.25">
      <c r="A346">
        <v>24</v>
      </c>
      <c r="B346" t="s">
        <v>98</v>
      </c>
      <c r="C346" t="s">
        <v>56</v>
      </c>
      <c r="E346" s="72">
        <v>31</v>
      </c>
      <c r="F346" t="s">
        <v>97</v>
      </c>
      <c r="G346" t="s">
        <v>688</v>
      </c>
      <c r="I346" s="171">
        <v>24</v>
      </c>
      <c r="J346" s="171" t="s">
        <v>98</v>
      </c>
      <c r="K346" s="171" t="s">
        <v>55</v>
      </c>
      <c r="M346" s="171">
        <v>47</v>
      </c>
      <c r="N346" s="171" t="s">
        <v>97</v>
      </c>
      <c r="O346" s="171" t="s">
        <v>688</v>
      </c>
      <c r="Q346" s="399">
        <v>26</v>
      </c>
      <c r="R346" s="396" t="s">
        <v>98</v>
      </c>
      <c r="S346" s="398" t="s">
        <v>56</v>
      </c>
      <c r="U346" s="171">
        <v>26</v>
      </c>
      <c r="V346" s="171" t="s">
        <v>98</v>
      </c>
      <c r="W346" s="171" t="s">
        <v>123</v>
      </c>
      <c r="Y346" s="171">
        <v>35</v>
      </c>
      <c r="Z346" s="460" t="s">
        <v>98</v>
      </c>
      <c r="AA346" s="171" t="s">
        <v>56</v>
      </c>
      <c r="AC346" s="505">
        <v>23</v>
      </c>
      <c r="AD346" s="505" t="s">
        <v>98</v>
      </c>
      <c r="AE346" s="505" t="s">
        <v>38</v>
      </c>
      <c r="AG346" s="171">
        <v>45</v>
      </c>
      <c r="AH346" s="171" t="s">
        <v>97</v>
      </c>
      <c r="AI346" s="171" t="s">
        <v>688</v>
      </c>
      <c r="AK346" s="299">
        <v>19</v>
      </c>
      <c r="AL346" s="299" t="s">
        <v>81</v>
      </c>
      <c r="AM346" s="299" t="s">
        <v>1332</v>
      </c>
      <c r="AO346" s="299">
        <v>33</v>
      </c>
      <c r="AP346" s="299" t="s">
        <v>81</v>
      </c>
      <c r="AQ346" s="299" t="s">
        <v>1369</v>
      </c>
    </row>
    <row r="347" spans="1:43" ht="15" customHeight="1" x14ac:dyDescent="0.25">
      <c r="A347">
        <v>20</v>
      </c>
      <c r="B347" t="s">
        <v>98</v>
      </c>
      <c r="C347" t="s">
        <v>56</v>
      </c>
      <c r="E347" s="72">
        <v>31</v>
      </c>
      <c r="F347" t="s">
        <v>97</v>
      </c>
      <c r="G347" t="s">
        <v>688</v>
      </c>
      <c r="I347" s="171">
        <v>22</v>
      </c>
      <c r="J347" s="171" t="s">
        <v>98</v>
      </c>
      <c r="K347" s="171" t="s">
        <v>55</v>
      </c>
      <c r="M347" s="171">
        <v>55</v>
      </c>
      <c r="N347" s="171" t="s">
        <v>97</v>
      </c>
      <c r="O347" s="171" t="s">
        <v>688</v>
      </c>
      <c r="Q347" s="399">
        <v>29</v>
      </c>
      <c r="R347" s="396" t="s">
        <v>98</v>
      </c>
      <c r="S347" s="398" t="s">
        <v>56</v>
      </c>
      <c r="U347" s="171">
        <v>17</v>
      </c>
      <c r="V347" s="171" t="s">
        <v>98</v>
      </c>
      <c r="W347" s="171" t="s">
        <v>123</v>
      </c>
      <c r="Y347" s="171">
        <v>24</v>
      </c>
      <c r="Z347" s="460" t="s">
        <v>98</v>
      </c>
      <c r="AA347" s="171" t="s">
        <v>56</v>
      </c>
      <c r="AC347" s="505">
        <v>39</v>
      </c>
      <c r="AD347" s="505" t="s">
        <v>98</v>
      </c>
      <c r="AE347" s="505" t="s">
        <v>38</v>
      </c>
      <c r="AG347" s="171">
        <v>25</v>
      </c>
      <c r="AH347" s="171" t="s">
        <v>98</v>
      </c>
      <c r="AI347" s="171" t="s">
        <v>688</v>
      </c>
      <c r="AK347" s="299">
        <v>32</v>
      </c>
      <c r="AL347" s="299" t="s">
        <v>81</v>
      </c>
      <c r="AM347" s="299" t="s">
        <v>1332</v>
      </c>
      <c r="AO347" s="299">
        <v>22</v>
      </c>
      <c r="AP347" s="299" t="s">
        <v>81</v>
      </c>
      <c r="AQ347" s="299" t="s">
        <v>1369</v>
      </c>
    </row>
    <row r="348" spans="1:43" ht="15" customHeight="1" x14ac:dyDescent="0.25">
      <c r="A348">
        <v>24</v>
      </c>
      <c r="B348" t="s">
        <v>98</v>
      </c>
      <c r="C348" t="s">
        <v>56</v>
      </c>
      <c r="E348" s="72">
        <v>31</v>
      </c>
      <c r="F348" t="s">
        <v>98</v>
      </c>
      <c r="G348" t="s">
        <v>56</v>
      </c>
      <c r="I348" s="171">
        <v>35</v>
      </c>
      <c r="J348" s="171" t="s">
        <v>98</v>
      </c>
      <c r="K348" s="171" t="s">
        <v>55</v>
      </c>
      <c r="L348" t="s">
        <v>49</v>
      </c>
      <c r="M348" s="171">
        <v>25</v>
      </c>
      <c r="N348" s="171" t="s">
        <v>98</v>
      </c>
      <c r="O348" s="171" t="s">
        <v>688</v>
      </c>
      <c r="Q348" s="399">
        <v>37</v>
      </c>
      <c r="R348" s="396" t="s">
        <v>98</v>
      </c>
      <c r="S348" s="398" t="s">
        <v>56</v>
      </c>
      <c r="U348" s="171">
        <v>45</v>
      </c>
      <c r="V348" s="171" t="s">
        <v>98</v>
      </c>
      <c r="W348" s="171" t="s">
        <v>123</v>
      </c>
      <c r="Y348" s="171">
        <v>31</v>
      </c>
      <c r="Z348" s="460" t="s">
        <v>98</v>
      </c>
      <c r="AA348" s="171" t="s">
        <v>56</v>
      </c>
      <c r="AC348" s="505">
        <v>42</v>
      </c>
      <c r="AD348" s="505" t="s">
        <v>98</v>
      </c>
      <c r="AE348" s="505" t="s">
        <v>38</v>
      </c>
      <c r="AG348" s="171">
        <v>20</v>
      </c>
      <c r="AH348" s="171" t="s">
        <v>97</v>
      </c>
      <c r="AI348" s="171" t="s">
        <v>688</v>
      </c>
      <c r="AK348" s="299">
        <v>18</v>
      </c>
      <c r="AL348" s="299" t="s">
        <v>81</v>
      </c>
      <c r="AM348" s="299" t="s">
        <v>1332</v>
      </c>
      <c r="AO348" s="299">
        <v>37</v>
      </c>
      <c r="AP348" s="299" t="s">
        <v>81</v>
      </c>
      <c r="AQ348" s="299" t="s">
        <v>1369</v>
      </c>
    </row>
    <row r="349" spans="1:43" ht="15" customHeight="1" x14ac:dyDescent="0.25">
      <c r="A349">
        <v>26</v>
      </c>
      <c r="B349" t="s">
        <v>98</v>
      </c>
      <c r="C349" t="s">
        <v>56</v>
      </c>
      <c r="E349" s="72">
        <v>31</v>
      </c>
      <c r="F349" t="s">
        <v>98</v>
      </c>
      <c r="G349" t="s">
        <v>56</v>
      </c>
      <c r="I349" s="171">
        <v>40</v>
      </c>
      <c r="J349" s="171" t="s">
        <v>98</v>
      </c>
      <c r="K349" s="171" t="s">
        <v>55</v>
      </c>
      <c r="M349" s="171">
        <v>4</v>
      </c>
      <c r="N349" s="171" t="s">
        <v>98</v>
      </c>
      <c r="O349" s="171" t="s">
        <v>688</v>
      </c>
      <c r="Q349" s="399">
        <v>36</v>
      </c>
      <c r="R349" s="396" t="s">
        <v>98</v>
      </c>
      <c r="S349" s="398" t="s">
        <v>56</v>
      </c>
      <c r="U349" s="171">
        <v>48</v>
      </c>
      <c r="V349" s="171" t="s">
        <v>98</v>
      </c>
      <c r="W349" s="171" t="s">
        <v>123</v>
      </c>
      <c r="Y349" s="171">
        <v>35</v>
      </c>
      <c r="Z349" s="460" t="s">
        <v>98</v>
      </c>
      <c r="AA349" s="171" t="s">
        <v>56</v>
      </c>
      <c r="AC349" s="505">
        <v>63</v>
      </c>
      <c r="AD349" s="505" t="s">
        <v>98</v>
      </c>
      <c r="AE349" s="505" t="s">
        <v>38</v>
      </c>
      <c r="AG349" s="171">
        <v>18</v>
      </c>
      <c r="AH349" s="171" t="s">
        <v>98</v>
      </c>
      <c r="AI349" s="171" t="s">
        <v>688</v>
      </c>
      <c r="AK349" s="299">
        <v>32</v>
      </c>
      <c r="AL349" s="299" t="s">
        <v>81</v>
      </c>
      <c r="AM349" s="299" t="s">
        <v>1332</v>
      </c>
      <c r="AO349" s="299">
        <v>17</v>
      </c>
      <c r="AP349" s="299" t="s">
        <v>81</v>
      </c>
      <c r="AQ349" s="299" t="s">
        <v>1369</v>
      </c>
    </row>
    <row r="350" spans="1:43" ht="15" customHeight="1" x14ac:dyDescent="0.25">
      <c r="A350">
        <v>29</v>
      </c>
      <c r="B350" t="s">
        <v>98</v>
      </c>
      <c r="C350" t="s">
        <v>56</v>
      </c>
      <c r="E350" s="72">
        <v>31</v>
      </c>
      <c r="F350" t="s">
        <v>98</v>
      </c>
      <c r="G350" t="s">
        <v>56</v>
      </c>
      <c r="I350" s="171">
        <v>33</v>
      </c>
      <c r="J350" s="171" t="s">
        <v>98</v>
      </c>
      <c r="K350" s="171" t="s">
        <v>55</v>
      </c>
      <c r="M350" s="171">
        <v>85</v>
      </c>
      <c r="N350" s="171" t="s">
        <v>98</v>
      </c>
      <c r="O350" s="171" t="s">
        <v>688</v>
      </c>
      <c r="Q350" s="399">
        <v>37</v>
      </c>
      <c r="R350" s="396" t="s">
        <v>98</v>
      </c>
      <c r="S350" s="398" t="s">
        <v>56</v>
      </c>
      <c r="U350" s="171">
        <v>36</v>
      </c>
      <c r="V350" s="171" t="s">
        <v>98</v>
      </c>
      <c r="W350" s="171" t="s">
        <v>123</v>
      </c>
      <c r="Y350" s="171">
        <v>35</v>
      </c>
      <c r="Z350" s="460" t="s">
        <v>98</v>
      </c>
      <c r="AA350" s="171" t="s">
        <v>56</v>
      </c>
      <c r="AC350" s="505">
        <v>32</v>
      </c>
      <c r="AD350" s="505" t="s">
        <v>98</v>
      </c>
      <c r="AE350" s="505" t="s">
        <v>38</v>
      </c>
      <c r="AG350" s="171">
        <v>46</v>
      </c>
      <c r="AH350" s="171" t="s">
        <v>97</v>
      </c>
      <c r="AI350" s="171" t="s">
        <v>688</v>
      </c>
      <c r="AK350" s="299">
        <v>31</v>
      </c>
      <c r="AL350" s="299" t="s">
        <v>81</v>
      </c>
      <c r="AM350" s="299" t="s">
        <v>1332</v>
      </c>
      <c r="AO350" s="299">
        <v>49</v>
      </c>
      <c r="AP350" s="299" t="s">
        <v>81</v>
      </c>
      <c r="AQ350" s="299" t="s">
        <v>1369</v>
      </c>
    </row>
    <row r="351" spans="1:43" ht="15" customHeight="1" x14ac:dyDescent="0.25">
      <c r="A351">
        <v>24</v>
      </c>
      <c r="B351" t="s">
        <v>98</v>
      </c>
      <c r="C351" t="s">
        <v>56</v>
      </c>
      <c r="E351" s="72">
        <v>31</v>
      </c>
      <c r="F351" t="s">
        <v>98</v>
      </c>
      <c r="G351" t="s">
        <v>56</v>
      </c>
      <c r="I351" s="171">
        <v>20</v>
      </c>
      <c r="J351" s="171" t="s">
        <v>98</v>
      </c>
      <c r="K351" s="171" t="s">
        <v>55</v>
      </c>
      <c r="M351" s="171">
        <v>22</v>
      </c>
      <c r="N351" s="171" t="s">
        <v>98</v>
      </c>
      <c r="O351" s="171" t="s">
        <v>688</v>
      </c>
      <c r="Q351" s="399">
        <v>27</v>
      </c>
      <c r="R351" s="396" t="s">
        <v>98</v>
      </c>
      <c r="S351" s="398" t="s">
        <v>56</v>
      </c>
      <c r="U351" s="171">
        <v>21</v>
      </c>
      <c r="V351" s="171" t="s">
        <v>98</v>
      </c>
      <c r="W351" s="171" t="s">
        <v>123</v>
      </c>
      <c r="Y351" s="171">
        <v>33</v>
      </c>
      <c r="Z351" s="460" t="s">
        <v>98</v>
      </c>
      <c r="AA351" s="171" t="s">
        <v>56</v>
      </c>
      <c r="AC351" s="505">
        <v>35</v>
      </c>
      <c r="AD351" s="505" t="s">
        <v>98</v>
      </c>
      <c r="AE351" s="505" t="s">
        <v>38</v>
      </c>
      <c r="AG351" s="171">
        <v>7</v>
      </c>
      <c r="AH351" s="171" t="s">
        <v>98</v>
      </c>
      <c r="AI351" s="171" t="s">
        <v>688</v>
      </c>
      <c r="AK351" s="299">
        <v>27</v>
      </c>
      <c r="AL351" s="299" t="s">
        <v>81</v>
      </c>
      <c r="AM351" s="299" t="s">
        <v>1332</v>
      </c>
      <c r="AO351" s="299">
        <v>37</v>
      </c>
      <c r="AP351" s="299" t="s">
        <v>81</v>
      </c>
      <c r="AQ351" s="299" t="s">
        <v>1369</v>
      </c>
    </row>
    <row r="352" spans="1:43" ht="15" customHeight="1" x14ac:dyDescent="0.25">
      <c r="A352">
        <v>27</v>
      </c>
      <c r="B352" t="s">
        <v>98</v>
      </c>
      <c r="C352" t="s">
        <v>56</v>
      </c>
      <c r="E352" s="72">
        <v>31</v>
      </c>
      <c r="F352" t="s">
        <v>98</v>
      </c>
      <c r="G352" t="s">
        <v>123</v>
      </c>
      <c r="I352" s="171">
        <v>40</v>
      </c>
      <c r="J352" s="171" t="s">
        <v>98</v>
      </c>
      <c r="K352" s="171" t="s">
        <v>55</v>
      </c>
      <c r="M352" s="171">
        <v>80</v>
      </c>
      <c r="N352" s="171" t="s">
        <v>97</v>
      </c>
      <c r="O352" s="171" t="s">
        <v>688</v>
      </c>
      <c r="Q352" s="399">
        <v>36</v>
      </c>
      <c r="R352" s="396" t="s">
        <v>98</v>
      </c>
      <c r="S352" s="398" t="s">
        <v>56</v>
      </c>
      <c r="U352" s="171">
        <v>29</v>
      </c>
      <c r="V352" s="171" t="s">
        <v>98</v>
      </c>
      <c r="W352" s="171" t="s">
        <v>123</v>
      </c>
      <c r="Y352" s="171">
        <v>41</v>
      </c>
      <c r="Z352" s="460" t="s">
        <v>98</v>
      </c>
      <c r="AA352" s="171" t="s">
        <v>56</v>
      </c>
      <c r="AC352" s="505">
        <v>32</v>
      </c>
      <c r="AD352" s="505" t="s">
        <v>98</v>
      </c>
      <c r="AE352" s="505" t="s">
        <v>38</v>
      </c>
      <c r="AG352" s="171">
        <v>42</v>
      </c>
      <c r="AH352" s="171" t="s">
        <v>97</v>
      </c>
      <c r="AI352" s="171" t="s">
        <v>688</v>
      </c>
      <c r="AK352" s="299">
        <v>34</v>
      </c>
      <c r="AL352" s="299" t="s">
        <v>81</v>
      </c>
      <c r="AM352" s="299" t="s">
        <v>1332</v>
      </c>
      <c r="AO352" s="299">
        <v>24</v>
      </c>
      <c r="AP352" s="299" t="s">
        <v>81</v>
      </c>
      <c r="AQ352" s="299" t="s">
        <v>1369</v>
      </c>
    </row>
    <row r="353" spans="1:43" ht="15" customHeight="1" x14ac:dyDescent="0.25">
      <c r="A353">
        <v>27</v>
      </c>
      <c r="B353" t="s">
        <v>98</v>
      </c>
      <c r="C353" t="s">
        <v>56</v>
      </c>
      <c r="E353" s="72">
        <v>30</v>
      </c>
      <c r="F353" t="s">
        <v>97</v>
      </c>
      <c r="G353" t="s">
        <v>688</v>
      </c>
      <c r="I353" s="171">
        <v>19</v>
      </c>
      <c r="J353" s="171" t="s">
        <v>98</v>
      </c>
      <c r="K353" s="171" t="s">
        <v>55</v>
      </c>
      <c r="M353" s="171">
        <v>62</v>
      </c>
      <c r="N353" s="171" t="s">
        <v>98</v>
      </c>
      <c r="O353" s="171" t="s">
        <v>688</v>
      </c>
      <c r="Q353" s="399">
        <v>34</v>
      </c>
      <c r="R353" s="396" t="s">
        <v>98</v>
      </c>
      <c r="S353" s="398" t="s">
        <v>56</v>
      </c>
      <c r="U353" s="171">
        <v>50</v>
      </c>
      <c r="V353" s="171" t="s">
        <v>98</v>
      </c>
      <c r="W353" s="171" t="s">
        <v>123</v>
      </c>
      <c r="Y353" s="171">
        <v>34</v>
      </c>
      <c r="Z353" s="460" t="s">
        <v>98</v>
      </c>
      <c r="AA353" s="171" t="s">
        <v>56</v>
      </c>
      <c r="AC353" s="505">
        <v>29</v>
      </c>
      <c r="AD353" s="505" t="s">
        <v>98</v>
      </c>
      <c r="AE353" s="505" t="s">
        <v>38</v>
      </c>
      <c r="AG353" s="171">
        <v>20</v>
      </c>
      <c r="AH353" s="171" t="s">
        <v>98</v>
      </c>
      <c r="AI353" s="171" t="s">
        <v>688</v>
      </c>
      <c r="AK353" s="299">
        <v>34</v>
      </c>
      <c r="AL353" s="299" t="s">
        <v>81</v>
      </c>
      <c r="AM353" s="299" t="s">
        <v>1332</v>
      </c>
      <c r="AO353" s="299">
        <v>34</v>
      </c>
      <c r="AP353" s="299" t="s">
        <v>81</v>
      </c>
      <c r="AQ353" s="299" t="s">
        <v>1369</v>
      </c>
    </row>
    <row r="354" spans="1:43" ht="15" customHeight="1" x14ac:dyDescent="0.25">
      <c r="A354">
        <v>36</v>
      </c>
      <c r="B354" t="s">
        <v>98</v>
      </c>
      <c r="C354" t="s">
        <v>56</v>
      </c>
      <c r="E354" s="72">
        <v>30</v>
      </c>
      <c r="F354" t="s">
        <v>98</v>
      </c>
      <c r="G354" t="s">
        <v>55</v>
      </c>
      <c r="I354" s="171">
        <v>40</v>
      </c>
      <c r="J354" s="171" t="s">
        <v>98</v>
      </c>
      <c r="K354" s="171" t="s">
        <v>55</v>
      </c>
      <c r="M354" s="171">
        <v>23</v>
      </c>
      <c r="N354" s="171" t="s">
        <v>98</v>
      </c>
      <c r="O354" s="171" t="s">
        <v>688</v>
      </c>
      <c r="Q354" s="399">
        <v>31</v>
      </c>
      <c r="R354" s="396" t="s">
        <v>98</v>
      </c>
      <c r="S354" s="398" t="s">
        <v>56</v>
      </c>
      <c r="U354" s="171">
        <v>89</v>
      </c>
      <c r="V354" s="171" t="s">
        <v>98</v>
      </c>
      <c r="W354" s="171" t="s">
        <v>123</v>
      </c>
      <c r="Y354" s="171">
        <v>31</v>
      </c>
      <c r="Z354" s="460" t="s">
        <v>98</v>
      </c>
      <c r="AA354" s="171" t="s">
        <v>56</v>
      </c>
      <c r="AC354" s="505">
        <v>20</v>
      </c>
      <c r="AD354" s="505" t="s">
        <v>98</v>
      </c>
      <c r="AE354" s="505" t="s">
        <v>38</v>
      </c>
      <c r="AG354" s="171">
        <v>71</v>
      </c>
      <c r="AH354" s="171" t="s">
        <v>98</v>
      </c>
      <c r="AI354" s="171" t="s">
        <v>688</v>
      </c>
      <c r="AK354" s="545">
        <v>30</v>
      </c>
      <c r="AL354" s="545" t="s">
        <v>81</v>
      </c>
      <c r="AM354" s="545" t="s">
        <v>1332</v>
      </c>
      <c r="AO354" s="503">
        <v>29</v>
      </c>
      <c r="AP354" s="299" t="s">
        <v>81</v>
      </c>
      <c r="AQ354" s="299" t="s">
        <v>1369</v>
      </c>
    </row>
    <row r="355" spans="1:43" ht="15" customHeight="1" x14ac:dyDescent="0.25">
      <c r="A355">
        <v>25</v>
      </c>
      <c r="B355" t="s">
        <v>98</v>
      </c>
      <c r="C355" t="s">
        <v>56</v>
      </c>
      <c r="E355" s="72">
        <v>30</v>
      </c>
      <c r="F355" t="s">
        <v>98</v>
      </c>
      <c r="G355" t="s">
        <v>56</v>
      </c>
      <c r="I355" s="171">
        <v>22</v>
      </c>
      <c r="J355" s="171" t="s">
        <v>98</v>
      </c>
      <c r="K355" s="171" t="s">
        <v>55</v>
      </c>
      <c r="M355" s="171">
        <v>34</v>
      </c>
      <c r="N355" s="171" t="s">
        <v>98</v>
      </c>
      <c r="O355" s="171" t="s">
        <v>688</v>
      </c>
      <c r="Q355" s="399">
        <v>21</v>
      </c>
      <c r="R355" s="396" t="s">
        <v>98</v>
      </c>
      <c r="S355" s="398" t="s">
        <v>56</v>
      </c>
      <c r="U355" s="171">
        <v>19</v>
      </c>
      <c r="V355" s="171" t="s">
        <v>98</v>
      </c>
      <c r="W355" s="171" t="s">
        <v>123</v>
      </c>
      <c r="Y355" s="171">
        <v>27</v>
      </c>
      <c r="Z355" s="460" t="s">
        <v>98</v>
      </c>
      <c r="AA355" s="171" t="s">
        <v>56</v>
      </c>
      <c r="AC355" s="505">
        <v>33</v>
      </c>
      <c r="AD355" s="505" t="s">
        <v>98</v>
      </c>
      <c r="AE355" s="505" t="s">
        <v>38</v>
      </c>
      <c r="AG355" s="171">
        <v>72</v>
      </c>
      <c r="AH355" s="171" t="s">
        <v>98</v>
      </c>
      <c r="AI355" s="171" t="s">
        <v>688</v>
      </c>
      <c r="AK355" s="299">
        <v>28</v>
      </c>
      <c r="AL355" s="503" t="s">
        <v>81</v>
      </c>
      <c r="AM355" s="299" t="s">
        <v>1340</v>
      </c>
      <c r="AO355" s="299">
        <v>21</v>
      </c>
      <c r="AP355" s="299" t="s">
        <v>81</v>
      </c>
      <c r="AQ355" s="299" t="s">
        <v>1369</v>
      </c>
    </row>
    <row r="356" spans="1:43" ht="15" customHeight="1" x14ac:dyDescent="0.25">
      <c r="A356">
        <v>44</v>
      </c>
      <c r="B356" t="s">
        <v>98</v>
      </c>
      <c r="C356" t="s">
        <v>56</v>
      </c>
      <c r="E356" s="72">
        <v>30</v>
      </c>
      <c r="F356" t="s">
        <v>98</v>
      </c>
      <c r="G356" t="s">
        <v>56</v>
      </c>
      <c r="I356" s="171">
        <v>24</v>
      </c>
      <c r="J356" s="171" t="s">
        <v>98</v>
      </c>
      <c r="K356" s="171" t="s">
        <v>55</v>
      </c>
      <c r="M356" s="171">
        <v>28</v>
      </c>
      <c r="N356" s="171" t="s">
        <v>97</v>
      </c>
      <c r="O356" s="171" t="s">
        <v>688</v>
      </c>
      <c r="Q356" s="399">
        <v>24</v>
      </c>
      <c r="R356" s="396" t="s">
        <v>98</v>
      </c>
      <c r="S356" s="398" t="s">
        <v>56</v>
      </c>
      <c r="U356" s="171">
        <v>53</v>
      </c>
      <c r="V356" s="171" t="s">
        <v>98</v>
      </c>
      <c r="W356" s="171" t="s">
        <v>123</v>
      </c>
      <c r="Y356" s="171">
        <v>31</v>
      </c>
      <c r="Z356" s="460" t="s">
        <v>98</v>
      </c>
      <c r="AA356" s="171" t="s">
        <v>56</v>
      </c>
      <c r="AC356" s="505">
        <v>20</v>
      </c>
      <c r="AD356" s="505" t="s">
        <v>98</v>
      </c>
      <c r="AE356" s="505" t="s">
        <v>38</v>
      </c>
      <c r="AG356" s="171">
        <v>53</v>
      </c>
      <c r="AH356" s="171" t="s">
        <v>97</v>
      </c>
      <c r="AI356" s="171" t="s">
        <v>688</v>
      </c>
      <c r="AK356" s="299">
        <v>33</v>
      </c>
      <c r="AL356" s="503" t="s">
        <v>81</v>
      </c>
      <c r="AM356" s="299" t="s">
        <v>1340</v>
      </c>
      <c r="AO356" s="299">
        <v>34</v>
      </c>
      <c r="AP356" s="299" t="s">
        <v>81</v>
      </c>
      <c r="AQ356" s="299" t="s">
        <v>1369</v>
      </c>
    </row>
    <row r="357" spans="1:43" ht="15" customHeight="1" x14ac:dyDescent="0.25">
      <c r="A357">
        <v>98</v>
      </c>
      <c r="B357" t="s">
        <v>98</v>
      </c>
      <c r="C357" t="s">
        <v>123</v>
      </c>
      <c r="E357" s="72">
        <v>30</v>
      </c>
      <c r="F357" t="s">
        <v>98</v>
      </c>
      <c r="G357" t="s">
        <v>38</v>
      </c>
      <c r="I357" s="171">
        <v>36</v>
      </c>
      <c r="J357" s="171" t="s">
        <v>98</v>
      </c>
      <c r="K357" s="171" t="s">
        <v>55</v>
      </c>
      <c r="M357" s="171">
        <v>52</v>
      </c>
      <c r="N357" s="171" t="s">
        <v>98</v>
      </c>
      <c r="O357" s="171" t="s">
        <v>688</v>
      </c>
      <c r="Q357" s="399">
        <v>23</v>
      </c>
      <c r="R357" s="396" t="s">
        <v>98</v>
      </c>
      <c r="S357" s="398" t="s">
        <v>56</v>
      </c>
      <c r="U357" s="171">
        <v>17</v>
      </c>
      <c r="V357" s="171" t="s">
        <v>98</v>
      </c>
      <c r="W357" s="171" t="s">
        <v>123</v>
      </c>
      <c r="Y357" s="171">
        <v>27</v>
      </c>
      <c r="Z357" s="460" t="s">
        <v>98</v>
      </c>
      <c r="AA357" s="171" t="s">
        <v>56</v>
      </c>
      <c r="AC357" s="505">
        <v>25</v>
      </c>
      <c r="AD357" s="505" t="s">
        <v>98</v>
      </c>
      <c r="AE357" s="505" t="s">
        <v>38</v>
      </c>
      <c r="AG357" s="171">
        <v>40</v>
      </c>
      <c r="AH357" s="171" t="s">
        <v>97</v>
      </c>
      <c r="AI357" s="171" t="s">
        <v>122</v>
      </c>
      <c r="AK357" s="299">
        <v>40</v>
      </c>
      <c r="AL357" s="503" t="s">
        <v>81</v>
      </c>
      <c r="AM357" s="299" t="s">
        <v>1340</v>
      </c>
      <c r="AO357" s="299">
        <v>25</v>
      </c>
      <c r="AP357" s="299" t="s">
        <v>81</v>
      </c>
      <c r="AQ357" s="299" t="s">
        <v>1369</v>
      </c>
    </row>
    <row r="358" spans="1:43" ht="15" customHeight="1" x14ac:dyDescent="0.25">
      <c r="A358">
        <v>94</v>
      </c>
      <c r="B358" t="s">
        <v>98</v>
      </c>
      <c r="C358" t="s">
        <v>123</v>
      </c>
      <c r="E358" s="72">
        <v>30</v>
      </c>
      <c r="F358" t="s">
        <v>98</v>
      </c>
      <c r="G358" t="s">
        <v>123</v>
      </c>
      <c r="I358" s="171">
        <v>26</v>
      </c>
      <c r="J358" s="171" t="s">
        <v>98</v>
      </c>
      <c r="K358" s="171" t="s">
        <v>55</v>
      </c>
      <c r="M358" s="171">
        <v>69</v>
      </c>
      <c r="N358" s="171" t="s">
        <v>98</v>
      </c>
      <c r="O358" s="171" t="s">
        <v>688</v>
      </c>
      <c r="Q358" s="399">
        <v>38</v>
      </c>
      <c r="R358" s="396" t="s">
        <v>98</v>
      </c>
      <c r="S358" s="398" t="s">
        <v>56</v>
      </c>
      <c r="U358" s="171">
        <v>22</v>
      </c>
      <c r="V358" s="171" t="s">
        <v>98</v>
      </c>
      <c r="W358" s="171" t="s">
        <v>123</v>
      </c>
      <c r="Y358" s="171">
        <v>28</v>
      </c>
      <c r="Z358" s="460" t="s">
        <v>98</v>
      </c>
      <c r="AA358" s="171" t="s">
        <v>56</v>
      </c>
      <c r="AC358" s="505">
        <v>40</v>
      </c>
      <c r="AD358" s="505" t="s">
        <v>98</v>
      </c>
      <c r="AE358" s="505" t="s">
        <v>38</v>
      </c>
      <c r="AG358" s="171">
        <v>84</v>
      </c>
      <c r="AH358" s="171" t="s">
        <v>97</v>
      </c>
      <c r="AI358" s="171" t="s">
        <v>122</v>
      </c>
      <c r="AK358" s="299">
        <v>26</v>
      </c>
      <c r="AL358" s="503" t="s">
        <v>81</v>
      </c>
      <c r="AM358" s="299" t="s">
        <v>1340</v>
      </c>
      <c r="AO358" s="299">
        <v>37</v>
      </c>
      <c r="AP358" s="299" t="s">
        <v>81</v>
      </c>
      <c r="AQ358" s="299" t="s">
        <v>1369</v>
      </c>
    </row>
    <row r="359" spans="1:43" ht="15" customHeight="1" x14ac:dyDescent="0.25">
      <c r="A359">
        <v>89</v>
      </c>
      <c r="B359" t="s">
        <v>98</v>
      </c>
      <c r="C359" t="s">
        <v>123</v>
      </c>
      <c r="E359" s="72">
        <v>30</v>
      </c>
      <c r="F359" t="s">
        <v>98</v>
      </c>
      <c r="G359" t="s">
        <v>123</v>
      </c>
      <c r="I359" s="171">
        <v>30</v>
      </c>
      <c r="J359" s="171" t="s">
        <v>98</v>
      </c>
      <c r="K359" s="171" t="s">
        <v>55</v>
      </c>
      <c r="M359" s="171">
        <v>19</v>
      </c>
      <c r="N359" s="171" t="s">
        <v>97</v>
      </c>
      <c r="O359" s="171" t="s">
        <v>688</v>
      </c>
      <c r="Q359" s="399">
        <v>17</v>
      </c>
      <c r="R359" s="396" t="s">
        <v>98</v>
      </c>
      <c r="S359" s="398" t="s">
        <v>56</v>
      </c>
      <c r="U359" s="171">
        <v>43</v>
      </c>
      <c r="V359" s="171" t="s">
        <v>98</v>
      </c>
      <c r="W359" s="171" t="s">
        <v>123</v>
      </c>
      <c r="Y359" s="171">
        <v>25</v>
      </c>
      <c r="Z359" s="460" t="s">
        <v>98</v>
      </c>
      <c r="AA359" s="171" t="s">
        <v>56</v>
      </c>
      <c r="AC359" s="505">
        <v>40</v>
      </c>
      <c r="AD359" s="505" t="s">
        <v>98</v>
      </c>
      <c r="AE359" s="505" t="s">
        <v>38</v>
      </c>
      <c r="AG359" s="171">
        <v>85</v>
      </c>
      <c r="AH359" s="171" t="s">
        <v>97</v>
      </c>
      <c r="AI359" s="171" t="s">
        <v>122</v>
      </c>
      <c r="AK359" s="299">
        <v>14</v>
      </c>
      <c r="AL359" s="503" t="s">
        <v>81</v>
      </c>
      <c r="AM359" s="299" t="s">
        <v>1340</v>
      </c>
      <c r="AO359" s="299">
        <v>26</v>
      </c>
      <c r="AP359" s="299" t="s">
        <v>81</v>
      </c>
      <c r="AQ359" s="299" t="s">
        <v>1369</v>
      </c>
    </row>
    <row r="360" spans="1:43" ht="15" customHeight="1" x14ac:dyDescent="0.25">
      <c r="A360">
        <v>81</v>
      </c>
      <c r="B360" t="s">
        <v>98</v>
      </c>
      <c r="C360" t="s">
        <v>123</v>
      </c>
      <c r="E360" s="72">
        <v>29</v>
      </c>
      <c r="F360" t="s">
        <v>97</v>
      </c>
      <c r="G360" t="s">
        <v>688</v>
      </c>
      <c r="I360" s="171">
        <v>23</v>
      </c>
      <c r="J360" s="171" t="s">
        <v>98</v>
      </c>
      <c r="K360" s="171" t="s">
        <v>55</v>
      </c>
      <c r="M360" s="171">
        <v>21</v>
      </c>
      <c r="N360" s="171" t="s">
        <v>98</v>
      </c>
      <c r="O360" s="171" t="s">
        <v>688</v>
      </c>
      <c r="Q360" s="399">
        <v>17</v>
      </c>
      <c r="R360" s="396" t="s">
        <v>98</v>
      </c>
      <c r="S360" s="398" t="s">
        <v>56</v>
      </c>
      <c r="U360" s="171">
        <v>38</v>
      </c>
      <c r="V360" s="171" t="s">
        <v>98</v>
      </c>
      <c r="W360" s="171" t="s">
        <v>123</v>
      </c>
      <c r="Y360" s="171">
        <v>18</v>
      </c>
      <c r="Z360" s="460" t="s">
        <v>98</v>
      </c>
      <c r="AA360" s="171" t="s">
        <v>56</v>
      </c>
      <c r="AC360" s="505">
        <v>43</v>
      </c>
      <c r="AD360" s="505" t="s">
        <v>98</v>
      </c>
      <c r="AE360" s="505" t="s">
        <v>38</v>
      </c>
      <c r="AG360" s="171">
        <v>39</v>
      </c>
      <c r="AH360" s="171" t="s">
        <v>97</v>
      </c>
      <c r="AI360" s="171" t="s">
        <v>122</v>
      </c>
      <c r="AK360" s="299">
        <v>37</v>
      </c>
      <c r="AL360" s="503" t="s">
        <v>81</v>
      </c>
      <c r="AM360" s="299" t="s">
        <v>1340</v>
      </c>
      <c r="AO360" s="299">
        <v>18</v>
      </c>
      <c r="AP360" s="299" t="s">
        <v>81</v>
      </c>
      <c r="AQ360" s="299" t="s">
        <v>1369</v>
      </c>
    </row>
    <row r="361" spans="1:43" ht="15" customHeight="1" x14ac:dyDescent="0.25">
      <c r="A361">
        <v>79</v>
      </c>
      <c r="B361" t="s">
        <v>98</v>
      </c>
      <c r="C361" t="s">
        <v>123</v>
      </c>
      <c r="E361" s="72">
        <v>29</v>
      </c>
      <c r="F361" t="s">
        <v>97</v>
      </c>
      <c r="G361" t="s">
        <v>688</v>
      </c>
      <c r="I361" s="171">
        <v>27</v>
      </c>
      <c r="J361" s="171" t="s">
        <v>98</v>
      </c>
      <c r="K361" s="171" t="s">
        <v>55</v>
      </c>
      <c r="M361" s="171">
        <v>43</v>
      </c>
      <c r="N361" s="171" t="s">
        <v>98</v>
      </c>
      <c r="O361" s="171" t="s">
        <v>688</v>
      </c>
      <c r="Q361" s="399">
        <v>29</v>
      </c>
      <c r="R361" s="396" t="s">
        <v>98</v>
      </c>
      <c r="S361" s="398" t="s">
        <v>56</v>
      </c>
      <c r="U361" s="171">
        <v>77</v>
      </c>
      <c r="V361" s="171" t="s">
        <v>98</v>
      </c>
      <c r="W361" s="171" t="s">
        <v>123</v>
      </c>
      <c r="Y361" s="171">
        <v>19</v>
      </c>
      <c r="Z361" s="460" t="s">
        <v>98</v>
      </c>
      <c r="AA361" s="171" t="s">
        <v>56</v>
      </c>
      <c r="AC361" s="505">
        <v>28</v>
      </c>
      <c r="AD361" s="505" t="s">
        <v>98</v>
      </c>
      <c r="AE361" s="505" t="s">
        <v>38</v>
      </c>
      <c r="AG361" s="171">
        <v>19</v>
      </c>
      <c r="AH361" s="171" t="s">
        <v>97</v>
      </c>
      <c r="AI361" s="171" t="s">
        <v>122</v>
      </c>
      <c r="AK361" s="299">
        <v>34</v>
      </c>
      <c r="AL361" s="503" t="s">
        <v>81</v>
      </c>
      <c r="AM361" s="299" t="s">
        <v>1340</v>
      </c>
      <c r="AO361" s="299">
        <v>30</v>
      </c>
      <c r="AP361" s="299" t="s">
        <v>81</v>
      </c>
      <c r="AQ361" s="299" t="s">
        <v>1369</v>
      </c>
    </row>
    <row r="362" spans="1:43" ht="15" customHeight="1" x14ac:dyDescent="0.25">
      <c r="A362">
        <v>79</v>
      </c>
      <c r="B362" t="s">
        <v>98</v>
      </c>
      <c r="C362" t="s">
        <v>123</v>
      </c>
      <c r="E362" s="72">
        <v>29</v>
      </c>
      <c r="F362" t="s">
        <v>97</v>
      </c>
      <c r="G362" t="s">
        <v>688</v>
      </c>
      <c r="I362" s="171">
        <v>15</v>
      </c>
      <c r="J362" s="171" t="s">
        <v>98</v>
      </c>
      <c r="K362" s="171" t="s">
        <v>55</v>
      </c>
      <c r="M362" s="171">
        <v>14</v>
      </c>
      <c r="N362" s="171" t="s">
        <v>98</v>
      </c>
      <c r="O362" s="171" t="s">
        <v>688</v>
      </c>
      <c r="Q362" s="399">
        <v>25</v>
      </c>
      <c r="R362" s="396" t="s">
        <v>98</v>
      </c>
      <c r="S362" s="398" t="s">
        <v>56</v>
      </c>
      <c r="U362" s="171">
        <v>61</v>
      </c>
      <c r="V362" s="171" t="s">
        <v>98</v>
      </c>
      <c r="W362" s="171" t="s">
        <v>123</v>
      </c>
      <c r="Y362" s="171">
        <v>30</v>
      </c>
      <c r="Z362" s="460" t="s">
        <v>98</v>
      </c>
      <c r="AA362" s="171" t="s">
        <v>56</v>
      </c>
      <c r="AC362" s="505">
        <v>17</v>
      </c>
      <c r="AD362" s="505" t="s">
        <v>98</v>
      </c>
      <c r="AE362" s="505" t="s">
        <v>38</v>
      </c>
      <c r="AG362" s="171">
        <v>82</v>
      </c>
      <c r="AH362" s="171" t="s">
        <v>97</v>
      </c>
      <c r="AI362" s="171" t="s">
        <v>122</v>
      </c>
      <c r="AK362" s="299">
        <v>21</v>
      </c>
      <c r="AL362" s="503" t="s">
        <v>81</v>
      </c>
      <c r="AM362" s="299" t="s">
        <v>1340</v>
      </c>
      <c r="AO362" s="299">
        <v>23</v>
      </c>
      <c r="AP362" s="299" t="s">
        <v>81</v>
      </c>
      <c r="AQ362" s="299" t="s">
        <v>1369</v>
      </c>
    </row>
    <row r="363" spans="1:43" ht="15" customHeight="1" x14ac:dyDescent="0.25">
      <c r="A363">
        <v>77</v>
      </c>
      <c r="B363" t="s">
        <v>98</v>
      </c>
      <c r="C363" t="s">
        <v>123</v>
      </c>
      <c r="E363" s="72">
        <v>29</v>
      </c>
      <c r="F363" t="s">
        <v>98</v>
      </c>
      <c r="G363" t="s">
        <v>55</v>
      </c>
      <c r="I363" s="171">
        <v>33</v>
      </c>
      <c r="J363" s="171" t="s">
        <v>98</v>
      </c>
      <c r="K363" s="171" t="s">
        <v>55</v>
      </c>
      <c r="M363" s="171">
        <v>64</v>
      </c>
      <c r="N363" s="171" t="s">
        <v>97</v>
      </c>
      <c r="O363" s="171" t="s">
        <v>688</v>
      </c>
      <c r="Q363" s="399">
        <v>38</v>
      </c>
      <c r="R363" s="396" t="s">
        <v>98</v>
      </c>
      <c r="S363" s="398" t="s">
        <v>56</v>
      </c>
      <c r="U363" s="171">
        <v>47</v>
      </c>
      <c r="V363" s="171" t="s">
        <v>98</v>
      </c>
      <c r="W363" s="171" t="s">
        <v>123</v>
      </c>
      <c r="Y363" s="171">
        <v>20</v>
      </c>
      <c r="Z363" s="460" t="s">
        <v>98</v>
      </c>
      <c r="AA363" s="171" t="s">
        <v>56</v>
      </c>
      <c r="AC363" s="505">
        <v>22</v>
      </c>
      <c r="AD363" s="505" t="s">
        <v>98</v>
      </c>
      <c r="AE363" s="505" t="s">
        <v>38</v>
      </c>
      <c r="AG363" s="171">
        <v>38</v>
      </c>
      <c r="AH363" s="171" t="s">
        <v>97</v>
      </c>
      <c r="AI363" s="171" t="s">
        <v>122</v>
      </c>
      <c r="AK363" s="299">
        <v>30</v>
      </c>
      <c r="AL363" s="503" t="s">
        <v>81</v>
      </c>
      <c r="AM363" s="299" t="s">
        <v>1340</v>
      </c>
      <c r="AO363" s="299">
        <v>29</v>
      </c>
      <c r="AP363" s="299" t="s">
        <v>81</v>
      </c>
      <c r="AQ363" s="299" t="s">
        <v>1369</v>
      </c>
    </row>
    <row r="364" spans="1:43" ht="15" customHeight="1" x14ac:dyDescent="0.25">
      <c r="A364">
        <v>75</v>
      </c>
      <c r="B364" t="s">
        <v>98</v>
      </c>
      <c r="C364" t="s">
        <v>123</v>
      </c>
      <c r="E364" s="72">
        <v>29</v>
      </c>
      <c r="F364" t="s">
        <v>98</v>
      </c>
      <c r="G364" t="s">
        <v>55</v>
      </c>
      <c r="I364" s="171">
        <v>30</v>
      </c>
      <c r="J364" s="171" t="s">
        <v>98</v>
      </c>
      <c r="K364" s="171" t="s">
        <v>55</v>
      </c>
      <c r="M364" s="171">
        <v>29</v>
      </c>
      <c r="N364" s="171" t="s">
        <v>97</v>
      </c>
      <c r="O364" s="171" t="s">
        <v>688</v>
      </c>
      <c r="Q364" s="399">
        <v>34</v>
      </c>
      <c r="R364" s="396" t="s">
        <v>98</v>
      </c>
      <c r="S364" s="398" t="s">
        <v>56</v>
      </c>
      <c r="U364" s="171">
        <v>24</v>
      </c>
      <c r="V364" s="171" t="s">
        <v>98</v>
      </c>
      <c r="W364" s="171" t="s">
        <v>123</v>
      </c>
      <c r="Y364" s="171">
        <v>28</v>
      </c>
      <c r="Z364" s="460" t="s">
        <v>98</v>
      </c>
      <c r="AA364" s="171" t="s">
        <v>56</v>
      </c>
      <c r="AC364" s="505">
        <v>29</v>
      </c>
      <c r="AD364" s="505" t="s">
        <v>98</v>
      </c>
      <c r="AE364" s="505" t="s">
        <v>38</v>
      </c>
      <c r="AG364" s="171">
        <v>82</v>
      </c>
      <c r="AH364" s="171" t="s">
        <v>97</v>
      </c>
      <c r="AI364" s="171" t="s">
        <v>122</v>
      </c>
      <c r="AK364" s="299">
        <v>20</v>
      </c>
      <c r="AL364" s="503" t="s">
        <v>81</v>
      </c>
      <c r="AM364" s="299" t="s">
        <v>1340</v>
      </c>
      <c r="AO364" s="299">
        <v>18</v>
      </c>
      <c r="AP364" s="299" t="s">
        <v>81</v>
      </c>
      <c r="AQ364" s="299" t="s">
        <v>1369</v>
      </c>
    </row>
    <row r="365" spans="1:43" ht="15" customHeight="1" x14ac:dyDescent="0.25">
      <c r="A365">
        <v>75</v>
      </c>
      <c r="B365" t="s">
        <v>98</v>
      </c>
      <c r="C365" t="s">
        <v>123</v>
      </c>
      <c r="E365" s="72">
        <v>29</v>
      </c>
      <c r="F365" t="s">
        <v>98</v>
      </c>
      <c r="G365" t="s">
        <v>55</v>
      </c>
      <c r="I365" s="171">
        <v>36</v>
      </c>
      <c r="J365" s="171" t="s">
        <v>98</v>
      </c>
      <c r="K365" s="171" t="s">
        <v>55</v>
      </c>
      <c r="M365" s="171">
        <v>64</v>
      </c>
      <c r="N365" s="171" t="s">
        <v>98</v>
      </c>
      <c r="O365" s="171" t="s">
        <v>688</v>
      </c>
      <c r="Q365" s="399">
        <v>22</v>
      </c>
      <c r="R365" s="396" t="s">
        <v>98</v>
      </c>
      <c r="S365" s="398" t="s">
        <v>56</v>
      </c>
      <c r="U365" s="171">
        <v>19</v>
      </c>
      <c r="V365" s="171" t="s">
        <v>98</v>
      </c>
      <c r="W365" s="171" t="s">
        <v>123</v>
      </c>
      <c r="Y365" s="171">
        <v>33</v>
      </c>
      <c r="Z365" s="460" t="s">
        <v>98</v>
      </c>
      <c r="AA365" s="171" t="s">
        <v>56</v>
      </c>
      <c r="AC365" s="505">
        <v>34</v>
      </c>
      <c r="AD365" s="505" t="s">
        <v>98</v>
      </c>
      <c r="AE365" s="505" t="s">
        <v>38</v>
      </c>
      <c r="AG365" s="171">
        <v>15</v>
      </c>
      <c r="AH365" s="171" t="s">
        <v>97</v>
      </c>
      <c r="AI365" s="171" t="s">
        <v>122</v>
      </c>
      <c r="AK365" s="299">
        <v>40</v>
      </c>
      <c r="AL365" s="503" t="s">
        <v>81</v>
      </c>
      <c r="AM365" s="299" t="s">
        <v>1340</v>
      </c>
      <c r="AO365" s="299">
        <v>29</v>
      </c>
      <c r="AP365" s="299" t="s">
        <v>81</v>
      </c>
      <c r="AQ365" s="299" t="s">
        <v>1369</v>
      </c>
    </row>
    <row r="366" spans="1:43" ht="15" customHeight="1" x14ac:dyDescent="0.25">
      <c r="A366">
        <v>74</v>
      </c>
      <c r="B366" t="s">
        <v>98</v>
      </c>
      <c r="C366" t="s">
        <v>123</v>
      </c>
      <c r="E366" s="72">
        <v>29</v>
      </c>
      <c r="F366" t="s">
        <v>98</v>
      </c>
      <c r="G366" t="s">
        <v>55</v>
      </c>
      <c r="I366" s="171">
        <v>29</v>
      </c>
      <c r="J366" s="171" t="s">
        <v>98</v>
      </c>
      <c r="K366" s="171" t="s">
        <v>55</v>
      </c>
      <c r="M366" s="171">
        <v>41</v>
      </c>
      <c r="N366" s="171" t="s">
        <v>97</v>
      </c>
      <c r="O366" s="171" t="s">
        <v>688</v>
      </c>
      <c r="Q366" s="399">
        <v>29</v>
      </c>
      <c r="R366" s="396" t="s">
        <v>98</v>
      </c>
      <c r="S366" s="398" t="s">
        <v>56</v>
      </c>
      <c r="U366" s="171">
        <v>70</v>
      </c>
      <c r="V366" s="171" t="s">
        <v>98</v>
      </c>
      <c r="W366" s="171" t="s">
        <v>123</v>
      </c>
      <c r="Y366" s="171">
        <v>35</v>
      </c>
      <c r="Z366" s="460" t="s">
        <v>98</v>
      </c>
      <c r="AA366" s="171" t="s">
        <v>56</v>
      </c>
      <c r="AC366" s="505">
        <v>24</v>
      </c>
      <c r="AD366" s="505" t="s">
        <v>98</v>
      </c>
      <c r="AE366" s="505" t="s">
        <v>38</v>
      </c>
      <c r="AG366" s="171">
        <v>17</v>
      </c>
      <c r="AH366" s="171" t="s">
        <v>97</v>
      </c>
      <c r="AI366" s="171" t="s">
        <v>122</v>
      </c>
      <c r="AK366" s="299">
        <v>16</v>
      </c>
      <c r="AL366" s="503" t="s">
        <v>81</v>
      </c>
      <c r="AM366" s="299" t="s">
        <v>1340</v>
      </c>
      <c r="AO366" s="299">
        <v>41</v>
      </c>
      <c r="AP366" s="299" t="s">
        <v>81</v>
      </c>
      <c r="AQ366" s="299" t="s">
        <v>1369</v>
      </c>
    </row>
    <row r="367" spans="1:43" ht="15" customHeight="1" x14ac:dyDescent="0.25">
      <c r="A367">
        <v>71</v>
      </c>
      <c r="B367" t="s">
        <v>98</v>
      </c>
      <c r="C367" t="s">
        <v>123</v>
      </c>
      <c r="E367" s="72">
        <v>29</v>
      </c>
      <c r="F367" t="s">
        <v>98</v>
      </c>
      <c r="G367" t="s">
        <v>55</v>
      </c>
      <c r="I367" s="171">
        <v>24</v>
      </c>
      <c r="J367" s="171" t="s">
        <v>98</v>
      </c>
      <c r="K367" s="171" t="s">
        <v>55</v>
      </c>
      <c r="M367" s="171">
        <v>23</v>
      </c>
      <c r="N367" s="171" t="s">
        <v>98</v>
      </c>
      <c r="O367" s="171" t="s">
        <v>688</v>
      </c>
      <c r="Q367" s="399">
        <v>18</v>
      </c>
      <c r="R367" s="396" t="s">
        <v>98</v>
      </c>
      <c r="S367" s="398" t="s">
        <v>56</v>
      </c>
      <c r="U367" s="171">
        <v>28</v>
      </c>
      <c r="V367" s="171" t="s">
        <v>98</v>
      </c>
      <c r="W367" s="171" t="s">
        <v>123</v>
      </c>
      <c r="Y367" s="171">
        <v>31</v>
      </c>
      <c r="Z367" s="460" t="s">
        <v>98</v>
      </c>
      <c r="AA367" s="171" t="s">
        <v>56</v>
      </c>
      <c r="AC367" s="505">
        <v>33</v>
      </c>
      <c r="AD367" s="505" t="s">
        <v>98</v>
      </c>
      <c r="AE367" s="505" t="s">
        <v>38</v>
      </c>
      <c r="AG367" s="171">
        <v>29</v>
      </c>
      <c r="AH367" s="171" t="s">
        <v>97</v>
      </c>
      <c r="AI367" s="171" t="s">
        <v>122</v>
      </c>
      <c r="AK367" s="299">
        <v>39</v>
      </c>
      <c r="AL367" s="503" t="s">
        <v>81</v>
      </c>
      <c r="AM367" s="299" t="s">
        <v>1340</v>
      </c>
      <c r="AO367" s="299">
        <v>23</v>
      </c>
      <c r="AP367" s="299" t="s">
        <v>81</v>
      </c>
      <c r="AQ367" s="299" t="s">
        <v>1369</v>
      </c>
    </row>
    <row r="368" spans="1:43" ht="15" customHeight="1" x14ac:dyDescent="0.25">
      <c r="A368">
        <v>69</v>
      </c>
      <c r="B368" t="s">
        <v>98</v>
      </c>
      <c r="C368" t="s">
        <v>123</v>
      </c>
      <c r="E368" s="72">
        <v>29</v>
      </c>
      <c r="F368" t="s">
        <v>98</v>
      </c>
      <c r="G368" t="s">
        <v>55</v>
      </c>
      <c r="I368" s="171">
        <v>36</v>
      </c>
      <c r="J368" s="171" t="s">
        <v>98</v>
      </c>
      <c r="K368" s="171" t="s">
        <v>55</v>
      </c>
      <c r="M368" s="171">
        <v>56</v>
      </c>
      <c r="N368" s="171" t="s">
        <v>98</v>
      </c>
      <c r="O368" s="171" t="s">
        <v>688</v>
      </c>
      <c r="Q368" s="399">
        <v>24</v>
      </c>
      <c r="R368" s="396" t="s">
        <v>98</v>
      </c>
      <c r="S368" s="398" t="s">
        <v>56</v>
      </c>
      <c r="U368" s="171">
        <v>33</v>
      </c>
      <c r="V368" s="171" t="s">
        <v>98</v>
      </c>
      <c r="W368" s="171" t="s">
        <v>123</v>
      </c>
      <c r="Y368" s="171">
        <v>29</v>
      </c>
      <c r="Z368" s="460" t="s">
        <v>98</v>
      </c>
      <c r="AA368" s="171" t="s">
        <v>56</v>
      </c>
      <c r="AC368" s="505">
        <v>23</v>
      </c>
      <c r="AD368" s="505" t="s">
        <v>98</v>
      </c>
      <c r="AE368" s="505" t="s">
        <v>38</v>
      </c>
      <c r="AG368" s="171">
        <v>19</v>
      </c>
      <c r="AH368" s="171" t="s">
        <v>97</v>
      </c>
      <c r="AI368" s="171" t="s">
        <v>122</v>
      </c>
      <c r="AK368" s="299">
        <v>34</v>
      </c>
      <c r="AL368" s="503" t="s">
        <v>81</v>
      </c>
      <c r="AM368" s="299" t="s">
        <v>1340</v>
      </c>
      <c r="AO368" s="299">
        <v>30</v>
      </c>
      <c r="AP368" s="299" t="s">
        <v>81</v>
      </c>
      <c r="AQ368" s="299" t="s">
        <v>1369</v>
      </c>
    </row>
    <row r="369" spans="1:43" ht="15" customHeight="1" x14ac:dyDescent="0.25">
      <c r="A369">
        <v>69</v>
      </c>
      <c r="B369" t="s">
        <v>98</v>
      </c>
      <c r="C369" t="s">
        <v>123</v>
      </c>
      <c r="E369" s="72">
        <v>29</v>
      </c>
      <c r="F369" t="s">
        <v>98</v>
      </c>
      <c r="G369" t="s">
        <v>55</v>
      </c>
      <c r="I369" s="171">
        <v>24</v>
      </c>
      <c r="J369" s="171" t="s">
        <v>98</v>
      </c>
      <c r="K369" s="171" t="s">
        <v>55</v>
      </c>
      <c r="M369" s="171">
        <v>15</v>
      </c>
      <c r="N369" s="171" t="s">
        <v>98</v>
      </c>
      <c r="O369" s="171" t="s">
        <v>688</v>
      </c>
      <c r="Q369" s="399">
        <v>25</v>
      </c>
      <c r="R369" s="396" t="s">
        <v>98</v>
      </c>
      <c r="S369" s="398" t="s">
        <v>56</v>
      </c>
      <c r="U369" s="171">
        <v>65</v>
      </c>
      <c r="V369" s="171" t="s">
        <v>98</v>
      </c>
      <c r="W369" s="171" t="s">
        <v>123</v>
      </c>
      <c r="Y369" s="171">
        <v>33</v>
      </c>
      <c r="Z369" s="460" t="s">
        <v>98</v>
      </c>
      <c r="AA369" s="171" t="s">
        <v>56</v>
      </c>
      <c r="AC369" s="505">
        <v>30</v>
      </c>
      <c r="AD369" s="505" t="s">
        <v>98</v>
      </c>
      <c r="AE369" s="505" t="s">
        <v>38</v>
      </c>
      <c r="AG369" s="171">
        <v>26</v>
      </c>
      <c r="AH369" s="171" t="s">
        <v>97</v>
      </c>
      <c r="AI369" s="171" t="s">
        <v>122</v>
      </c>
      <c r="AK369" s="299">
        <v>21</v>
      </c>
      <c r="AL369" s="503" t="s">
        <v>81</v>
      </c>
      <c r="AM369" s="299" t="s">
        <v>1340</v>
      </c>
      <c r="AO369" s="299">
        <v>31</v>
      </c>
      <c r="AP369" s="299" t="s">
        <v>81</v>
      </c>
      <c r="AQ369" s="299" t="s">
        <v>1369</v>
      </c>
    </row>
    <row r="370" spans="1:43" ht="15" customHeight="1" x14ac:dyDescent="0.25">
      <c r="A370">
        <v>68</v>
      </c>
      <c r="B370" t="s">
        <v>98</v>
      </c>
      <c r="C370" t="s">
        <v>123</v>
      </c>
      <c r="E370" s="72">
        <v>29</v>
      </c>
      <c r="F370" t="s">
        <v>98</v>
      </c>
      <c r="G370" t="s">
        <v>56</v>
      </c>
      <c r="I370" s="171">
        <v>27</v>
      </c>
      <c r="J370" s="171" t="s">
        <v>98</v>
      </c>
      <c r="K370" s="171" t="s">
        <v>55</v>
      </c>
      <c r="M370" s="171">
        <v>23</v>
      </c>
      <c r="N370" s="171" t="s">
        <v>97</v>
      </c>
      <c r="O370" s="171" t="s">
        <v>688</v>
      </c>
      <c r="Q370" s="399">
        <v>33</v>
      </c>
      <c r="R370" s="396" t="s">
        <v>98</v>
      </c>
      <c r="S370" s="398" t="s">
        <v>56</v>
      </c>
      <c r="U370" s="171">
        <v>37</v>
      </c>
      <c r="V370" s="171" t="s">
        <v>98</v>
      </c>
      <c r="W370" s="171" t="s">
        <v>123</v>
      </c>
      <c r="Y370" s="171">
        <v>20</v>
      </c>
      <c r="Z370" s="460" t="s">
        <v>98</v>
      </c>
      <c r="AA370" s="171" t="s">
        <v>56</v>
      </c>
      <c r="AC370" s="505">
        <v>30</v>
      </c>
      <c r="AD370" s="505" t="s">
        <v>98</v>
      </c>
      <c r="AE370" s="505" t="s">
        <v>38</v>
      </c>
      <c r="AG370" s="171">
        <v>16</v>
      </c>
      <c r="AH370" s="171" t="s">
        <v>97</v>
      </c>
      <c r="AI370" s="171" t="s">
        <v>122</v>
      </c>
      <c r="AK370" s="299">
        <v>37</v>
      </c>
      <c r="AL370" s="503" t="s">
        <v>81</v>
      </c>
      <c r="AM370" s="299" t="s">
        <v>1340</v>
      </c>
      <c r="AO370" s="299">
        <v>28</v>
      </c>
      <c r="AP370" s="299" t="s">
        <v>81</v>
      </c>
      <c r="AQ370" s="299" t="s">
        <v>1369</v>
      </c>
    </row>
    <row r="371" spans="1:43" ht="15" customHeight="1" x14ac:dyDescent="0.25">
      <c r="A371">
        <v>68</v>
      </c>
      <c r="B371" t="s">
        <v>98</v>
      </c>
      <c r="C371" t="s">
        <v>123</v>
      </c>
      <c r="E371" s="72">
        <v>29</v>
      </c>
      <c r="F371" t="s">
        <v>98</v>
      </c>
      <c r="G371" t="s">
        <v>56</v>
      </c>
      <c r="I371" s="171">
        <v>19</v>
      </c>
      <c r="J371" s="171" t="s">
        <v>98</v>
      </c>
      <c r="K371" s="171" t="s">
        <v>55</v>
      </c>
      <c r="M371" s="171">
        <v>92</v>
      </c>
      <c r="N371" s="171" t="s">
        <v>97</v>
      </c>
      <c r="O371" s="171" t="s">
        <v>688</v>
      </c>
      <c r="Q371" s="399">
        <v>30</v>
      </c>
      <c r="R371" s="396" t="s">
        <v>98</v>
      </c>
      <c r="S371" s="398" t="s">
        <v>56</v>
      </c>
      <c r="U371" s="171">
        <v>40</v>
      </c>
      <c r="V371" s="171" t="s">
        <v>98</v>
      </c>
      <c r="W371" s="171" t="s">
        <v>123</v>
      </c>
      <c r="Y371" s="171">
        <v>32</v>
      </c>
      <c r="Z371" s="460" t="s">
        <v>98</v>
      </c>
      <c r="AA371" s="171" t="s">
        <v>56</v>
      </c>
      <c r="AC371" s="505">
        <v>27</v>
      </c>
      <c r="AD371" s="505" t="s">
        <v>98</v>
      </c>
      <c r="AE371" s="505" t="s">
        <v>38</v>
      </c>
      <c r="AG371" s="171">
        <v>66</v>
      </c>
      <c r="AH371" s="171" t="s">
        <v>97</v>
      </c>
      <c r="AI371" s="171" t="s">
        <v>122</v>
      </c>
      <c r="AK371" s="299">
        <v>16</v>
      </c>
      <c r="AL371" s="503" t="s">
        <v>81</v>
      </c>
      <c r="AM371" s="299" t="s">
        <v>1340</v>
      </c>
      <c r="AO371" s="299">
        <v>25</v>
      </c>
      <c r="AP371" s="299" t="s">
        <v>81</v>
      </c>
      <c r="AQ371" s="299" t="s">
        <v>1369</v>
      </c>
    </row>
    <row r="372" spans="1:43" ht="15" customHeight="1" x14ac:dyDescent="0.25">
      <c r="A372">
        <v>66</v>
      </c>
      <c r="B372" t="s">
        <v>98</v>
      </c>
      <c r="C372" t="s">
        <v>123</v>
      </c>
      <c r="E372" s="72">
        <v>29</v>
      </c>
      <c r="F372" t="s">
        <v>98</v>
      </c>
      <c r="G372" t="s">
        <v>56</v>
      </c>
      <c r="I372" s="171">
        <v>23</v>
      </c>
      <c r="J372" s="171" t="s">
        <v>98</v>
      </c>
      <c r="K372" s="171" t="s">
        <v>55</v>
      </c>
      <c r="M372" s="171">
        <v>34</v>
      </c>
      <c r="N372" s="171" t="s">
        <v>98</v>
      </c>
      <c r="O372" s="171" t="s">
        <v>688</v>
      </c>
      <c r="Q372" s="399">
        <v>35</v>
      </c>
      <c r="R372" s="396" t="s">
        <v>98</v>
      </c>
      <c r="S372" s="398" t="s">
        <v>56</v>
      </c>
      <c r="U372" s="171">
        <v>48</v>
      </c>
      <c r="V372" s="171" t="s">
        <v>98</v>
      </c>
      <c r="W372" s="171" t="s">
        <v>123</v>
      </c>
      <c r="Y372" s="171">
        <v>36</v>
      </c>
      <c r="Z372" s="460" t="s">
        <v>98</v>
      </c>
      <c r="AA372" s="171" t="s">
        <v>56</v>
      </c>
      <c r="AC372" s="505">
        <v>20</v>
      </c>
      <c r="AD372" s="505" t="s">
        <v>98</v>
      </c>
      <c r="AE372" s="505" t="s">
        <v>38</v>
      </c>
      <c r="AG372" s="171">
        <v>72</v>
      </c>
      <c r="AH372" s="171" t="s">
        <v>97</v>
      </c>
      <c r="AI372" s="171" t="s">
        <v>122</v>
      </c>
      <c r="AK372" s="299">
        <v>32</v>
      </c>
      <c r="AL372" s="503" t="s">
        <v>81</v>
      </c>
      <c r="AM372" s="299" t="s">
        <v>1340</v>
      </c>
      <c r="AO372" s="299">
        <v>19</v>
      </c>
      <c r="AP372" s="299" t="s">
        <v>81</v>
      </c>
      <c r="AQ372" s="299" t="s">
        <v>1369</v>
      </c>
    </row>
    <row r="373" spans="1:43" ht="15" customHeight="1" x14ac:dyDescent="0.25">
      <c r="A373">
        <v>66</v>
      </c>
      <c r="B373" t="s">
        <v>98</v>
      </c>
      <c r="C373" t="s">
        <v>123</v>
      </c>
      <c r="E373" s="72">
        <v>29</v>
      </c>
      <c r="F373" t="s">
        <v>98</v>
      </c>
      <c r="G373" t="s">
        <v>38</v>
      </c>
      <c r="I373" s="171">
        <v>33</v>
      </c>
      <c r="J373" s="171" t="s">
        <v>98</v>
      </c>
      <c r="K373" s="171" t="s">
        <v>55</v>
      </c>
      <c r="M373" s="171">
        <v>49</v>
      </c>
      <c r="N373" s="171" t="s">
        <v>97</v>
      </c>
      <c r="O373" s="171" t="s">
        <v>688</v>
      </c>
      <c r="Q373" s="399">
        <v>37</v>
      </c>
      <c r="R373" s="396" t="s">
        <v>98</v>
      </c>
      <c r="S373" s="398" t="s">
        <v>56</v>
      </c>
      <c r="U373" s="171">
        <v>21</v>
      </c>
      <c r="V373" s="171" t="s">
        <v>98</v>
      </c>
      <c r="W373" s="171" t="s">
        <v>123</v>
      </c>
      <c r="Y373" s="171">
        <v>18</v>
      </c>
      <c r="Z373" s="460" t="s">
        <v>98</v>
      </c>
      <c r="AA373" s="171" t="s">
        <v>56</v>
      </c>
      <c r="AC373" s="505">
        <v>37</v>
      </c>
      <c r="AD373" s="505" t="s">
        <v>98</v>
      </c>
      <c r="AE373" s="505" t="s">
        <v>38</v>
      </c>
      <c r="AG373" s="171">
        <v>67</v>
      </c>
      <c r="AH373" s="171" t="s">
        <v>97</v>
      </c>
      <c r="AI373" s="171" t="s">
        <v>122</v>
      </c>
      <c r="AK373" s="299">
        <v>38</v>
      </c>
      <c r="AL373" s="503" t="s">
        <v>81</v>
      </c>
      <c r="AM373" s="299" t="s">
        <v>1340</v>
      </c>
      <c r="AO373" s="299">
        <v>33</v>
      </c>
      <c r="AP373" s="299" t="s">
        <v>81</v>
      </c>
      <c r="AQ373" s="299" t="s">
        <v>1369</v>
      </c>
    </row>
    <row r="374" spans="1:43" ht="15" customHeight="1" x14ac:dyDescent="0.25">
      <c r="A374">
        <v>65</v>
      </c>
      <c r="B374" t="s">
        <v>98</v>
      </c>
      <c r="C374" t="s">
        <v>123</v>
      </c>
      <c r="E374" s="72">
        <v>29</v>
      </c>
      <c r="F374" t="s">
        <v>98</v>
      </c>
      <c r="G374" t="s">
        <v>38</v>
      </c>
      <c r="I374" s="171">
        <v>28</v>
      </c>
      <c r="J374" s="171" t="s">
        <v>98</v>
      </c>
      <c r="K374" s="171" t="s">
        <v>55</v>
      </c>
      <c r="M374" s="171">
        <v>65</v>
      </c>
      <c r="N374" s="171" t="s">
        <v>98</v>
      </c>
      <c r="O374" s="171" t="s">
        <v>688</v>
      </c>
      <c r="Q374" s="399">
        <v>35</v>
      </c>
      <c r="R374" s="396" t="s">
        <v>98</v>
      </c>
      <c r="S374" s="398" t="s">
        <v>56</v>
      </c>
      <c r="U374" s="171">
        <v>33</v>
      </c>
      <c r="V374" s="171" t="s">
        <v>98</v>
      </c>
      <c r="W374" s="171" t="s">
        <v>123</v>
      </c>
      <c r="Y374" s="171">
        <v>25</v>
      </c>
      <c r="Z374" s="460" t="s">
        <v>98</v>
      </c>
      <c r="AA374" s="171" t="s">
        <v>56</v>
      </c>
      <c r="AC374" s="505">
        <v>18</v>
      </c>
      <c r="AD374" s="505" t="s">
        <v>98</v>
      </c>
      <c r="AE374" s="505" t="s">
        <v>38</v>
      </c>
      <c r="AG374" s="171">
        <v>63</v>
      </c>
      <c r="AH374" s="171" t="s">
        <v>97</v>
      </c>
      <c r="AI374" s="171" t="s">
        <v>122</v>
      </c>
      <c r="AK374" s="299">
        <v>26</v>
      </c>
      <c r="AL374" s="503" t="s">
        <v>81</v>
      </c>
      <c r="AM374" s="299" t="s">
        <v>1340</v>
      </c>
      <c r="AO374" s="299">
        <v>39</v>
      </c>
      <c r="AP374" s="299" t="s">
        <v>81</v>
      </c>
      <c r="AQ374" s="299" t="s">
        <v>1369</v>
      </c>
    </row>
    <row r="375" spans="1:43" ht="15" customHeight="1" x14ac:dyDescent="0.25">
      <c r="A375">
        <v>61</v>
      </c>
      <c r="B375" t="s">
        <v>98</v>
      </c>
      <c r="C375" t="s">
        <v>123</v>
      </c>
      <c r="E375" s="72">
        <v>29</v>
      </c>
      <c r="F375" t="s">
        <v>98</v>
      </c>
      <c r="G375" t="s">
        <v>38</v>
      </c>
      <c r="I375" s="171">
        <v>29</v>
      </c>
      <c r="J375" s="171" t="s">
        <v>98</v>
      </c>
      <c r="K375" s="171" t="s">
        <v>55</v>
      </c>
      <c r="M375" s="171">
        <v>51</v>
      </c>
      <c r="N375" s="171" t="s">
        <v>98</v>
      </c>
      <c r="O375" s="171" t="s">
        <v>688</v>
      </c>
      <c r="Q375" s="399">
        <v>31</v>
      </c>
      <c r="R375" s="396" t="s">
        <v>98</v>
      </c>
      <c r="S375" s="398" t="s">
        <v>56</v>
      </c>
      <c r="U375" s="171">
        <v>58</v>
      </c>
      <c r="V375" s="171" t="s">
        <v>98</v>
      </c>
      <c r="W375" s="171" t="s">
        <v>123</v>
      </c>
      <c r="Y375" s="171">
        <v>23</v>
      </c>
      <c r="Z375" s="460" t="s">
        <v>98</v>
      </c>
      <c r="AA375" s="171" t="s">
        <v>56</v>
      </c>
      <c r="AC375" s="505">
        <v>29</v>
      </c>
      <c r="AD375" s="505" t="s">
        <v>98</v>
      </c>
      <c r="AE375" s="505" t="s">
        <v>38</v>
      </c>
      <c r="AG375" s="171">
        <v>30</v>
      </c>
      <c r="AH375" s="171" t="s">
        <v>97</v>
      </c>
      <c r="AI375" s="171" t="s">
        <v>122</v>
      </c>
      <c r="AK375" s="299">
        <v>25</v>
      </c>
      <c r="AL375" s="503" t="s">
        <v>81</v>
      </c>
      <c r="AM375" s="299" t="s">
        <v>1340</v>
      </c>
      <c r="AO375" s="299">
        <v>25</v>
      </c>
      <c r="AP375" s="299" t="s">
        <v>81</v>
      </c>
      <c r="AQ375" s="299" t="s">
        <v>1369</v>
      </c>
    </row>
    <row r="376" spans="1:43" ht="15" customHeight="1" x14ac:dyDescent="0.25">
      <c r="A376">
        <v>59</v>
      </c>
      <c r="B376" t="s">
        <v>98</v>
      </c>
      <c r="C376" t="s">
        <v>123</v>
      </c>
      <c r="E376" s="72">
        <v>29</v>
      </c>
      <c r="F376" t="s">
        <v>97</v>
      </c>
      <c r="G376" t="s">
        <v>122</v>
      </c>
      <c r="I376" s="171">
        <v>28</v>
      </c>
      <c r="J376" s="171" t="s">
        <v>98</v>
      </c>
      <c r="K376" s="171" t="s">
        <v>55</v>
      </c>
      <c r="M376" s="171">
        <v>75</v>
      </c>
      <c r="N376" s="171" t="s">
        <v>98</v>
      </c>
      <c r="O376" s="171" t="s">
        <v>688</v>
      </c>
      <c r="Q376" s="399">
        <v>29</v>
      </c>
      <c r="R376" s="396" t="s">
        <v>98</v>
      </c>
      <c r="S376" s="398" t="s">
        <v>56</v>
      </c>
      <c r="U376" s="171">
        <v>57</v>
      </c>
      <c r="V376" s="171" t="s">
        <v>98</v>
      </c>
      <c r="W376" s="171" t="s">
        <v>123</v>
      </c>
      <c r="Y376" s="171">
        <v>19</v>
      </c>
      <c r="Z376" s="460" t="s">
        <v>98</v>
      </c>
      <c r="AA376" s="171" t="s">
        <v>56</v>
      </c>
      <c r="AC376" s="505">
        <v>32</v>
      </c>
      <c r="AD376" s="505" t="s">
        <v>98</v>
      </c>
      <c r="AE376" s="505" t="s">
        <v>38</v>
      </c>
      <c r="AG376" s="171">
        <v>65</v>
      </c>
      <c r="AH376" s="171" t="s">
        <v>97</v>
      </c>
      <c r="AI376" s="171" t="s">
        <v>122</v>
      </c>
      <c r="AK376" s="299">
        <v>32</v>
      </c>
      <c r="AL376" s="503" t="s">
        <v>81</v>
      </c>
      <c r="AM376" s="299" t="s">
        <v>1340</v>
      </c>
      <c r="AO376" s="299">
        <v>36</v>
      </c>
      <c r="AP376" s="299" t="s">
        <v>81</v>
      </c>
      <c r="AQ376" s="299" t="s">
        <v>1369</v>
      </c>
    </row>
    <row r="377" spans="1:43" ht="15" customHeight="1" x14ac:dyDescent="0.25">
      <c r="A377">
        <v>58</v>
      </c>
      <c r="B377" t="s">
        <v>98</v>
      </c>
      <c r="C377" t="s">
        <v>123</v>
      </c>
      <c r="E377" s="72">
        <v>28</v>
      </c>
      <c r="F377" t="s">
        <v>97</v>
      </c>
      <c r="G377" t="s">
        <v>688</v>
      </c>
      <c r="I377" s="171">
        <v>27</v>
      </c>
      <c r="J377" s="171" t="s">
        <v>98</v>
      </c>
      <c r="K377" s="171" t="s">
        <v>55</v>
      </c>
      <c r="M377" s="171">
        <v>67</v>
      </c>
      <c r="N377" s="171" t="s">
        <v>98</v>
      </c>
      <c r="O377" s="171" t="s">
        <v>688</v>
      </c>
      <c r="Q377" s="399">
        <v>26</v>
      </c>
      <c r="R377" s="396" t="s">
        <v>98</v>
      </c>
      <c r="S377" s="398" t="s">
        <v>56</v>
      </c>
      <c r="U377" s="171">
        <v>23</v>
      </c>
      <c r="V377" s="171" t="s">
        <v>98</v>
      </c>
      <c r="W377" s="171" t="s">
        <v>123</v>
      </c>
      <c r="Y377" s="171">
        <v>39</v>
      </c>
      <c r="Z377" s="460" t="s">
        <v>98</v>
      </c>
      <c r="AA377" s="171" t="s">
        <v>56</v>
      </c>
      <c r="AC377" s="505">
        <v>29</v>
      </c>
      <c r="AD377" s="505" t="s">
        <v>98</v>
      </c>
      <c r="AE377" s="505" t="s">
        <v>38</v>
      </c>
      <c r="AG377" s="171">
        <v>40</v>
      </c>
      <c r="AH377" s="171" t="s">
        <v>97</v>
      </c>
      <c r="AI377" s="171" t="s">
        <v>122</v>
      </c>
      <c r="AK377" s="299">
        <v>30</v>
      </c>
      <c r="AL377" s="503" t="s">
        <v>81</v>
      </c>
      <c r="AM377" s="299" t="s">
        <v>1340</v>
      </c>
      <c r="AO377" s="299">
        <v>31</v>
      </c>
      <c r="AP377" s="299" t="s">
        <v>81</v>
      </c>
      <c r="AQ377" s="299" t="s">
        <v>1369</v>
      </c>
    </row>
    <row r="378" spans="1:43" ht="15" customHeight="1" x14ac:dyDescent="0.25">
      <c r="A378">
        <v>58</v>
      </c>
      <c r="B378" t="s">
        <v>98</v>
      </c>
      <c r="C378" t="s">
        <v>123</v>
      </c>
      <c r="E378" s="72">
        <v>28</v>
      </c>
      <c r="F378" t="s">
        <v>98</v>
      </c>
      <c r="G378" t="s">
        <v>688</v>
      </c>
      <c r="I378" s="171">
        <v>26</v>
      </c>
      <c r="J378" s="171" t="s">
        <v>98</v>
      </c>
      <c r="K378" s="171" t="s">
        <v>55</v>
      </c>
      <c r="M378" s="171">
        <v>95</v>
      </c>
      <c r="N378" s="171" t="s">
        <v>98</v>
      </c>
      <c r="O378" s="171" t="s">
        <v>688</v>
      </c>
      <c r="Q378" s="399">
        <v>25</v>
      </c>
      <c r="R378" s="396" t="s">
        <v>98</v>
      </c>
      <c r="S378" s="398" t="s">
        <v>56</v>
      </c>
      <c r="U378" s="171">
        <v>37</v>
      </c>
      <c r="V378" s="171" t="s">
        <v>98</v>
      </c>
      <c r="W378" s="171" t="s">
        <v>123</v>
      </c>
      <c r="Y378" s="171">
        <v>38</v>
      </c>
      <c r="Z378" s="460" t="s">
        <v>98</v>
      </c>
      <c r="AA378" s="171" t="s">
        <v>56</v>
      </c>
      <c r="AC378" s="505">
        <v>33</v>
      </c>
      <c r="AD378" s="505" t="s">
        <v>98</v>
      </c>
      <c r="AE378" s="505" t="s">
        <v>38</v>
      </c>
      <c r="AG378" s="171">
        <v>61</v>
      </c>
      <c r="AH378" s="171" t="s">
        <v>97</v>
      </c>
      <c r="AI378" s="171" t="s">
        <v>122</v>
      </c>
      <c r="AK378" s="299">
        <v>28</v>
      </c>
      <c r="AL378" s="503" t="s">
        <v>81</v>
      </c>
      <c r="AM378" s="299" t="s">
        <v>1340</v>
      </c>
      <c r="AO378" s="299">
        <v>21</v>
      </c>
      <c r="AP378" s="299" t="s">
        <v>81</v>
      </c>
      <c r="AQ378" s="299" t="s">
        <v>1369</v>
      </c>
    </row>
    <row r="379" spans="1:43" ht="15" customHeight="1" x14ac:dyDescent="0.25">
      <c r="A379">
        <v>58</v>
      </c>
      <c r="B379" t="s">
        <v>98</v>
      </c>
      <c r="C379" t="s">
        <v>123</v>
      </c>
      <c r="E379" s="72">
        <v>28</v>
      </c>
      <c r="F379" t="s">
        <v>98</v>
      </c>
      <c r="G379" t="s">
        <v>55</v>
      </c>
      <c r="I379" s="171">
        <v>24</v>
      </c>
      <c r="J379" s="171" t="s">
        <v>98</v>
      </c>
      <c r="K379" s="171" t="s">
        <v>55</v>
      </c>
      <c r="M379" s="171">
        <v>25</v>
      </c>
      <c r="N379" s="171" t="s">
        <v>97</v>
      </c>
      <c r="O379" s="171" t="s">
        <v>688</v>
      </c>
      <c r="Q379" s="399">
        <v>39</v>
      </c>
      <c r="R379" s="396" t="s">
        <v>98</v>
      </c>
      <c r="S379" s="398" t="s">
        <v>56</v>
      </c>
      <c r="U379" s="171">
        <v>55</v>
      </c>
      <c r="V379" s="171" t="s">
        <v>98</v>
      </c>
      <c r="W379" s="171" t="s">
        <v>123</v>
      </c>
      <c r="Y379" s="171">
        <v>35</v>
      </c>
      <c r="Z379" s="460" t="s">
        <v>98</v>
      </c>
      <c r="AA379" s="171" t="s">
        <v>56</v>
      </c>
      <c r="AC379" s="505">
        <v>22</v>
      </c>
      <c r="AD379" s="505" t="s">
        <v>98</v>
      </c>
      <c r="AE379" s="505" t="s">
        <v>38</v>
      </c>
      <c r="AG379" s="171">
        <v>68</v>
      </c>
      <c r="AH379" s="171" t="s">
        <v>97</v>
      </c>
      <c r="AI379" s="171" t="s">
        <v>122</v>
      </c>
      <c r="AK379" s="299">
        <v>43</v>
      </c>
      <c r="AL379" s="503" t="s">
        <v>81</v>
      </c>
      <c r="AM379" s="299" t="s">
        <v>1340</v>
      </c>
      <c r="AO379" s="299">
        <v>34</v>
      </c>
      <c r="AP379" s="299" t="s">
        <v>81</v>
      </c>
      <c r="AQ379" s="299" t="s">
        <v>1369</v>
      </c>
    </row>
    <row r="380" spans="1:43" ht="15" customHeight="1" x14ac:dyDescent="0.25">
      <c r="A380">
        <v>57</v>
      </c>
      <c r="B380" t="s">
        <v>98</v>
      </c>
      <c r="C380" t="s">
        <v>123</v>
      </c>
      <c r="E380" s="72">
        <v>28</v>
      </c>
      <c r="F380" t="s">
        <v>98</v>
      </c>
      <c r="G380" t="s">
        <v>55</v>
      </c>
      <c r="I380" s="171">
        <v>27</v>
      </c>
      <c r="J380" s="171" t="s">
        <v>98</v>
      </c>
      <c r="K380" s="171" t="s">
        <v>55</v>
      </c>
      <c r="M380" s="171">
        <v>91</v>
      </c>
      <c r="N380" s="171" t="s">
        <v>98</v>
      </c>
      <c r="O380" s="171" t="s">
        <v>688</v>
      </c>
      <c r="Q380" s="399">
        <v>31</v>
      </c>
      <c r="R380" s="396" t="s">
        <v>98</v>
      </c>
      <c r="S380" s="398" t="s">
        <v>56</v>
      </c>
      <c r="U380" s="171">
        <v>68</v>
      </c>
      <c r="V380" s="171" t="s">
        <v>98</v>
      </c>
      <c r="W380" s="171" t="s">
        <v>123</v>
      </c>
      <c r="Y380" s="171">
        <v>34</v>
      </c>
      <c r="Z380" s="460" t="s">
        <v>98</v>
      </c>
      <c r="AA380" s="171" t="s">
        <v>56</v>
      </c>
      <c r="AC380" s="505">
        <v>26</v>
      </c>
      <c r="AD380" s="505" t="s">
        <v>98</v>
      </c>
      <c r="AE380" s="505" t="s">
        <v>38</v>
      </c>
      <c r="AG380" s="171">
        <v>17</v>
      </c>
      <c r="AH380" s="171" t="s">
        <v>97</v>
      </c>
      <c r="AI380" s="171" t="s">
        <v>122</v>
      </c>
      <c r="AK380" s="299">
        <v>23</v>
      </c>
      <c r="AL380" s="503" t="s">
        <v>81</v>
      </c>
      <c r="AM380" s="299" t="s">
        <v>1340</v>
      </c>
      <c r="AO380" s="299">
        <v>24</v>
      </c>
      <c r="AP380" s="299" t="s">
        <v>81</v>
      </c>
      <c r="AQ380" s="299" t="s">
        <v>1369</v>
      </c>
    </row>
    <row r="381" spans="1:43" ht="15" customHeight="1" x14ac:dyDescent="0.25">
      <c r="A381">
        <v>55</v>
      </c>
      <c r="B381" t="s">
        <v>98</v>
      </c>
      <c r="C381" t="s">
        <v>123</v>
      </c>
      <c r="E381" s="72">
        <v>28</v>
      </c>
      <c r="F381" t="s">
        <v>98</v>
      </c>
      <c r="G381" t="s">
        <v>55</v>
      </c>
      <c r="I381" s="171">
        <v>16</v>
      </c>
      <c r="J381" s="171" t="s">
        <v>98</v>
      </c>
      <c r="K381" s="171" t="s">
        <v>55</v>
      </c>
      <c r="M381" s="171">
        <v>56</v>
      </c>
      <c r="N381" s="171" t="s">
        <v>97</v>
      </c>
      <c r="O381" s="171" t="s">
        <v>688</v>
      </c>
      <c r="Q381" s="399">
        <v>28</v>
      </c>
      <c r="R381" s="396" t="s">
        <v>98</v>
      </c>
      <c r="S381" s="398" t="s">
        <v>56</v>
      </c>
      <c r="U381" s="171">
        <v>25</v>
      </c>
      <c r="V381" s="171" t="s">
        <v>98</v>
      </c>
      <c r="W381" s="171" t="s">
        <v>123</v>
      </c>
      <c r="Y381" s="171">
        <v>26</v>
      </c>
      <c r="Z381" s="460" t="s">
        <v>98</v>
      </c>
      <c r="AA381" s="171" t="s">
        <v>56</v>
      </c>
      <c r="AC381" s="505">
        <v>26</v>
      </c>
      <c r="AD381" s="505" t="s">
        <v>98</v>
      </c>
      <c r="AE381" s="505" t="s">
        <v>38</v>
      </c>
      <c r="AG381" s="171">
        <v>16</v>
      </c>
      <c r="AH381" s="171" t="s">
        <v>97</v>
      </c>
      <c r="AI381" s="171" t="s">
        <v>122</v>
      </c>
      <c r="AK381" s="299">
        <v>25</v>
      </c>
      <c r="AL381" s="503" t="s">
        <v>81</v>
      </c>
      <c r="AM381" s="299" t="s">
        <v>1340</v>
      </c>
      <c r="AO381" s="299">
        <v>26</v>
      </c>
      <c r="AP381" s="299" t="s">
        <v>81</v>
      </c>
      <c r="AQ381" s="299" t="s">
        <v>1369</v>
      </c>
    </row>
    <row r="382" spans="1:43" ht="15" customHeight="1" x14ac:dyDescent="0.25">
      <c r="A382">
        <v>52</v>
      </c>
      <c r="B382" t="s">
        <v>98</v>
      </c>
      <c r="C382" t="s">
        <v>123</v>
      </c>
      <c r="E382" s="72">
        <v>28</v>
      </c>
      <c r="F382" t="s">
        <v>98</v>
      </c>
      <c r="G382" t="s">
        <v>55</v>
      </c>
      <c r="I382" s="171">
        <v>16</v>
      </c>
      <c r="J382" s="171" t="s">
        <v>98</v>
      </c>
      <c r="K382" s="171" t="s">
        <v>55</v>
      </c>
      <c r="M382" s="171">
        <v>11</v>
      </c>
      <c r="N382" s="171" t="s">
        <v>97</v>
      </c>
      <c r="O382" s="171" t="s">
        <v>688</v>
      </c>
      <c r="Q382" s="399">
        <v>20</v>
      </c>
      <c r="R382" s="396" t="s">
        <v>98</v>
      </c>
      <c r="S382" s="398" t="s">
        <v>56</v>
      </c>
      <c r="U382" s="171">
        <v>81</v>
      </c>
      <c r="V382" s="171" t="s">
        <v>98</v>
      </c>
      <c r="W382" s="171" t="s">
        <v>123</v>
      </c>
      <c r="Y382" s="171">
        <v>18</v>
      </c>
      <c r="Z382" s="460" t="s">
        <v>98</v>
      </c>
      <c r="AA382" s="171" t="s">
        <v>56</v>
      </c>
      <c r="AC382" s="505">
        <v>26</v>
      </c>
      <c r="AD382" s="505" t="s">
        <v>98</v>
      </c>
      <c r="AE382" s="505" t="s">
        <v>38</v>
      </c>
      <c r="AG382" s="171">
        <v>31</v>
      </c>
      <c r="AH382" s="171" t="s">
        <v>97</v>
      </c>
      <c r="AI382" s="171" t="s">
        <v>122</v>
      </c>
      <c r="AK382" s="299">
        <v>33</v>
      </c>
      <c r="AL382" s="503" t="s">
        <v>81</v>
      </c>
      <c r="AM382" s="299" t="s">
        <v>1340</v>
      </c>
      <c r="AO382" s="299">
        <v>40</v>
      </c>
      <c r="AP382" s="299" t="s">
        <v>81</v>
      </c>
      <c r="AQ382" s="299" t="s">
        <v>1369</v>
      </c>
    </row>
    <row r="383" spans="1:43" ht="15" customHeight="1" x14ac:dyDescent="0.25">
      <c r="A383">
        <v>50</v>
      </c>
      <c r="B383" t="s">
        <v>98</v>
      </c>
      <c r="C383" t="s">
        <v>123</v>
      </c>
      <c r="E383" s="72">
        <v>28</v>
      </c>
      <c r="F383" t="s">
        <v>98</v>
      </c>
      <c r="G383" t="s">
        <v>56</v>
      </c>
      <c r="I383" s="171">
        <v>35</v>
      </c>
      <c r="J383" s="171" t="s">
        <v>98</v>
      </c>
      <c r="K383" s="171" t="s">
        <v>55</v>
      </c>
      <c r="M383" s="171">
        <v>30</v>
      </c>
      <c r="N383" s="171" t="s">
        <v>97</v>
      </c>
      <c r="O383" s="171" t="s">
        <v>688</v>
      </c>
      <c r="Q383" s="399">
        <v>23</v>
      </c>
      <c r="R383" s="396" t="s">
        <v>98</v>
      </c>
      <c r="S383" s="398" t="s">
        <v>56</v>
      </c>
      <c r="U383" s="171">
        <v>19</v>
      </c>
      <c r="V383" s="171" t="s">
        <v>98</v>
      </c>
      <c r="W383" s="171" t="s">
        <v>123</v>
      </c>
      <c r="Y383" s="171">
        <v>31</v>
      </c>
      <c r="Z383" s="460" t="s">
        <v>98</v>
      </c>
      <c r="AA383" s="171" t="s">
        <v>56</v>
      </c>
      <c r="AC383" s="505">
        <v>35</v>
      </c>
      <c r="AD383" s="505" t="s">
        <v>98</v>
      </c>
      <c r="AE383" s="505" t="s">
        <v>38</v>
      </c>
      <c r="AG383" s="171">
        <v>18</v>
      </c>
      <c r="AH383" s="171" t="s">
        <v>97</v>
      </c>
      <c r="AI383" s="171" t="s">
        <v>122</v>
      </c>
      <c r="AK383" s="299">
        <v>18</v>
      </c>
      <c r="AL383" s="503" t="s">
        <v>81</v>
      </c>
      <c r="AM383" s="299" t="s">
        <v>1340</v>
      </c>
      <c r="AO383" s="299">
        <v>24</v>
      </c>
      <c r="AP383" s="299" t="s">
        <v>81</v>
      </c>
      <c r="AQ383" s="299" t="s">
        <v>1369</v>
      </c>
    </row>
    <row r="384" spans="1:43" ht="15" customHeight="1" x14ac:dyDescent="0.25">
      <c r="A384">
        <v>50</v>
      </c>
      <c r="B384" t="s">
        <v>98</v>
      </c>
      <c r="C384" t="s">
        <v>123</v>
      </c>
      <c r="E384" s="72">
        <v>28</v>
      </c>
      <c r="F384" t="s">
        <v>98</v>
      </c>
      <c r="G384" t="s">
        <v>56</v>
      </c>
      <c r="I384" s="171">
        <v>38</v>
      </c>
      <c r="J384" s="171" t="s">
        <v>98</v>
      </c>
      <c r="K384" s="171" t="s">
        <v>55</v>
      </c>
      <c r="M384" s="171">
        <v>22</v>
      </c>
      <c r="N384" s="171" t="s">
        <v>98</v>
      </c>
      <c r="O384" s="171" t="s">
        <v>688</v>
      </c>
      <c r="Q384" s="399">
        <v>26</v>
      </c>
      <c r="R384" s="396" t="s">
        <v>98</v>
      </c>
      <c r="S384" s="398" t="s">
        <v>56</v>
      </c>
      <c r="U384" s="171">
        <v>33</v>
      </c>
      <c r="V384" s="171" t="s">
        <v>98</v>
      </c>
      <c r="W384" s="171" t="s">
        <v>123</v>
      </c>
      <c r="Y384" s="171">
        <v>32</v>
      </c>
      <c r="Z384" s="460" t="s">
        <v>98</v>
      </c>
      <c r="AA384" s="171" t="s">
        <v>56</v>
      </c>
      <c r="AC384" s="505">
        <v>35</v>
      </c>
      <c r="AD384" s="505" t="s">
        <v>98</v>
      </c>
      <c r="AE384" s="505" t="s">
        <v>38</v>
      </c>
      <c r="AG384" s="171">
        <v>31</v>
      </c>
      <c r="AH384" s="171" t="s">
        <v>97</v>
      </c>
      <c r="AI384" s="171" t="s">
        <v>122</v>
      </c>
      <c r="AK384" s="299">
        <v>25</v>
      </c>
      <c r="AL384" s="503" t="s">
        <v>81</v>
      </c>
      <c r="AM384" s="299" t="s">
        <v>1340</v>
      </c>
      <c r="AO384" s="299">
        <v>22</v>
      </c>
      <c r="AP384" s="299" t="s">
        <v>81</v>
      </c>
      <c r="AQ384" s="299" t="s">
        <v>1369</v>
      </c>
    </row>
    <row r="385" spans="1:43" ht="15" customHeight="1" x14ac:dyDescent="0.25">
      <c r="A385">
        <v>47</v>
      </c>
      <c r="B385" t="s">
        <v>98</v>
      </c>
      <c r="C385" t="s">
        <v>123</v>
      </c>
      <c r="E385" s="72">
        <v>28</v>
      </c>
      <c r="F385" t="s">
        <v>98</v>
      </c>
      <c r="G385" t="s">
        <v>56</v>
      </c>
      <c r="I385" s="171">
        <v>16</v>
      </c>
      <c r="J385" s="171" t="s">
        <v>98</v>
      </c>
      <c r="K385" s="171" t="s">
        <v>55</v>
      </c>
      <c r="M385" s="171">
        <v>70</v>
      </c>
      <c r="N385" s="171" t="s">
        <v>98</v>
      </c>
      <c r="O385" s="171" t="s">
        <v>688</v>
      </c>
      <c r="Q385" s="399">
        <v>27</v>
      </c>
      <c r="R385" s="396" t="s">
        <v>98</v>
      </c>
      <c r="S385" s="398" t="s">
        <v>56</v>
      </c>
      <c r="U385" s="171">
        <v>61</v>
      </c>
      <c r="V385" s="171" t="s">
        <v>98</v>
      </c>
      <c r="W385" s="171" t="s">
        <v>123</v>
      </c>
      <c r="Y385" s="171">
        <v>29</v>
      </c>
      <c r="Z385" s="460" t="s">
        <v>98</v>
      </c>
      <c r="AA385" s="171" t="s">
        <v>56</v>
      </c>
      <c r="AC385" s="505">
        <v>18</v>
      </c>
      <c r="AD385" s="505" t="s">
        <v>98</v>
      </c>
      <c r="AE385" s="505" t="s">
        <v>38</v>
      </c>
      <c r="AG385" s="171">
        <v>73</v>
      </c>
      <c r="AH385" s="171" t="s">
        <v>97</v>
      </c>
      <c r="AI385" s="171" t="s">
        <v>122</v>
      </c>
      <c r="AK385" s="299">
        <v>36</v>
      </c>
      <c r="AL385" s="503" t="s">
        <v>81</v>
      </c>
      <c r="AM385" s="299" t="s">
        <v>1340</v>
      </c>
      <c r="AO385" s="299">
        <v>33</v>
      </c>
      <c r="AP385" s="299" t="s">
        <v>81</v>
      </c>
      <c r="AQ385" s="299" t="s">
        <v>1369</v>
      </c>
    </row>
    <row r="386" spans="1:43" ht="15" customHeight="1" x14ac:dyDescent="0.25">
      <c r="A386">
        <v>47</v>
      </c>
      <c r="B386" t="s">
        <v>98</v>
      </c>
      <c r="C386" t="s">
        <v>123</v>
      </c>
      <c r="E386" s="72">
        <v>28</v>
      </c>
      <c r="F386" t="s">
        <v>98</v>
      </c>
      <c r="G386" t="s">
        <v>38</v>
      </c>
      <c r="I386" s="171">
        <v>44</v>
      </c>
      <c r="J386" s="171" t="s">
        <v>98</v>
      </c>
      <c r="K386" s="171" t="s">
        <v>55</v>
      </c>
      <c r="M386" s="171">
        <v>56</v>
      </c>
      <c r="N386" s="171" t="s">
        <v>98</v>
      </c>
      <c r="O386" s="171" t="s">
        <v>688</v>
      </c>
      <c r="Q386" s="399">
        <v>33</v>
      </c>
      <c r="R386" s="396" t="s">
        <v>98</v>
      </c>
      <c r="S386" s="398" t="s">
        <v>56</v>
      </c>
      <c r="U386" s="171">
        <v>41</v>
      </c>
      <c r="V386" s="171" t="s">
        <v>98</v>
      </c>
      <c r="W386" s="171" t="s">
        <v>123</v>
      </c>
      <c r="Y386" s="171">
        <v>34</v>
      </c>
      <c r="Z386" s="460" t="s">
        <v>98</v>
      </c>
      <c r="AA386" s="171" t="s">
        <v>56</v>
      </c>
      <c r="AC386" s="505">
        <v>32</v>
      </c>
      <c r="AD386" s="505" t="s">
        <v>98</v>
      </c>
      <c r="AE386" s="505" t="s">
        <v>38</v>
      </c>
      <c r="AG386" s="171">
        <v>38</v>
      </c>
      <c r="AH386" s="171" t="s">
        <v>97</v>
      </c>
      <c r="AI386" s="171" t="s">
        <v>122</v>
      </c>
      <c r="AK386" s="299">
        <v>37</v>
      </c>
      <c r="AL386" s="503" t="s">
        <v>81</v>
      </c>
      <c r="AM386" s="299" t="s">
        <v>1340</v>
      </c>
      <c r="AO386" s="299">
        <v>25</v>
      </c>
      <c r="AP386" s="299" t="s">
        <v>81</v>
      </c>
      <c r="AQ386" s="299" t="s">
        <v>1369</v>
      </c>
    </row>
    <row r="387" spans="1:43" ht="15" customHeight="1" x14ac:dyDescent="0.25">
      <c r="A387">
        <v>47</v>
      </c>
      <c r="B387" t="s">
        <v>98</v>
      </c>
      <c r="C387" t="s">
        <v>123</v>
      </c>
      <c r="E387" s="72">
        <v>27</v>
      </c>
      <c r="F387" t="s">
        <v>98</v>
      </c>
      <c r="G387" t="s">
        <v>688</v>
      </c>
      <c r="I387" s="171">
        <v>41</v>
      </c>
      <c r="J387" s="171" t="s">
        <v>98</v>
      </c>
      <c r="K387" s="171" t="s">
        <v>55</v>
      </c>
      <c r="M387" s="171">
        <v>24</v>
      </c>
      <c r="N387" s="171" t="s">
        <v>98</v>
      </c>
      <c r="O387" s="171" t="s">
        <v>688</v>
      </c>
      <c r="Q387" s="399">
        <v>27</v>
      </c>
      <c r="R387" s="396" t="s">
        <v>98</v>
      </c>
      <c r="S387" s="398" t="s">
        <v>56</v>
      </c>
      <c r="U387" s="171">
        <v>69</v>
      </c>
      <c r="V387" s="171" t="s">
        <v>98</v>
      </c>
      <c r="W387" s="171" t="s">
        <v>123</v>
      </c>
      <c r="Y387" s="171">
        <v>30</v>
      </c>
      <c r="Z387" s="460" t="s">
        <v>98</v>
      </c>
      <c r="AA387" s="171" t="s">
        <v>56</v>
      </c>
      <c r="AC387" s="505">
        <v>20</v>
      </c>
      <c r="AD387" s="505" t="s">
        <v>98</v>
      </c>
      <c r="AE387" s="505" t="s">
        <v>38</v>
      </c>
      <c r="AG387" s="171">
        <v>40</v>
      </c>
      <c r="AH387" s="171" t="s">
        <v>97</v>
      </c>
      <c r="AI387" s="171" t="s">
        <v>122</v>
      </c>
      <c r="AK387" s="299">
        <v>26</v>
      </c>
      <c r="AL387" s="503" t="s">
        <v>81</v>
      </c>
      <c r="AM387" s="299" t="s">
        <v>1340</v>
      </c>
      <c r="AO387" s="299">
        <v>46</v>
      </c>
      <c r="AP387" s="299" t="s">
        <v>81</v>
      </c>
      <c r="AQ387" s="299" t="s">
        <v>1369</v>
      </c>
    </row>
    <row r="388" spans="1:43" ht="15" customHeight="1" x14ac:dyDescent="0.25">
      <c r="A388">
        <v>46</v>
      </c>
      <c r="B388" t="s">
        <v>98</v>
      </c>
      <c r="C388" t="s">
        <v>123</v>
      </c>
      <c r="E388" s="72">
        <v>27</v>
      </c>
      <c r="F388" t="s">
        <v>97</v>
      </c>
      <c r="G388" t="s">
        <v>688</v>
      </c>
      <c r="I388" s="171">
        <v>36</v>
      </c>
      <c r="J388" s="171" t="s">
        <v>98</v>
      </c>
      <c r="K388" s="171" t="s">
        <v>55</v>
      </c>
      <c r="M388" s="171">
        <v>36</v>
      </c>
      <c r="N388" s="171" t="s">
        <v>98</v>
      </c>
      <c r="O388" s="171" t="s">
        <v>688</v>
      </c>
      <c r="Q388" s="399">
        <v>14</v>
      </c>
      <c r="R388" s="396" t="s">
        <v>98</v>
      </c>
      <c r="S388" s="398" t="s">
        <v>56</v>
      </c>
      <c r="U388" s="171">
        <v>20</v>
      </c>
      <c r="V388" s="171" t="s">
        <v>98</v>
      </c>
      <c r="W388" s="171" t="s">
        <v>123</v>
      </c>
      <c r="Y388" s="171">
        <v>20</v>
      </c>
      <c r="Z388" s="460" t="s">
        <v>98</v>
      </c>
      <c r="AA388" s="171" t="s">
        <v>56</v>
      </c>
      <c r="AC388" s="505">
        <v>28</v>
      </c>
      <c r="AD388" s="505" t="s">
        <v>98</v>
      </c>
      <c r="AE388" s="505" t="s">
        <v>38</v>
      </c>
      <c r="AG388" s="171">
        <v>65</v>
      </c>
      <c r="AH388" s="171" t="s">
        <v>97</v>
      </c>
      <c r="AI388" s="171" t="s">
        <v>122</v>
      </c>
      <c r="AK388" s="299">
        <v>18</v>
      </c>
      <c r="AL388" s="503" t="s">
        <v>81</v>
      </c>
      <c r="AM388" s="299" t="s">
        <v>1340</v>
      </c>
      <c r="AO388" s="299">
        <v>27</v>
      </c>
      <c r="AP388" s="299" t="s">
        <v>81</v>
      </c>
      <c r="AQ388" s="299" t="s">
        <v>1369</v>
      </c>
    </row>
    <row r="389" spans="1:43" ht="15" customHeight="1" x14ac:dyDescent="0.25">
      <c r="A389">
        <v>45</v>
      </c>
      <c r="B389" t="s">
        <v>98</v>
      </c>
      <c r="C389" t="s">
        <v>123</v>
      </c>
      <c r="E389" s="72">
        <v>27</v>
      </c>
      <c r="F389" t="s">
        <v>98</v>
      </c>
      <c r="G389" t="s">
        <v>55</v>
      </c>
      <c r="I389" s="171">
        <v>27</v>
      </c>
      <c r="J389" s="171" t="s">
        <v>98</v>
      </c>
      <c r="K389" s="171" t="s">
        <v>55</v>
      </c>
      <c r="M389" s="171">
        <v>57</v>
      </c>
      <c r="N389" s="171" t="s">
        <v>97</v>
      </c>
      <c r="O389" s="171" t="s">
        <v>688</v>
      </c>
      <c r="Q389" s="399">
        <v>21</v>
      </c>
      <c r="R389" s="396" t="s">
        <v>98</v>
      </c>
      <c r="S389" s="398" t="s">
        <v>56</v>
      </c>
      <c r="U389" s="171">
        <v>92</v>
      </c>
      <c r="V389" s="171" t="s">
        <v>98</v>
      </c>
      <c r="W389" s="171" t="s">
        <v>123</v>
      </c>
      <c r="Y389" s="171">
        <v>17</v>
      </c>
      <c r="Z389" s="460" t="s">
        <v>98</v>
      </c>
      <c r="AA389" s="171" t="s">
        <v>56</v>
      </c>
      <c r="AC389" s="505">
        <v>28</v>
      </c>
      <c r="AD389" s="505" t="s">
        <v>98</v>
      </c>
      <c r="AE389" s="505" t="s">
        <v>38</v>
      </c>
      <c r="AG389" s="171">
        <v>69</v>
      </c>
      <c r="AH389" s="171" t="s">
        <v>97</v>
      </c>
      <c r="AI389" s="171" t="s">
        <v>122</v>
      </c>
      <c r="AK389" s="299">
        <v>38</v>
      </c>
      <c r="AL389" s="503" t="s">
        <v>81</v>
      </c>
      <c r="AM389" s="299" t="s">
        <v>1340</v>
      </c>
      <c r="AO389" s="299">
        <v>22</v>
      </c>
      <c r="AP389" s="299" t="s">
        <v>81</v>
      </c>
      <c r="AQ389" s="299" t="s">
        <v>1369</v>
      </c>
    </row>
    <row r="390" spans="1:43" ht="15" customHeight="1" x14ac:dyDescent="0.25">
      <c r="A390">
        <v>45</v>
      </c>
      <c r="B390" t="s">
        <v>98</v>
      </c>
      <c r="C390" t="s">
        <v>123</v>
      </c>
      <c r="E390" s="72">
        <v>27</v>
      </c>
      <c r="F390" t="s">
        <v>98</v>
      </c>
      <c r="G390" t="s">
        <v>55</v>
      </c>
      <c r="I390" s="171">
        <v>36</v>
      </c>
      <c r="J390" s="171" t="s">
        <v>98</v>
      </c>
      <c r="K390" s="171" t="s">
        <v>55</v>
      </c>
      <c r="M390" s="171">
        <v>80</v>
      </c>
      <c r="N390" s="171" t="s">
        <v>97</v>
      </c>
      <c r="O390" s="171" t="s">
        <v>688</v>
      </c>
      <c r="Q390" s="399">
        <v>18</v>
      </c>
      <c r="R390" s="396" t="s">
        <v>98</v>
      </c>
      <c r="S390" s="398" t="s">
        <v>56</v>
      </c>
      <c r="U390" s="171">
        <v>19</v>
      </c>
      <c r="V390" s="171" t="s">
        <v>98</v>
      </c>
      <c r="W390" s="171" t="s">
        <v>123</v>
      </c>
      <c r="Y390" s="171">
        <v>20</v>
      </c>
      <c r="Z390" s="460" t="s">
        <v>98</v>
      </c>
      <c r="AA390" s="171" t="s">
        <v>56</v>
      </c>
      <c r="AC390" s="505">
        <v>24</v>
      </c>
      <c r="AD390" s="505" t="s">
        <v>98</v>
      </c>
      <c r="AE390" s="505" t="s">
        <v>38</v>
      </c>
      <c r="AG390" s="171">
        <v>60</v>
      </c>
      <c r="AH390" s="171" t="s">
        <v>97</v>
      </c>
      <c r="AI390" s="171" t="s">
        <v>122</v>
      </c>
      <c r="AK390" s="299">
        <v>20</v>
      </c>
      <c r="AL390" s="503" t="s">
        <v>81</v>
      </c>
      <c r="AM390" s="299" t="s">
        <v>1340</v>
      </c>
      <c r="AO390" s="299">
        <v>33</v>
      </c>
      <c r="AP390" s="299" t="s">
        <v>81</v>
      </c>
      <c r="AQ390" s="299" t="s">
        <v>1369</v>
      </c>
    </row>
    <row r="391" spans="1:43" ht="15" customHeight="1" x14ac:dyDescent="0.25">
      <c r="A391">
        <v>44</v>
      </c>
      <c r="B391" t="s">
        <v>98</v>
      </c>
      <c r="C391" t="s">
        <v>123</v>
      </c>
      <c r="E391" s="72">
        <v>27</v>
      </c>
      <c r="F391" t="s">
        <v>98</v>
      </c>
      <c r="G391" t="s">
        <v>55</v>
      </c>
      <c r="I391" s="171">
        <v>23</v>
      </c>
      <c r="J391" s="171" t="s">
        <v>98</v>
      </c>
      <c r="K391" s="171" t="s">
        <v>55</v>
      </c>
      <c r="M391" s="171">
        <v>33</v>
      </c>
      <c r="N391" s="171" t="s">
        <v>97</v>
      </c>
      <c r="O391" s="171" t="s">
        <v>688</v>
      </c>
      <c r="Q391" s="399">
        <v>50</v>
      </c>
      <c r="R391" s="396" t="s">
        <v>98</v>
      </c>
      <c r="S391" s="398" t="s">
        <v>56</v>
      </c>
      <c r="U391" s="171">
        <v>45</v>
      </c>
      <c r="V391" s="171" t="s">
        <v>98</v>
      </c>
      <c r="W391" s="171" t="s">
        <v>123</v>
      </c>
      <c r="Y391" s="171">
        <v>34</v>
      </c>
      <c r="Z391" s="460" t="s">
        <v>98</v>
      </c>
      <c r="AA391" s="171" t="s">
        <v>56</v>
      </c>
      <c r="AC391" s="505">
        <v>39</v>
      </c>
      <c r="AD391" s="505" t="s">
        <v>98</v>
      </c>
      <c r="AE391" s="505" t="s">
        <v>38</v>
      </c>
      <c r="AG391" s="505">
        <v>61</v>
      </c>
      <c r="AH391" s="171" t="s">
        <v>97</v>
      </c>
      <c r="AI391" s="171" t="s">
        <v>122</v>
      </c>
      <c r="AK391" s="503">
        <v>27</v>
      </c>
      <c r="AL391" s="503" t="s">
        <v>81</v>
      </c>
      <c r="AM391" s="299" t="s">
        <v>1340</v>
      </c>
      <c r="AO391" s="503">
        <v>39</v>
      </c>
      <c r="AP391" s="299" t="s">
        <v>81</v>
      </c>
      <c r="AQ391" s="299" t="s">
        <v>1369</v>
      </c>
    </row>
    <row r="392" spans="1:43" ht="15" customHeight="1" x14ac:dyDescent="0.25">
      <c r="A392">
        <v>44</v>
      </c>
      <c r="B392" t="s">
        <v>98</v>
      </c>
      <c r="C392" t="s">
        <v>123</v>
      </c>
      <c r="E392" s="72">
        <v>27</v>
      </c>
      <c r="F392" t="s">
        <v>98</v>
      </c>
      <c r="G392" t="s">
        <v>55</v>
      </c>
      <c r="I392" s="171">
        <v>42</v>
      </c>
      <c r="J392" s="171" t="s">
        <v>98</v>
      </c>
      <c r="K392" s="171" t="s">
        <v>55</v>
      </c>
      <c r="M392" s="171">
        <v>9</v>
      </c>
      <c r="N392" s="171" t="s">
        <v>97</v>
      </c>
      <c r="O392" s="171" t="s">
        <v>688</v>
      </c>
      <c r="Q392" s="399">
        <v>40</v>
      </c>
      <c r="R392" s="396" t="s">
        <v>98</v>
      </c>
      <c r="S392" s="398" t="s">
        <v>56</v>
      </c>
      <c r="U392" s="171">
        <v>23</v>
      </c>
      <c r="V392" s="171" t="s">
        <v>98</v>
      </c>
      <c r="W392" s="171" t="s">
        <v>123</v>
      </c>
      <c r="Y392" s="171">
        <v>23</v>
      </c>
      <c r="Z392" s="460" t="s">
        <v>98</v>
      </c>
      <c r="AA392" s="171" t="s">
        <v>56</v>
      </c>
      <c r="AC392" s="505">
        <v>30</v>
      </c>
      <c r="AD392" s="505" t="s">
        <v>98</v>
      </c>
      <c r="AE392" s="505" t="s">
        <v>38</v>
      </c>
      <c r="AG392" s="171">
        <v>2</v>
      </c>
      <c r="AH392" s="171" t="s">
        <v>97</v>
      </c>
      <c r="AI392" s="171" t="s">
        <v>134</v>
      </c>
      <c r="AK392" s="299">
        <v>24</v>
      </c>
      <c r="AL392" s="503" t="s">
        <v>81</v>
      </c>
      <c r="AM392" s="299" t="s">
        <v>1340</v>
      </c>
      <c r="AO392" s="299">
        <v>30</v>
      </c>
      <c r="AP392" s="299" t="s">
        <v>81</v>
      </c>
      <c r="AQ392" s="299" t="s">
        <v>1369</v>
      </c>
    </row>
    <row r="393" spans="1:43" ht="15" customHeight="1" x14ac:dyDescent="0.25">
      <c r="A393">
        <v>44</v>
      </c>
      <c r="B393" t="s">
        <v>98</v>
      </c>
      <c r="C393" t="s">
        <v>123</v>
      </c>
      <c r="E393" s="72">
        <v>27</v>
      </c>
      <c r="F393" t="s">
        <v>98</v>
      </c>
      <c r="G393" t="s">
        <v>55</v>
      </c>
      <c r="I393" s="171">
        <v>21</v>
      </c>
      <c r="J393" s="171" t="s">
        <v>98</v>
      </c>
      <c r="K393" s="171" t="s">
        <v>55</v>
      </c>
      <c r="M393" s="171">
        <v>48</v>
      </c>
      <c r="N393" s="171" t="s">
        <v>98</v>
      </c>
      <c r="O393" s="171" t="s">
        <v>688</v>
      </c>
      <c r="Q393" s="399">
        <v>39</v>
      </c>
      <c r="R393" s="396" t="s">
        <v>98</v>
      </c>
      <c r="S393" s="398" t="s">
        <v>56</v>
      </c>
      <c r="U393" s="171">
        <v>26</v>
      </c>
      <c r="V393" s="171" t="s">
        <v>98</v>
      </c>
      <c r="W393" s="171" t="s">
        <v>123</v>
      </c>
      <c r="Y393" s="171">
        <v>43</v>
      </c>
      <c r="Z393" s="460" t="s">
        <v>98</v>
      </c>
      <c r="AA393" s="171" t="s">
        <v>56</v>
      </c>
      <c r="AC393" s="505">
        <v>18</v>
      </c>
      <c r="AD393" s="505" t="s">
        <v>98</v>
      </c>
      <c r="AE393" s="505" t="s">
        <v>56</v>
      </c>
      <c r="AG393" s="171">
        <v>6</v>
      </c>
      <c r="AH393" s="171" t="s">
        <v>98</v>
      </c>
      <c r="AI393" s="171" t="s">
        <v>134</v>
      </c>
      <c r="AK393" s="299">
        <v>32</v>
      </c>
      <c r="AL393" s="503" t="s">
        <v>81</v>
      </c>
      <c r="AM393" s="299" t="s">
        <v>1340</v>
      </c>
      <c r="AO393" s="299">
        <v>23</v>
      </c>
      <c r="AP393" s="299" t="s">
        <v>81</v>
      </c>
      <c r="AQ393" s="299" t="s">
        <v>1369</v>
      </c>
    </row>
    <row r="394" spans="1:43" ht="15" customHeight="1" x14ac:dyDescent="0.25">
      <c r="A394">
        <v>43</v>
      </c>
      <c r="B394" t="s">
        <v>98</v>
      </c>
      <c r="C394" t="s">
        <v>123</v>
      </c>
      <c r="E394" s="72">
        <v>27</v>
      </c>
      <c r="F394" t="s">
        <v>98</v>
      </c>
      <c r="G394" t="s">
        <v>56</v>
      </c>
      <c r="I394" s="171">
        <v>24</v>
      </c>
      <c r="J394" s="171" t="s">
        <v>98</v>
      </c>
      <c r="K394" s="171" t="s">
        <v>55</v>
      </c>
      <c r="M394" s="171">
        <v>32</v>
      </c>
      <c r="N394" s="171" t="s">
        <v>98</v>
      </c>
      <c r="O394" s="171" t="s">
        <v>688</v>
      </c>
      <c r="Q394" s="399">
        <v>25</v>
      </c>
      <c r="R394" s="396" t="s">
        <v>98</v>
      </c>
      <c r="S394" s="398" t="s">
        <v>56</v>
      </c>
      <c r="U394" s="171">
        <v>14</v>
      </c>
      <c r="V394" s="171" t="s">
        <v>98</v>
      </c>
      <c r="W394" s="171" t="s">
        <v>123</v>
      </c>
      <c r="Y394" s="171">
        <v>39</v>
      </c>
      <c r="Z394" s="460" t="s">
        <v>98</v>
      </c>
      <c r="AA394" s="171" t="s">
        <v>56</v>
      </c>
      <c r="AC394" s="505">
        <v>37</v>
      </c>
      <c r="AD394" s="505" t="s">
        <v>98</v>
      </c>
      <c r="AE394" s="505" t="s">
        <v>56</v>
      </c>
      <c r="AG394" s="171">
        <v>1</v>
      </c>
      <c r="AH394" s="171" t="s">
        <v>98</v>
      </c>
      <c r="AI394" s="171" t="s">
        <v>134</v>
      </c>
      <c r="AK394" s="299">
        <v>34</v>
      </c>
      <c r="AL394" s="503" t="s">
        <v>81</v>
      </c>
      <c r="AM394" s="299" t="s">
        <v>1340</v>
      </c>
      <c r="AO394" s="299">
        <v>30</v>
      </c>
      <c r="AP394" s="299" t="s">
        <v>81</v>
      </c>
      <c r="AQ394" s="299" t="s">
        <v>1369</v>
      </c>
    </row>
    <row r="395" spans="1:43" ht="15" customHeight="1" x14ac:dyDescent="0.25">
      <c r="A395">
        <v>43</v>
      </c>
      <c r="B395" t="s">
        <v>98</v>
      </c>
      <c r="C395" t="s">
        <v>123</v>
      </c>
      <c r="E395" s="72">
        <v>27</v>
      </c>
      <c r="F395" t="s">
        <v>98</v>
      </c>
      <c r="G395" t="s">
        <v>56</v>
      </c>
      <c r="I395" s="171">
        <v>31</v>
      </c>
      <c r="J395" s="171" t="s">
        <v>98</v>
      </c>
      <c r="K395" s="171" t="s">
        <v>55</v>
      </c>
      <c r="M395" s="171">
        <v>10</v>
      </c>
      <c r="N395" s="171" t="s">
        <v>97</v>
      </c>
      <c r="O395" s="171" t="s">
        <v>688</v>
      </c>
      <c r="Q395" s="399">
        <v>25</v>
      </c>
      <c r="R395" s="396" t="s">
        <v>98</v>
      </c>
      <c r="S395" s="398" t="s">
        <v>56</v>
      </c>
      <c r="U395" s="171">
        <v>37</v>
      </c>
      <c r="V395" s="171" t="s">
        <v>98</v>
      </c>
      <c r="W395" s="171" t="s">
        <v>123</v>
      </c>
      <c r="Y395" s="171">
        <v>21</v>
      </c>
      <c r="Z395" s="460" t="s">
        <v>98</v>
      </c>
      <c r="AA395" s="171" t="s">
        <v>56</v>
      </c>
      <c r="AC395" s="505">
        <v>37</v>
      </c>
      <c r="AD395" s="505" t="s">
        <v>98</v>
      </c>
      <c r="AE395" s="505" t="s">
        <v>56</v>
      </c>
      <c r="AG395" s="171">
        <v>1</v>
      </c>
      <c r="AH395" s="171" t="s">
        <v>97</v>
      </c>
      <c r="AI395" s="171" t="s">
        <v>134</v>
      </c>
      <c r="AK395" s="299">
        <v>29</v>
      </c>
      <c r="AL395" s="503" t="s">
        <v>81</v>
      </c>
      <c r="AM395" s="299" t="s">
        <v>1340</v>
      </c>
      <c r="AO395" s="299">
        <v>31</v>
      </c>
      <c r="AP395" s="299" t="s">
        <v>81</v>
      </c>
      <c r="AQ395" s="299" t="s">
        <v>1369</v>
      </c>
    </row>
    <row r="396" spans="1:43" ht="15" customHeight="1" x14ac:dyDescent="0.25">
      <c r="A396">
        <v>42</v>
      </c>
      <c r="B396" t="s">
        <v>98</v>
      </c>
      <c r="C396" t="s">
        <v>123</v>
      </c>
      <c r="E396" s="72">
        <v>27</v>
      </c>
      <c r="F396" t="s">
        <v>98</v>
      </c>
      <c r="G396" t="s">
        <v>56</v>
      </c>
      <c r="I396" s="171">
        <v>23</v>
      </c>
      <c r="J396" s="171" t="s">
        <v>98</v>
      </c>
      <c r="K396" s="171" t="s">
        <v>55</v>
      </c>
      <c r="M396" s="171">
        <v>44</v>
      </c>
      <c r="N396" s="171" t="s">
        <v>98</v>
      </c>
      <c r="O396" s="171" t="s">
        <v>688</v>
      </c>
      <c r="Q396" s="399">
        <v>28</v>
      </c>
      <c r="R396" s="396" t="s">
        <v>98</v>
      </c>
      <c r="S396" s="398" t="s">
        <v>56</v>
      </c>
      <c r="U396" s="171">
        <v>19</v>
      </c>
      <c r="V396" s="171" t="s">
        <v>98</v>
      </c>
      <c r="W396" s="171" t="s">
        <v>123</v>
      </c>
      <c r="Y396" s="171">
        <v>24</v>
      </c>
      <c r="Z396" s="460" t="s">
        <v>98</v>
      </c>
      <c r="AA396" s="171" t="s">
        <v>56</v>
      </c>
      <c r="AC396" s="505">
        <v>22</v>
      </c>
      <c r="AD396" s="505" t="s">
        <v>98</v>
      </c>
      <c r="AE396" s="505" t="s">
        <v>56</v>
      </c>
      <c r="AG396" s="171">
        <v>1</v>
      </c>
      <c r="AH396" s="171" t="s">
        <v>98</v>
      </c>
      <c r="AI396" s="171" t="s">
        <v>134</v>
      </c>
      <c r="AK396" s="299">
        <v>33</v>
      </c>
      <c r="AL396" s="503" t="s">
        <v>81</v>
      </c>
      <c r="AM396" s="299" t="s">
        <v>1340</v>
      </c>
      <c r="AO396" s="299">
        <v>34</v>
      </c>
      <c r="AP396" s="299" t="s">
        <v>81</v>
      </c>
      <c r="AQ396" s="299" t="s">
        <v>1370</v>
      </c>
    </row>
    <row r="397" spans="1:43" ht="15" customHeight="1" x14ac:dyDescent="0.25">
      <c r="A397">
        <v>42</v>
      </c>
      <c r="B397" t="s">
        <v>98</v>
      </c>
      <c r="C397" t="s">
        <v>123</v>
      </c>
      <c r="E397" s="72">
        <v>27</v>
      </c>
      <c r="F397" t="s">
        <v>98</v>
      </c>
      <c r="G397" t="s">
        <v>56</v>
      </c>
      <c r="I397" s="171">
        <v>16</v>
      </c>
      <c r="J397" s="171" t="s">
        <v>98</v>
      </c>
      <c r="K397" s="171" t="s">
        <v>55</v>
      </c>
      <c r="M397" s="171">
        <v>72</v>
      </c>
      <c r="N397" s="171" t="s">
        <v>97</v>
      </c>
      <c r="O397" s="171" t="s">
        <v>688</v>
      </c>
      <c r="Q397" s="399">
        <v>27</v>
      </c>
      <c r="R397" s="396" t="s">
        <v>98</v>
      </c>
      <c r="S397" s="398" t="s">
        <v>56</v>
      </c>
      <c r="U397" s="171">
        <v>53</v>
      </c>
      <c r="V397" s="171" t="s">
        <v>98</v>
      </c>
      <c r="W397" s="171" t="s">
        <v>123</v>
      </c>
      <c r="Y397" s="171">
        <v>37</v>
      </c>
      <c r="Z397" s="460" t="s">
        <v>98</v>
      </c>
      <c r="AA397" s="171" t="s">
        <v>56</v>
      </c>
      <c r="AC397" s="505">
        <v>18</v>
      </c>
      <c r="AD397" s="505" t="s">
        <v>98</v>
      </c>
      <c r="AE397" s="505" t="s">
        <v>56</v>
      </c>
      <c r="AG397" s="171">
        <v>11</v>
      </c>
      <c r="AH397" s="171" t="s">
        <v>98</v>
      </c>
      <c r="AI397" s="171" t="s">
        <v>134</v>
      </c>
      <c r="AK397" s="299">
        <v>43</v>
      </c>
      <c r="AL397" s="503" t="s">
        <v>81</v>
      </c>
      <c r="AM397" s="299" t="s">
        <v>1340</v>
      </c>
      <c r="AO397" s="299">
        <v>20</v>
      </c>
      <c r="AP397" s="299" t="s">
        <v>81</v>
      </c>
      <c r="AQ397" s="299" t="s">
        <v>1370</v>
      </c>
    </row>
    <row r="398" spans="1:43" ht="15" customHeight="1" x14ac:dyDescent="0.25">
      <c r="A398">
        <v>41</v>
      </c>
      <c r="B398" t="s">
        <v>98</v>
      </c>
      <c r="C398" t="s">
        <v>123</v>
      </c>
      <c r="E398" s="72">
        <v>27</v>
      </c>
      <c r="F398" t="s">
        <v>98</v>
      </c>
      <c r="G398" t="s">
        <v>56</v>
      </c>
      <c r="I398" s="171">
        <v>32</v>
      </c>
      <c r="J398" s="171" t="s">
        <v>98</v>
      </c>
      <c r="K398" s="171" t="s">
        <v>55</v>
      </c>
      <c r="M398" s="171">
        <v>53</v>
      </c>
      <c r="N398" s="171" t="s">
        <v>98</v>
      </c>
      <c r="O398" s="171" t="s">
        <v>688</v>
      </c>
      <c r="Q398" s="399">
        <v>26</v>
      </c>
      <c r="R398" s="396" t="s">
        <v>98</v>
      </c>
      <c r="S398" s="398" t="s">
        <v>56</v>
      </c>
      <c r="U398" s="171">
        <v>60</v>
      </c>
      <c r="V398" s="171" t="s">
        <v>98</v>
      </c>
      <c r="W398" s="171" t="s">
        <v>123</v>
      </c>
      <c r="Y398" s="171">
        <v>31</v>
      </c>
      <c r="Z398" s="460" t="s">
        <v>98</v>
      </c>
      <c r="AA398" s="171" t="s">
        <v>56</v>
      </c>
      <c r="AC398" s="505">
        <v>34</v>
      </c>
      <c r="AD398" s="505" t="s">
        <v>98</v>
      </c>
      <c r="AE398" s="505" t="s">
        <v>56</v>
      </c>
      <c r="AG398" s="171">
        <v>12</v>
      </c>
      <c r="AH398" s="171" t="s">
        <v>98</v>
      </c>
      <c r="AI398" s="171" t="s">
        <v>134</v>
      </c>
      <c r="AK398" s="299">
        <v>30</v>
      </c>
      <c r="AL398" s="503" t="s">
        <v>81</v>
      </c>
      <c r="AM398" s="299" t="s">
        <v>1340</v>
      </c>
      <c r="AO398" s="299">
        <v>42</v>
      </c>
      <c r="AP398" s="299" t="s">
        <v>81</v>
      </c>
      <c r="AQ398" s="299" t="s">
        <v>1370</v>
      </c>
    </row>
    <row r="399" spans="1:43" ht="15" customHeight="1" x14ac:dyDescent="0.25">
      <c r="A399">
        <v>39</v>
      </c>
      <c r="B399" t="s">
        <v>98</v>
      </c>
      <c r="C399" t="s">
        <v>123</v>
      </c>
      <c r="E399" s="72">
        <v>27</v>
      </c>
      <c r="F399" t="s">
        <v>98</v>
      </c>
      <c r="G399" t="s">
        <v>56</v>
      </c>
      <c r="I399" s="171">
        <v>31</v>
      </c>
      <c r="J399" s="171" t="s">
        <v>98</v>
      </c>
      <c r="K399" s="171" t="s">
        <v>55</v>
      </c>
      <c r="M399" s="171">
        <v>63</v>
      </c>
      <c r="N399" s="171" t="s">
        <v>97</v>
      </c>
      <c r="O399" s="171" t="s">
        <v>688</v>
      </c>
      <c r="Q399" s="399">
        <v>24</v>
      </c>
      <c r="R399" s="396" t="s">
        <v>98</v>
      </c>
      <c r="S399" s="398" t="s">
        <v>56</v>
      </c>
      <c r="U399" s="171">
        <v>87</v>
      </c>
      <c r="V399" s="171" t="s">
        <v>98</v>
      </c>
      <c r="W399" s="171" t="s">
        <v>123</v>
      </c>
      <c r="Y399" s="171">
        <v>32</v>
      </c>
      <c r="Z399" s="460" t="s">
        <v>98</v>
      </c>
      <c r="AA399" s="171" t="s">
        <v>56</v>
      </c>
      <c r="AC399" s="505">
        <v>35</v>
      </c>
      <c r="AD399" s="505" t="s">
        <v>98</v>
      </c>
      <c r="AE399" s="505" t="s">
        <v>56</v>
      </c>
      <c r="AG399" s="171">
        <v>12</v>
      </c>
      <c r="AH399" s="171" t="s">
        <v>98</v>
      </c>
      <c r="AI399" s="171" t="s">
        <v>134</v>
      </c>
      <c r="AK399" s="299">
        <v>21</v>
      </c>
      <c r="AL399" s="503" t="s">
        <v>81</v>
      </c>
      <c r="AM399" s="299" t="s">
        <v>1340</v>
      </c>
      <c r="AO399" s="299">
        <v>25</v>
      </c>
      <c r="AP399" s="299" t="s">
        <v>81</v>
      </c>
      <c r="AQ399" s="299" t="s">
        <v>1370</v>
      </c>
    </row>
    <row r="400" spans="1:43" ht="15" customHeight="1" x14ac:dyDescent="0.25">
      <c r="A400">
        <v>39</v>
      </c>
      <c r="B400" t="s">
        <v>98</v>
      </c>
      <c r="C400" t="s">
        <v>123</v>
      </c>
      <c r="E400" s="72">
        <v>27</v>
      </c>
      <c r="F400" t="s">
        <v>98</v>
      </c>
      <c r="G400" t="s">
        <v>56</v>
      </c>
      <c r="I400" s="171">
        <v>18</v>
      </c>
      <c r="J400" s="171" t="s">
        <v>98</v>
      </c>
      <c r="K400" s="171" t="s">
        <v>55</v>
      </c>
      <c r="M400" s="171">
        <v>19</v>
      </c>
      <c r="N400" s="171" t="s">
        <v>97</v>
      </c>
      <c r="O400" s="171" t="s">
        <v>688</v>
      </c>
      <c r="Q400" s="399">
        <v>24</v>
      </c>
      <c r="R400" s="396" t="s">
        <v>98</v>
      </c>
      <c r="S400" s="398" t="s">
        <v>56</v>
      </c>
      <c r="U400" s="171">
        <v>89</v>
      </c>
      <c r="V400" s="171" t="s">
        <v>98</v>
      </c>
      <c r="W400" s="171" t="s">
        <v>123</v>
      </c>
      <c r="Y400" s="171">
        <v>37</v>
      </c>
      <c r="Z400" s="460" t="s">
        <v>98</v>
      </c>
      <c r="AA400" s="171" t="s">
        <v>56</v>
      </c>
      <c r="AC400" s="505">
        <v>39</v>
      </c>
      <c r="AD400" s="505" t="s">
        <v>98</v>
      </c>
      <c r="AE400" s="505" t="s">
        <v>56</v>
      </c>
      <c r="AG400" s="171">
        <v>3</v>
      </c>
      <c r="AH400" s="171" t="s">
        <v>97</v>
      </c>
      <c r="AI400" s="171" t="s">
        <v>134</v>
      </c>
      <c r="AK400" s="299">
        <v>40</v>
      </c>
      <c r="AL400" s="503" t="s">
        <v>81</v>
      </c>
      <c r="AM400" s="299" t="s">
        <v>1340</v>
      </c>
      <c r="AO400" s="299">
        <v>20</v>
      </c>
      <c r="AP400" s="299" t="s">
        <v>81</v>
      </c>
      <c r="AQ400" s="299" t="s">
        <v>1370</v>
      </c>
    </row>
    <row r="401" spans="1:43" ht="15" customHeight="1" x14ac:dyDescent="0.25">
      <c r="A401">
        <v>37</v>
      </c>
      <c r="B401" t="s">
        <v>98</v>
      </c>
      <c r="C401" t="s">
        <v>123</v>
      </c>
      <c r="E401" s="72">
        <v>27</v>
      </c>
      <c r="F401" t="s">
        <v>98</v>
      </c>
      <c r="G401" t="s">
        <v>56</v>
      </c>
      <c r="I401" s="171">
        <v>28</v>
      </c>
      <c r="J401" s="171" t="s">
        <v>98</v>
      </c>
      <c r="K401" s="171" t="s">
        <v>55</v>
      </c>
      <c r="M401" s="171">
        <v>65</v>
      </c>
      <c r="N401" s="171" t="s">
        <v>97</v>
      </c>
      <c r="O401" s="171" t="s">
        <v>688</v>
      </c>
      <c r="Q401" s="399">
        <v>23</v>
      </c>
      <c r="R401" s="396" t="s">
        <v>98</v>
      </c>
      <c r="S401" s="398" t="s">
        <v>56</v>
      </c>
      <c r="U401" s="171">
        <v>72</v>
      </c>
      <c r="V401" s="171" t="s">
        <v>98</v>
      </c>
      <c r="W401" s="171" t="s">
        <v>123</v>
      </c>
      <c r="Y401" s="171">
        <v>45</v>
      </c>
      <c r="Z401" s="460" t="s">
        <v>98</v>
      </c>
      <c r="AA401" s="171" t="s">
        <v>56</v>
      </c>
      <c r="AC401" s="505">
        <v>19</v>
      </c>
      <c r="AD401" s="505" t="s">
        <v>98</v>
      </c>
      <c r="AE401" s="505" t="s">
        <v>56</v>
      </c>
      <c r="AG401" s="171">
        <v>9</v>
      </c>
      <c r="AH401" s="171" t="s">
        <v>98</v>
      </c>
      <c r="AI401" s="171" t="s">
        <v>134</v>
      </c>
      <c r="AK401" s="299">
        <v>44</v>
      </c>
      <c r="AL401" s="503" t="s">
        <v>81</v>
      </c>
      <c r="AM401" s="299" t="s">
        <v>1340</v>
      </c>
      <c r="AO401" s="299">
        <v>35</v>
      </c>
      <c r="AP401" s="299" t="s">
        <v>81</v>
      </c>
      <c r="AQ401" s="299" t="s">
        <v>1370</v>
      </c>
    </row>
    <row r="402" spans="1:43" ht="15" customHeight="1" x14ac:dyDescent="0.25">
      <c r="A402">
        <v>35</v>
      </c>
      <c r="B402" t="s">
        <v>98</v>
      </c>
      <c r="C402" t="s">
        <v>123</v>
      </c>
      <c r="E402" s="72">
        <v>27</v>
      </c>
      <c r="F402" t="s">
        <v>98</v>
      </c>
      <c r="G402" t="s">
        <v>56</v>
      </c>
      <c r="I402" s="171">
        <v>31</v>
      </c>
      <c r="J402" s="171" t="s">
        <v>98</v>
      </c>
      <c r="K402" s="171" t="s">
        <v>55</v>
      </c>
      <c r="M402" s="171">
        <v>19</v>
      </c>
      <c r="N402" s="171" t="s">
        <v>97</v>
      </c>
      <c r="O402" s="171" t="s">
        <v>688</v>
      </c>
      <c r="Q402" s="399">
        <v>34</v>
      </c>
      <c r="R402" s="396" t="s">
        <v>98</v>
      </c>
      <c r="S402" s="398" t="s">
        <v>56</v>
      </c>
      <c r="U402" s="171">
        <v>68</v>
      </c>
      <c r="V402" s="171" t="s">
        <v>98</v>
      </c>
      <c r="W402" s="171" t="s">
        <v>123</v>
      </c>
      <c r="Y402" s="171">
        <v>33</v>
      </c>
      <c r="Z402" s="460" t="s">
        <v>98</v>
      </c>
      <c r="AA402" s="171" t="s">
        <v>56</v>
      </c>
      <c r="AC402" s="505">
        <v>20</v>
      </c>
      <c r="AD402" s="505" t="s">
        <v>98</v>
      </c>
      <c r="AE402" s="505" t="s">
        <v>56</v>
      </c>
      <c r="AG402" s="171">
        <v>4</v>
      </c>
      <c r="AH402" s="171" t="s">
        <v>97</v>
      </c>
      <c r="AI402" s="171" t="s">
        <v>134</v>
      </c>
      <c r="AK402" s="299">
        <v>22</v>
      </c>
      <c r="AL402" s="503" t="s">
        <v>81</v>
      </c>
      <c r="AM402" s="299" t="s">
        <v>1340</v>
      </c>
      <c r="AO402" s="299">
        <v>32</v>
      </c>
      <c r="AP402" s="299" t="s">
        <v>81</v>
      </c>
      <c r="AQ402" s="299" t="s">
        <v>1370</v>
      </c>
    </row>
    <row r="403" spans="1:43" ht="15" customHeight="1" x14ac:dyDescent="0.25">
      <c r="A403">
        <v>33</v>
      </c>
      <c r="B403" t="s">
        <v>98</v>
      </c>
      <c r="C403" t="s">
        <v>123</v>
      </c>
      <c r="E403" s="72">
        <v>27</v>
      </c>
      <c r="F403" t="s">
        <v>98</v>
      </c>
      <c r="G403" t="s">
        <v>38</v>
      </c>
      <c r="I403" s="171">
        <v>18</v>
      </c>
      <c r="J403" s="171" t="s">
        <v>98</v>
      </c>
      <c r="K403" s="171" t="s">
        <v>56</v>
      </c>
      <c r="M403" s="171">
        <v>6</v>
      </c>
      <c r="N403" s="171" t="s">
        <v>98</v>
      </c>
      <c r="O403" s="171" t="s">
        <v>688</v>
      </c>
      <c r="Q403" s="399">
        <v>26</v>
      </c>
      <c r="R403" s="396" t="s">
        <v>98</v>
      </c>
      <c r="S403" s="398" t="s">
        <v>56</v>
      </c>
      <c r="U403" s="171">
        <v>38</v>
      </c>
      <c r="V403" s="171" t="s">
        <v>98</v>
      </c>
      <c r="W403" s="171" t="s">
        <v>123</v>
      </c>
      <c r="Y403" s="171">
        <v>24</v>
      </c>
      <c r="Z403" s="460" t="s">
        <v>98</v>
      </c>
      <c r="AA403" s="171" t="s">
        <v>56</v>
      </c>
      <c r="AC403" s="505">
        <v>19</v>
      </c>
      <c r="AD403" s="505" t="s">
        <v>98</v>
      </c>
      <c r="AE403" s="505" t="s">
        <v>56</v>
      </c>
      <c r="AG403" s="171" t="s">
        <v>1099</v>
      </c>
      <c r="AH403" s="171" t="s">
        <v>97</v>
      </c>
      <c r="AI403" s="171" t="s">
        <v>134</v>
      </c>
      <c r="AK403" s="299">
        <v>36</v>
      </c>
      <c r="AL403" s="503" t="s">
        <v>81</v>
      </c>
      <c r="AM403" s="299" t="s">
        <v>1340</v>
      </c>
      <c r="AO403" s="299">
        <v>32</v>
      </c>
      <c r="AP403" s="299" t="s">
        <v>81</v>
      </c>
      <c r="AQ403" s="299" t="s">
        <v>1370</v>
      </c>
    </row>
    <row r="404" spans="1:43" ht="15" customHeight="1" x14ac:dyDescent="0.25">
      <c r="A404">
        <v>32</v>
      </c>
      <c r="B404" t="s">
        <v>98</v>
      </c>
      <c r="C404" t="s">
        <v>123</v>
      </c>
      <c r="E404" s="72">
        <v>27</v>
      </c>
      <c r="F404" t="s">
        <v>98</v>
      </c>
      <c r="G404" t="s">
        <v>38</v>
      </c>
      <c r="I404" s="171">
        <v>31</v>
      </c>
      <c r="J404" s="171" t="s">
        <v>98</v>
      </c>
      <c r="K404" s="171" t="s">
        <v>56</v>
      </c>
      <c r="M404" s="171">
        <v>66</v>
      </c>
      <c r="N404" s="171" t="s">
        <v>97</v>
      </c>
      <c r="O404" s="171" t="s">
        <v>688</v>
      </c>
      <c r="Q404" s="399">
        <v>21</v>
      </c>
      <c r="R404" s="396" t="s">
        <v>98</v>
      </c>
      <c r="S404" s="398" t="s">
        <v>56</v>
      </c>
      <c r="U404" s="171">
        <v>35</v>
      </c>
      <c r="V404" s="171" t="s">
        <v>98</v>
      </c>
      <c r="W404" s="171" t="s">
        <v>123</v>
      </c>
      <c r="Y404" s="171">
        <v>39</v>
      </c>
      <c r="Z404" s="460" t="s">
        <v>98</v>
      </c>
      <c r="AA404" s="171" t="s">
        <v>56</v>
      </c>
      <c r="AC404" s="505">
        <v>36</v>
      </c>
      <c r="AD404" s="505" t="s">
        <v>98</v>
      </c>
      <c r="AE404" s="505" t="s">
        <v>56</v>
      </c>
      <c r="AG404" s="171">
        <v>1</v>
      </c>
      <c r="AH404" s="171" t="s">
        <v>97</v>
      </c>
      <c r="AI404" s="171" t="s">
        <v>134</v>
      </c>
      <c r="AK404" s="299">
        <v>38</v>
      </c>
      <c r="AL404" s="503" t="s">
        <v>81</v>
      </c>
      <c r="AM404" s="299" t="s">
        <v>1340</v>
      </c>
      <c r="AO404" s="299">
        <v>26</v>
      </c>
      <c r="AP404" s="299" t="s">
        <v>81</v>
      </c>
      <c r="AQ404" s="299" t="s">
        <v>1370</v>
      </c>
    </row>
    <row r="405" spans="1:43" ht="15" customHeight="1" x14ac:dyDescent="0.25">
      <c r="A405">
        <v>31</v>
      </c>
      <c r="B405" t="s">
        <v>98</v>
      </c>
      <c r="C405" t="s">
        <v>123</v>
      </c>
      <c r="E405" s="72">
        <v>27</v>
      </c>
      <c r="F405" t="s">
        <v>98</v>
      </c>
      <c r="G405" t="s">
        <v>38</v>
      </c>
      <c r="I405" s="171">
        <v>25</v>
      </c>
      <c r="J405" s="171" t="s">
        <v>98</v>
      </c>
      <c r="K405" s="171" t="s">
        <v>56</v>
      </c>
      <c r="M405" s="171">
        <v>2</v>
      </c>
      <c r="N405" s="171" t="s">
        <v>98</v>
      </c>
      <c r="O405" s="171" t="s">
        <v>688</v>
      </c>
      <c r="Q405" s="399">
        <v>32</v>
      </c>
      <c r="R405" s="396" t="s">
        <v>98</v>
      </c>
      <c r="S405" s="398" t="s">
        <v>56</v>
      </c>
      <c r="U405" s="171">
        <v>13</v>
      </c>
      <c r="V405" s="171" t="s">
        <v>98</v>
      </c>
      <c r="W405" s="171" t="s">
        <v>123</v>
      </c>
      <c r="Y405" s="171">
        <v>32</v>
      </c>
      <c r="Z405" s="460" t="s">
        <v>98</v>
      </c>
      <c r="AA405" s="171" t="s">
        <v>56</v>
      </c>
      <c r="AC405" s="505">
        <v>27</v>
      </c>
      <c r="AD405" s="505" t="s">
        <v>98</v>
      </c>
      <c r="AE405" s="505" t="s">
        <v>56</v>
      </c>
      <c r="AG405" s="171">
        <v>1</v>
      </c>
      <c r="AH405" s="171" t="s">
        <v>97</v>
      </c>
      <c r="AI405" s="171" t="s">
        <v>134</v>
      </c>
      <c r="AK405" s="299">
        <v>22</v>
      </c>
      <c r="AL405" s="503" t="s">
        <v>81</v>
      </c>
      <c r="AM405" s="299" t="s">
        <v>1340</v>
      </c>
      <c r="AO405" s="299">
        <v>20</v>
      </c>
      <c r="AP405" s="299" t="s">
        <v>81</v>
      </c>
      <c r="AQ405" s="299" t="s">
        <v>1370</v>
      </c>
    </row>
    <row r="406" spans="1:43" ht="15" customHeight="1" x14ac:dyDescent="0.25">
      <c r="A406">
        <v>28</v>
      </c>
      <c r="B406" t="s">
        <v>98</v>
      </c>
      <c r="C406" t="s">
        <v>123</v>
      </c>
      <c r="E406" s="72">
        <v>27</v>
      </c>
      <c r="F406" t="s">
        <v>98</v>
      </c>
      <c r="G406" t="s">
        <v>38</v>
      </c>
      <c r="I406" s="171">
        <v>25</v>
      </c>
      <c r="J406" s="171" t="s">
        <v>98</v>
      </c>
      <c r="K406" s="171" t="s">
        <v>56</v>
      </c>
      <c r="M406" s="171">
        <v>24</v>
      </c>
      <c r="N406" s="171" t="s">
        <v>97</v>
      </c>
      <c r="O406" s="171" t="s">
        <v>688</v>
      </c>
      <c r="Q406" s="399">
        <v>23</v>
      </c>
      <c r="R406" s="396" t="s">
        <v>98</v>
      </c>
      <c r="S406" s="398" t="s">
        <v>56</v>
      </c>
      <c r="U406" s="171">
        <v>71</v>
      </c>
      <c r="V406" s="171" t="s">
        <v>98</v>
      </c>
      <c r="W406" s="171" t="s">
        <v>123</v>
      </c>
      <c r="Y406" s="171">
        <v>35</v>
      </c>
      <c r="Z406" s="460" t="s">
        <v>98</v>
      </c>
      <c r="AA406" s="171" t="s">
        <v>56</v>
      </c>
      <c r="AC406" s="505">
        <v>24</v>
      </c>
      <c r="AD406" s="505" t="s">
        <v>98</v>
      </c>
      <c r="AE406" s="505" t="s">
        <v>56</v>
      </c>
      <c r="AG406" s="171">
        <v>9</v>
      </c>
      <c r="AH406" s="171" t="s">
        <v>97</v>
      </c>
      <c r="AI406" s="171" t="s">
        <v>134</v>
      </c>
      <c r="AK406" s="299">
        <v>37</v>
      </c>
      <c r="AL406" s="503" t="s">
        <v>81</v>
      </c>
      <c r="AM406" s="299" t="s">
        <v>1340</v>
      </c>
      <c r="AO406" s="299">
        <v>29</v>
      </c>
      <c r="AP406" s="299" t="s">
        <v>81</v>
      </c>
      <c r="AQ406" s="299" t="s">
        <v>1370</v>
      </c>
    </row>
    <row r="407" spans="1:43" ht="15" customHeight="1" x14ac:dyDescent="0.25">
      <c r="A407">
        <v>28</v>
      </c>
      <c r="B407" t="s">
        <v>98</v>
      </c>
      <c r="C407" t="s">
        <v>123</v>
      </c>
      <c r="E407" s="72">
        <v>27</v>
      </c>
      <c r="F407" t="s">
        <v>97</v>
      </c>
      <c r="G407" t="s">
        <v>122</v>
      </c>
      <c r="I407" s="171">
        <v>28</v>
      </c>
      <c r="J407" s="171" t="s">
        <v>98</v>
      </c>
      <c r="K407" s="171" t="s">
        <v>56</v>
      </c>
      <c r="M407" s="171">
        <v>10</v>
      </c>
      <c r="N407" s="171" t="s">
        <v>98</v>
      </c>
      <c r="O407" s="171" t="s">
        <v>688</v>
      </c>
      <c r="Q407" s="399">
        <v>17</v>
      </c>
      <c r="R407" s="396" t="s">
        <v>98</v>
      </c>
      <c r="S407" s="398" t="s">
        <v>56</v>
      </c>
      <c r="U407" s="171">
        <v>40</v>
      </c>
      <c r="V407" s="171" t="s">
        <v>98</v>
      </c>
      <c r="W407" s="171" t="s">
        <v>123</v>
      </c>
      <c r="Y407" s="171">
        <v>18</v>
      </c>
      <c r="Z407" s="460" t="s">
        <v>98</v>
      </c>
      <c r="AA407" s="171" t="s">
        <v>56</v>
      </c>
      <c r="AC407" s="505">
        <v>30</v>
      </c>
      <c r="AD407" s="505" t="s">
        <v>98</v>
      </c>
      <c r="AE407" s="505" t="s">
        <v>56</v>
      </c>
      <c r="AG407" s="171">
        <v>11</v>
      </c>
      <c r="AH407" s="171" t="s">
        <v>98</v>
      </c>
      <c r="AI407" s="171" t="s">
        <v>134</v>
      </c>
      <c r="AK407" s="299">
        <v>35</v>
      </c>
      <c r="AL407" s="503" t="s">
        <v>81</v>
      </c>
      <c r="AM407" s="299" t="s">
        <v>1340</v>
      </c>
      <c r="AO407" s="299">
        <v>19</v>
      </c>
      <c r="AP407" s="299" t="s">
        <v>81</v>
      </c>
      <c r="AQ407" s="299" t="s">
        <v>1370</v>
      </c>
    </row>
    <row r="408" spans="1:43" ht="15" customHeight="1" x14ac:dyDescent="0.25">
      <c r="A408">
        <v>27</v>
      </c>
      <c r="B408" t="s">
        <v>98</v>
      </c>
      <c r="C408" t="s">
        <v>123</v>
      </c>
      <c r="E408" s="72">
        <v>26</v>
      </c>
      <c r="F408" t="s">
        <v>97</v>
      </c>
      <c r="G408" t="s">
        <v>688</v>
      </c>
      <c r="I408" s="171">
        <v>35</v>
      </c>
      <c r="J408" s="171" t="s">
        <v>98</v>
      </c>
      <c r="K408" s="171" t="s">
        <v>56</v>
      </c>
      <c r="M408" s="171">
        <v>5</v>
      </c>
      <c r="N408" s="171" t="s">
        <v>97</v>
      </c>
      <c r="O408" s="171" t="s">
        <v>688</v>
      </c>
      <c r="Q408" s="399">
        <v>19</v>
      </c>
      <c r="R408" s="396" t="s">
        <v>98</v>
      </c>
      <c r="S408" s="398" t="s">
        <v>56</v>
      </c>
      <c r="U408" s="171">
        <v>61</v>
      </c>
      <c r="V408" s="171" t="s">
        <v>98</v>
      </c>
      <c r="W408" s="171" t="s">
        <v>123</v>
      </c>
      <c r="Y408" s="171">
        <v>22</v>
      </c>
      <c r="Z408" s="460" t="s">
        <v>98</v>
      </c>
      <c r="AA408" s="171" t="s">
        <v>56</v>
      </c>
      <c r="AC408" s="505">
        <v>31</v>
      </c>
      <c r="AD408" s="505" t="s">
        <v>98</v>
      </c>
      <c r="AE408" s="505" t="s">
        <v>56</v>
      </c>
      <c r="AG408" s="171">
        <v>5</v>
      </c>
      <c r="AH408" s="171" t="s">
        <v>97</v>
      </c>
      <c r="AI408" s="171" t="s">
        <v>134</v>
      </c>
      <c r="AK408" s="299">
        <v>39</v>
      </c>
      <c r="AL408" s="503" t="s">
        <v>81</v>
      </c>
      <c r="AM408" s="299" t="s">
        <v>1340</v>
      </c>
      <c r="AO408" s="299">
        <v>19</v>
      </c>
      <c r="AP408" s="299" t="s">
        <v>81</v>
      </c>
      <c r="AQ408" s="299" t="s">
        <v>1370</v>
      </c>
    </row>
    <row r="409" spans="1:43" ht="15" customHeight="1" x14ac:dyDescent="0.25">
      <c r="A409">
        <v>24</v>
      </c>
      <c r="B409" t="s">
        <v>98</v>
      </c>
      <c r="C409" t="s">
        <v>123</v>
      </c>
      <c r="E409" s="72">
        <v>26</v>
      </c>
      <c r="F409" t="s">
        <v>97</v>
      </c>
      <c r="G409" t="s">
        <v>688</v>
      </c>
      <c r="I409" s="171">
        <v>25</v>
      </c>
      <c r="J409" s="171" t="s">
        <v>98</v>
      </c>
      <c r="K409" s="171" t="s">
        <v>56</v>
      </c>
      <c r="M409" s="171">
        <v>64</v>
      </c>
      <c r="N409" s="171" t="s">
        <v>97</v>
      </c>
      <c r="O409" s="171" t="s">
        <v>688</v>
      </c>
      <c r="Q409" s="399">
        <v>26</v>
      </c>
      <c r="R409" s="396" t="s">
        <v>98</v>
      </c>
      <c r="S409" s="398" t="s">
        <v>56</v>
      </c>
      <c r="U409" s="171">
        <v>63</v>
      </c>
      <c r="V409" s="171" t="s">
        <v>98</v>
      </c>
      <c r="W409" s="171" t="s">
        <v>123</v>
      </c>
      <c r="Y409" s="171">
        <v>31</v>
      </c>
      <c r="Z409" s="460" t="s">
        <v>98</v>
      </c>
      <c r="AA409" s="171" t="s">
        <v>56</v>
      </c>
      <c r="AC409" s="505">
        <v>27</v>
      </c>
      <c r="AD409" s="505" t="s">
        <v>98</v>
      </c>
      <c r="AE409" s="505" t="s">
        <v>56</v>
      </c>
      <c r="AG409" s="171">
        <v>2</v>
      </c>
      <c r="AH409" s="171" t="s">
        <v>97</v>
      </c>
      <c r="AI409" s="171" t="s">
        <v>134</v>
      </c>
      <c r="AK409" s="299">
        <v>21</v>
      </c>
      <c r="AL409" s="503" t="s">
        <v>81</v>
      </c>
      <c r="AM409" s="299" t="s">
        <v>1340</v>
      </c>
      <c r="AO409" s="299">
        <v>38</v>
      </c>
      <c r="AP409" s="299" t="s">
        <v>81</v>
      </c>
      <c r="AQ409" s="299" t="s">
        <v>1370</v>
      </c>
    </row>
    <row r="410" spans="1:43" ht="15" customHeight="1" x14ac:dyDescent="0.25">
      <c r="A410">
        <v>22</v>
      </c>
      <c r="B410" t="s">
        <v>98</v>
      </c>
      <c r="C410" t="s">
        <v>123</v>
      </c>
      <c r="E410" s="72">
        <v>26</v>
      </c>
      <c r="F410" t="s">
        <v>98</v>
      </c>
      <c r="G410" t="s">
        <v>55</v>
      </c>
      <c r="I410" s="171">
        <v>32</v>
      </c>
      <c r="J410" s="171" t="s">
        <v>98</v>
      </c>
      <c r="K410" s="171" t="s">
        <v>56</v>
      </c>
      <c r="M410" s="171">
        <v>52</v>
      </c>
      <c r="N410" s="171" t="s">
        <v>97</v>
      </c>
      <c r="O410" s="171" t="s">
        <v>688</v>
      </c>
      <c r="Q410" s="399">
        <v>25</v>
      </c>
      <c r="R410" s="396" t="s">
        <v>98</v>
      </c>
      <c r="S410" s="398" t="s">
        <v>56</v>
      </c>
      <c r="U410" s="171">
        <v>23</v>
      </c>
      <c r="V410" s="171" t="s">
        <v>98</v>
      </c>
      <c r="W410" s="171" t="s">
        <v>123</v>
      </c>
      <c r="Y410" s="171">
        <v>43</v>
      </c>
      <c r="Z410" s="460" t="s">
        <v>98</v>
      </c>
      <c r="AA410" s="171" t="s">
        <v>56</v>
      </c>
      <c r="AC410" s="505">
        <v>36</v>
      </c>
      <c r="AD410" s="505" t="s">
        <v>98</v>
      </c>
      <c r="AE410" s="505" t="s">
        <v>56</v>
      </c>
      <c r="AG410" s="171">
        <v>12</v>
      </c>
      <c r="AH410" s="171" t="s">
        <v>98</v>
      </c>
      <c r="AI410" s="171" t="s">
        <v>134</v>
      </c>
      <c r="AK410" s="299">
        <v>21</v>
      </c>
      <c r="AL410" s="503" t="s">
        <v>81</v>
      </c>
      <c r="AM410" s="299" t="s">
        <v>1340</v>
      </c>
      <c r="AO410" s="299">
        <v>30</v>
      </c>
      <c r="AP410" s="299" t="s">
        <v>81</v>
      </c>
      <c r="AQ410" s="299" t="s">
        <v>1370</v>
      </c>
    </row>
    <row r="411" spans="1:43" ht="15" customHeight="1" x14ac:dyDescent="0.25">
      <c r="A411">
        <v>22</v>
      </c>
      <c r="B411" t="s">
        <v>98</v>
      </c>
      <c r="C411" t="s">
        <v>123</v>
      </c>
      <c r="E411" s="72">
        <v>26</v>
      </c>
      <c r="F411" t="s">
        <v>98</v>
      </c>
      <c r="G411" t="s">
        <v>56</v>
      </c>
      <c r="I411" s="171">
        <v>31</v>
      </c>
      <c r="J411" s="171" t="s">
        <v>98</v>
      </c>
      <c r="K411" s="171" t="s">
        <v>56</v>
      </c>
      <c r="M411" s="171">
        <v>74</v>
      </c>
      <c r="N411" s="171" t="s">
        <v>97</v>
      </c>
      <c r="O411" s="171" t="s">
        <v>688</v>
      </c>
      <c r="Q411" s="399">
        <v>40</v>
      </c>
      <c r="R411" s="396" t="s">
        <v>98</v>
      </c>
      <c r="S411" s="398" t="s">
        <v>56</v>
      </c>
      <c r="U411" s="171">
        <v>80</v>
      </c>
      <c r="V411" s="171" t="s">
        <v>98</v>
      </c>
      <c r="W411" s="171" t="s">
        <v>123</v>
      </c>
      <c r="Y411" s="171">
        <v>23</v>
      </c>
      <c r="Z411" s="460" t="s">
        <v>98</v>
      </c>
      <c r="AA411" s="171" t="s">
        <v>56</v>
      </c>
      <c r="AC411" s="505">
        <v>27</v>
      </c>
      <c r="AD411" s="505" t="s">
        <v>98</v>
      </c>
      <c r="AE411" s="505" t="s">
        <v>56</v>
      </c>
      <c r="AG411" s="171">
        <v>3</v>
      </c>
      <c r="AH411" s="171" t="s">
        <v>98</v>
      </c>
      <c r="AI411" s="171" t="s">
        <v>134</v>
      </c>
      <c r="AK411" s="299">
        <v>24</v>
      </c>
      <c r="AL411" s="503" t="s">
        <v>81</v>
      </c>
      <c r="AM411" s="299" t="s">
        <v>1340</v>
      </c>
      <c r="AO411" s="299">
        <v>36</v>
      </c>
      <c r="AP411" s="299" t="s">
        <v>81</v>
      </c>
      <c r="AQ411" s="299" t="s">
        <v>1370</v>
      </c>
    </row>
    <row r="412" spans="1:43" ht="15" customHeight="1" x14ac:dyDescent="0.25">
      <c r="A412">
        <v>21</v>
      </c>
      <c r="B412" t="s">
        <v>98</v>
      </c>
      <c r="C412" t="s">
        <v>123</v>
      </c>
      <c r="E412" s="72">
        <v>26</v>
      </c>
      <c r="F412" t="s">
        <v>98</v>
      </c>
      <c r="G412" t="s">
        <v>56</v>
      </c>
      <c r="I412" s="171">
        <v>28</v>
      </c>
      <c r="J412" s="171" t="s">
        <v>98</v>
      </c>
      <c r="K412" s="171" t="s">
        <v>56</v>
      </c>
      <c r="M412" s="171">
        <v>26</v>
      </c>
      <c r="N412" s="171" t="s">
        <v>98</v>
      </c>
      <c r="O412" s="171" t="s">
        <v>688</v>
      </c>
      <c r="Q412" s="399">
        <v>28</v>
      </c>
      <c r="R412" s="396" t="s">
        <v>98</v>
      </c>
      <c r="S412" s="398" t="s">
        <v>56</v>
      </c>
      <c r="U412" s="171">
        <v>68</v>
      </c>
      <c r="V412" s="171" t="s">
        <v>98</v>
      </c>
      <c r="W412" s="171" t="s">
        <v>123</v>
      </c>
      <c r="Y412" s="171">
        <v>24</v>
      </c>
      <c r="Z412" s="460" t="s">
        <v>98</v>
      </c>
      <c r="AA412" s="171" t="s">
        <v>56</v>
      </c>
      <c r="AC412" s="505">
        <v>34</v>
      </c>
      <c r="AD412" s="505" t="s">
        <v>98</v>
      </c>
      <c r="AE412" s="505" t="s">
        <v>56</v>
      </c>
      <c r="AG412" s="171">
        <v>3</v>
      </c>
      <c r="AH412" s="171" t="s">
        <v>98</v>
      </c>
      <c r="AI412" s="171" t="s">
        <v>134</v>
      </c>
      <c r="AK412" s="299">
        <v>20</v>
      </c>
      <c r="AL412" s="503" t="s">
        <v>81</v>
      </c>
      <c r="AM412" s="299" t="s">
        <v>1340</v>
      </c>
      <c r="AO412" s="299">
        <v>33</v>
      </c>
      <c r="AP412" s="299" t="s">
        <v>81</v>
      </c>
      <c r="AQ412" s="299" t="s">
        <v>1370</v>
      </c>
    </row>
    <row r="413" spans="1:43" ht="15" customHeight="1" x14ac:dyDescent="0.25">
      <c r="A413">
        <v>20</v>
      </c>
      <c r="B413" t="s">
        <v>98</v>
      </c>
      <c r="C413" t="s">
        <v>123</v>
      </c>
      <c r="E413" s="72">
        <v>26</v>
      </c>
      <c r="F413" t="s">
        <v>98</v>
      </c>
      <c r="G413" t="s">
        <v>38</v>
      </c>
      <c r="I413" s="171">
        <v>42</v>
      </c>
      <c r="J413" s="171" t="s">
        <v>98</v>
      </c>
      <c r="K413" s="171" t="s">
        <v>56</v>
      </c>
      <c r="M413" s="171">
        <v>35</v>
      </c>
      <c r="N413" s="171" t="s">
        <v>97</v>
      </c>
      <c r="O413" s="171" t="s">
        <v>688</v>
      </c>
      <c r="Q413" s="399">
        <v>27</v>
      </c>
      <c r="R413" s="396" t="s">
        <v>98</v>
      </c>
      <c r="S413" s="398" t="s">
        <v>56</v>
      </c>
      <c r="U413" s="171">
        <v>23</v>
      </c>
      <c r="V413" s="171" t="s">
        <v>98</v>
      </c>
      <c r="W413" s="171" t="s">
        <v>123</v>
      </c>
      <c r="Y413" s="171">
        <v>29</v>
      </c>
      <c r="Z413" s="460" t="s">
        <v>98</v>
      </c>
      <c r="AA413" s="171" t="s">
        <v>56</v>
      </c>
      <c r="AC413" s="505">
        <v>41</v>
      </c>
      <c r="AD413" s="505" t="s">
        <v>98</v>
      </c>
      <c r="AE413" s="505" t="s">
        <v>56</v>
      </c>
      <c r="AG413" s="171">
        <v>1</v>
      </c>
      <c r="AH413" s="171" t="s">
        <v>98</v>
      </c>
      <c r="AI413" s="171" t="s">
        <v>134</v>
      </c>
      <c r="AK413" s="299">
        <v>23</v>
      </c>
      <c r="AL413" s="503" t="s">
        <v>81</v>
      </c>
      <c r="AM413" s="299" t="s">
        <v>1340</v>
      </c>
      <c r="AO413" s="299">
        <v>21</v>
      </c>
      <c r="AP413" s="299" t="s">
        <v>81</v>
      </c>
      <c r="AQ413" s="299" t="s">
        <v>1370</v>
      </c>
    </row>
    <row r="414" spans="1:43" ht="15" customHeight="1" x14ac:dyDescent="0.25">
      <c r="A414">
        <v>20</v>
      </c>
      <c r="B414" t="s">
        <v>98</v>
      </c>
      <c r="C414" t="s">
        <v>123</v>
      </c>
      <c r="E414" s="72">
        <v>26</v>
      </c>
      <c r="F414" t="s">
        <v>98</v>
      </c>
      <c r="G414" t="s">
        <v>38</v>
      </c>
      <c r="I414" s="171">
        <v>26</v>
      </c>
      <c r="J414" s="171" t="s">
        <v>98</v>
      </c>
      <c r="K414" s="171" t="s">
        <v>56</v>
      </c>
      <c r="M414" s="171">
        <v>107</v>
      </c>
      <c r="N414" s="171" t="s">
        <v>98</v>
      </c>
      <c r="O414" s="171" t="s">
        <v>688</v>
      </c>
      <c r="Q414" s="399">
        <v>21</v>
      </c>
      <c r="R414" s="396" t="s">
        <v>98</v>
      </c>
      <c r="S414" s="398" t="s">
        <v>56</v>
      </c>
      <c r="U414" s="171">
        <v>41</v>
      </c>
      <c r="V414" s="171" t="s">
        <v>98</v>
      </c>
      <c r="W414" s="171" t="s">
        <v>123</v>
      </c>
      <c r="Y414" s="171">
        <v>40</v>
      </c>
      <c r="Z414" s="460" t="s">
        <v>98</v>
      </c>
      <c r="AA414" s="171" t="s">
        <v>56</v>
      </c>
      <c r="AC414" s="505">
        <v>28</v>
      </c>
      <c r="AD414" s="505" t="s">
        <v>98</v>
      </c>
      <c r="AE414" s="505" t="s">
        <v>56</v>
      </c>
      <c r="AG414" s="171">
        <v>10</v>
      </c>
      <c r="AH414" s="171" t="s">
        <v>98</v>
      </c>
      <c r="AI414" s="171" t="s">
        <v>134</v>
      </c>
      <c r="AK414" s="299">
        <v>35</v>
      </c>
      <c r="AL414" s="503" t="s">
        <v>81</v>
      </c>
      <c r="AM414" s="299" t="s">
        <v>1340</v>
      </c>
      <c r="AO414" s="299">
        <v>39</v>
      </c>
      <c r="AP414" s="299" t="s">
        <v>81</v>
      </c>
      <c r="AQ414" s="299" t="s">
        <v>1370</v>
      </c>
    </row>
    <row r="415" spans="1:43" ht="15" customHeight="1" x14ac:dyDescent="0.25">
      <c r="A415">
        <v>19</v>
      </c>
      <c r="B415" t="s">
        <v>98</v>
      </c>
      <c r="C415" t="s">
        <v>123</v>
      </c>
      <c r="E415" s="72">
        <v>26</v>
      </c>
      <c r="F415" t="s">
        <v>98</v>
      </c>
      <c r="G415" t="s">
        <v>38</v>
      </c>
      <c r="I415" s="171">
        <v>29</v>
      </c>
      <c r="J415" s="171" t="s">
        <v>98</v>
      </c>
      <c r="K415" s="171" t="s">
        <v>56</v>
      </c>
      <c r="M415" s="171">
        <v>23</v>
      </c>
      <c r="N415" s="171" t="s">
        <v>97</v>
      </c>
      <c r="O415" s="171" t="s">
        <v>688</v>
      </c>
      <c r="Q415" s="399">
        <v>32</v>
      </c>
      <c r="R415" s="396" t="s">
        <v>98</v>
      </c>
      <c r="S415" s="398" t="s">
        <v>56</v>
      </c>
      <c r="U415" s="171">
        <v>76</v>
      </c>
      <c r="V415" s="171" t="s">
        <v>97</v>
      </c>
      <c r="W415" s="171" t="s">
        <v>122</v>
      </c>
      <c r="Y415" s="171">
        <v>31</v>
      </c>
      <c r="Z415" s="460" t="s">
        <v>98</v>
      </c>
      <c r="AA415" s="171" t="s">
        <v>56</v>
      </c>
      <c r="AC415" s="505">
        <v>40</v>
      </c>
      <c r="AD415" s="505" t="s">
        <v>98</v>
      </c>
      <c r="AE415" s="505" t="s">
        <v>56</v>
      </c>
      <c r="AG415" s="171">
        <v>3</v>
      </c>
      <c r="AH415" s="171" t="s">
        <v>97</v>
      </c>
      <c r="AI415" s="171" t="s">
        <v>134</v>
      </c>
      <c r="AK415" s="299">
        <v>28</v>
      </c>
      <c r="AL415" s="503" t="s">
        <v>81</v>
      </c>
      <c r="AM415" s="299" t="s">
        <v>1340</v>
      </c>
      <c r="AO415" s="299">
        <v>32</v>
      </c>
      <c r="AP415" s="299" t="s">
        <v>81</v>
      </c>
      <c r="AQ415" s="299" t="s">
        <v>1370</v>
      </c>
    </row>
    <row r="416" spans="1:43" ht="15" customHeight="1" x14ac:dyDescent="0.25">
      <c r="A416">
        <v>19</v>
      </c>
      <c r="B416" t="s">
        <v>98</v>
      </c>
      <c r="C416" t="s">
        <v>123</v>
      </c>
      <c r="E416" s="72">
        <v>26</v>
      </c>
      <c r="F416" t="s">
        <v>98</v>
      </c>
      <c r="G416" t="s">
        <v>38</v>
      </c>
      <c r="I416" s="171">
        <v>21</v>
      </c>
      <c r="J416" s="171" t="s">
        <v>98</v>
      </c>
      <c r="K416" s="171" t="s">
        <v>56</v>
      </c>
      <c r="M416" s="171">
        <v>29</v>
      </c>
      <c r="N416" s="171" t="s">
        <v>98</v>
      </c>
      <c r="O416" s="171" t="s">
        <v>688</v>
      </c>
      <c r="Q416" s="399">
        <v>20</v>
      </c>
      <c r="R416" s="396" t="s">
        <v>98</v>
      </c>
      <c r="S416" s="398" t="s">
        <v>56</v>
      </c>
      <c r="U416" s="171">
        <v>33</v>
      </c>
      <c r="V416" s="171" t="s">
        <v>97</v>
      </c>
      <c r="W416" s="171" t="s">
        <v>122</v>
      </c>
      <c r="Y416" s="171">
        <v>44</v>
      </c>
      <c r="Z416" s="460" t="s">
        <v>98</v>
      </c>
      <c r="AA416" s="171" t="s">
        <v>56</v>
      </c>
      <c r="AC416" s="505">
        <v>17</v>
      </c>
      <c r="AD416" s="505" t="s">
        <v>98</v>
      </c>
      <c r="AE416" s="505" t="s">
        <v>56</v>
      </c>
      <c r="AG416" s="171">
        <v>7</v>
      </c>
      <c r="AH416" s="171" t="s">
        <v>98</v>
      </c>
      <c r="AI416" s="171" t="s">
        <v>134</v>
      </c>
      <c r="AK416" s="299">
        <v>34</v>
      </c>
      <c r="AL416" s="503" t="s">
        <v>81</v>
      </c>
      <c r="AM416" s="299" t="s">
        <v>1340</v>
      </c>
      <c r="AO416" s="299">
        <v>19</v>
      </c>
      <c r="AP416" s="299" t="s">
        <v>81</v>
      </c>
      <c r="AQ416" s="299" t="s">
        <v>1370</v>
      </c>
    </row>
    <row r="417" spans="1:43" ht="15" customHeight="1" x14ac:dyDescent="0.25">
      <c r="A417">
        <v>19</v>
      </c>
      <c r="B417" t="s">
        <v>98</v>
      </c>
      <c r="C417" t="s">
        <v>123</v>
      </c>
      <c r="E417" s="72">
        <v>26</v>
      </c>
      <c r="F417" t="s">
        <v>98</v>
      </c>
      <c r="G417" t="s">
        <v>38</v>
      </c>
      <c r="I417" s="171">
        <v>20</v>
      </c>
      <c r="J417" s="171" t="s">
        <v>98</v>
      </c>
      <c r="K417" s="171" t="s">
        <v>56</v>
      </c>
      <c r="M417" s="171">
        <v>26</v>
      </c>
      <c r="N417" s="171" t="s">
        <v>98</v>
      </c>
      <c r="O417" s="171" t="s">
        <v>688</v>
      </c>
      <c r="Q417" s="399">
        <v>39</v>
      </c>
      <c r="R417" s="396" t="s">
        <v>98</v>
      </c>
      <c r="S417" s="398" t="s">
        <v>56</v>
      </c>
      <c r="U417" s="171">
        <v>19</v>
      </c>
      <c r="V417" s="171" t="s">
        <v>97</v>
      </c>
      <c r="W417" s="171" t="s">
        <v>122</v>
      </c>
      <c r="Y417" s="171">
        <v>33</v>
      </c>
      <c r="Z417" s="460" t="s">
        <v>98</v>
      </c>
      <c r="AA417" s="171" t="s">
        <v>56</v>
      </c>
      <c r="AC417" s="505">
        <v>21</v>
      </c>
      <c r="AD417" s="505" t="s">
        <v>98</v>
      </c>
      <c r="AE417" s="505" t="s">
        <v>56</v>
      </c>
      <c r="AG417" s="171">
        <v>1</v>
      </c>
      <c r="AH417" s="171" t="s">
        <v>97</v>
      </c>
      <c r="AI417" s="171" t="s">
        <v>134</v>
      </c>
      <c r="AK417" s="299">
        <v>25</v>
      </c>
      <c r="AL417" s="503" t="s">
        <v>81</v>
      </c>
      <c r="AM417" s="299" t="s">
        <v>1340</v>
      </c>
      <c r="AO417" s="299">
        <v>26</v>
      </c>
      <c r="AP417" s="299" t="s">
        <v>81</v>
      </c>
      <c r="AQ417" s="299" t="s">
        <v>1370</v>
      </c>
    </row>
    <row r="418" spans="1:43" ht="15" customHeight="1" x14ac:dyDescent="0.25">
      <c r="A418">
        <v>18</v>
      </c>
      <c r="B418" t="s">
        <v>98</v>
      </c>
      <c r="C418" t="s">
        <v>123</v>
      </c>
      <c r="E418" s="72">
        <v>26</v>
      </c>
      <c r="F418" t="s">
        <v>98</v>
      </c>
      <c r="G418" t="s">
        <v>38</v>
      </c>
      <c r="I418" s="171">
        <v>30</v>
      </c>
      <c r="J418" s="171" t="s">
        <v>98</v>
      </c>
      <c r="K418" s="171" t="s">
        <v>56</v>
      </c>
      <c r="M418" s="171">
        <v>36</v>
      </c>
      <c r="N418" s="171" t="s">
        <v>97</v>
      </c>
      <c r="O418" s="171" t="s">
        <v>688</v>
      </c>
      <c r="Q418" s="399">
        <v>31</v>
      </c>
      <c r="R418" s="396" t="s">
        <v>98</v>
      </c>
      <c r="S418" s="398" t="s">
        <v>56</v>
      </c>
      <c r="U418" s="171">
        <v>25</v>
      </c>
      <c r="V418" s="171" t="s">
        <v>97</v>
      </c>
      <c r="W418" s="171" t="s">
        <v>122</v>
      </c>
      <c r="Y418" s="171">
        <v>40</v>
      </c>
      <c r="Z418" s="460" t="s">
        <v>98</v>
      </c>
      <c r="AA418" s="171" t="s">
        <v>56</v>
      </c>
      <c r="AC418" s="505">
        <v>18</v>
      </c>
      <c r="AD418" s="505" t="s">
        <v>98</v>
      </c>
      <c r="AE418" s="505" t="s">
        <v>56</v>
      </c>
      <c r="AG418" s="171">
        <v>2</v>
      </c>
      <c r="AH418" s="171" t="s">
        <v>97</v>
      </c>
      <c r="AI418" s="171" t="s">
        <v>134</v>
      </c>
      <c r="AK418" s="299">
        <v>24</v>
      </c>
      <c r="AL418" s="503" t="s">
        <v>81</v>
      </c>
      <c r="AM418" s="299" t="s">
        <v>1340</v>
      </c>
      <c r="AO418" s="299">
        <v>35</v>
      </c>
      <c r="AP418" s="299" t="s">
        <v>81</v>
      </c>
      <c r="AQ418" s="299" t="s">
        <v>1370</v>
      </c>
    </row>
    <row r="419" spans="1:43" ht="15" customHeight="1" x14ac:dyDescent="0.25">
      <c r="A419">
        <v>16</v>
      </c>
      <c r="B419" t="s">
        <v>98</v>
      </c>
      <c r="C419" t="s">
        <v>123</v>
      </c>
      <c r="E419" s="72">
        <v>26</v>
      </c>
      <c r="F419" t="s">
        <v>98</v>
      </c>
      <c r="G419" t="s">
        <v>38</v>
      </c>
      <c r="I419" s="171">
        <v>32</v>
      </c>
      <c r="J419" s="171" t="s">
        <v>98</v>
      </c>
      <c r="K419" s="171" t="s">
        <v>56</v>
      </c>
      <c r="M419" s="171">
        <v>5</v>
      </c>
      <c r="N419" s="171" t="s">
        <v>97</v>
      </c>
      <c r="O419" s="171" t="s">
        <v>688</v>
      </c>
      <c r="Q419" s="399">
        <v>39</v>
      </c>
      <c r="R419" s="396" t="s">
        <v>98</v>
      </c>
      <c r="S419" s="398" t="s">
        <v>56</v>
      </c>
      <c r="U419" s="171">
        <v>35</v>
      </c>
      <c r="V419" s="171" t="s">
        <v>97</v>
      </c>
      <c r="W419" s="171" t="s">
        <v>122</v>
      </c>
      <c r="Y419" s="171">
        <v>21</v>
      </c>
      <c r="Z419" s="460" t="s">
        <v>98</v>
      </c>
      <c r="AA419" s="171" t="s">
        <v>56</v>
      </c>
      <c r="AC419" s="505">
        <v>34</v>
      </c>
      <c r="AD419" s="505" t="s">
        <v>98</v>
      </c>
      <c r="AE419" s="505" t="s">
        <v>56</v>
      </c>
      <c r="AG419" s="171">
        <v>1</v>
      </c>
      <c r="AH419" s="171" t="s">
        <v>97</v>
      </c>
      <c r="AI419" s="171" t="s">
        <v>134</v>
      </c>
      <c r="AK419" s="299">
        <v>24</v>
      </c>
      <c r="AL419" s="503" t="s">
        <v>81</v>
      </c>
      <c r="AM419" s="299" t="s">
        <v>1340</v>
      </c>
      <c r="AO419" s="299">
        <v>21</v>
      </c>
      <c r="AP419" s="299" t="s">
        <v>81</v>
      </c>
      <c r="AQ419" s="299" t="s">
        <v>1370</v>
      </c>
    </row>
    <row r="420" spans="1:43" ht="15" customHeight="1" x14ac:dyDescent="0.25">
      <c r="A420">
        <v>15</v>
      </c>
      <c r="B420" t="s">
        <v>98</v>
      </c>
      <c r="C420" t="s">
        <v>123</v>
      </c>
      <c r="E420" s="72">
        <v>26</v>
      </c>
      <c r="F420" t="s">
        <v>98</v>
      </c>
      <c r="G420" t="s">
        <v>38</v>
      </c>
      <c r="I420" s="171">
        <v>25</v>
      </c>
      <c r="J420" s="171" t="s">
        <v>98</v>
      </c>
      <c r="K420" s="171" t="s">
        <v>56</v>
      </c>
      <c r="M420" s="171">
        <v>3</v>
      </c>
      <c r="N420" s="171" t="s">
        <v>98</v>
      </c>
      <c r="O420" s="171" t="s">
        <v>688</v>
      </c>
      <c r="Q420" s="399">
        <v>31</v>
      </c>
      <c r="R420" s="396" t="s">
        <v>98</v>
      </c>
      <c r="S420" s="398" t="s">
        <v>56</v>
      </c>
      <c r="U420" s="171">
        <v>37</v>
      </c>
      <c r="V420" s="171" t="s">
        <v>97</v>
      </c>
      <c r="W420" s="171" t="s">
        <v>122</v>
      </c>
      <c r="Y420" s="171">
        <v>25</v>
      </c>
      <c r="Z420" s="460" t="s">
        <v>98</v>
      </c>
      <c r="AA420" s="171" t="s">
        <v>56</v>
      </c>
      <c r="AC420" s="505">
        <v>34</v>
      </c>
      <c r="AD420" s="505" t="s">
        <v>98</v>
      </c>
      <c r="AE420" s="505" t="s">
        <v>56</v>
      </c>
      <c r="AG420" s="171" t="s">
        <v>1100</v>
      </c>
      <c r="AH420" s="171" t="s">
        <v>97</v>
      </c>
      <c r="AI420" s="171" t="s">
        <v>134</v>
      </c>
      <c r="AK420" s="299">
        <v>30</v>
      </c>
      <c r="AL420" s="503" t="s">
        <v>81</v>
      </c>
      <c r="AM420" s="299" t="s">
        <v>1340</v>
      </c>
      <c r="AO420" s="299">
        <v>25</v>
      </c>
      <c r="AP420" s="299" t="s">
        <v>81</v>
      </c>
      <c r="AQ420" s="299" t="s">
        <v>1370</v>
      </c>
    </row>
    <row r="421" spans="1:43" ht="15" customHeight="1" x14ac:dyDescent="0.25">
      <c r="A421">
        <v>15</v>
      </c>
      <c r="B421" t="s">
        <v>98</v>
      </c>
      <c r="C421" t="s">
        <v>123</v>
      </c>
      <c r="E421" s="72">
        <v>26</v>
      </c>
      <c r="F421" t="s">
        <v>97</v>
      </c>
      <c r="G421" t="s">
        <v>122</v>
      </c>
      <c r="I421" s="171">
        <v>16</v>
      </c>
      <c r="J421" s="171" t="s">
        <v>98</v>
      </c>
      <c r="K421" s="171" t="s">
        <v>56</v>
      </c>
      <c r="M421" s="171">
        <v>80</v>
      </c>
      <c r="N421" s="171" t="s">
        <v>97</v>
      </c>
      <c r="O421" s="171" t="s">
        <v>688</v>
      </c>
      <c r="Q421" s="399">
        <v>36</v>
      </c>
      <c r="R421" s="396" t="s">
        <v>98</v>
      </c>
      <c r="S421" s="398" t="s">
        <v>56</v>
      </c>
      <c r="U421" s="171">
        <v>20</v>
      </c>
      <c r="V421" s="171" t="s">
        <v>97</v>
      </c>
      <c r="W421" s="171" t="s">
        <v>122</v>
      </c>
      <c r="Y421" s="171">
        <v>24</v>
      </c>
      <c r="Z421" s="460" t="s">
        <v>98</v>
      </c>
      <c r="AA421" s="171" t="s">
        <v>56</v>
      </c>
      <c r="AC421" s="505">
        <v>28</v>
      </c>
      <c r="AD421" s="505" t="s">
        <v>98</v>
      </c>
      <c r="AE421" s="505" t="s">
        <v>56</v>
      </c>
      <c r="AG421" s="171" t="s">
        <v>1096</v>
      </c>
      <c r="AH421" s="171" t="s">
        <v>97</v>
      </c>
      <c r="AI421" s="171" t="s">
        <v>134</v>
      </c>
      <c r="AK421" s="299">
        <v>21</v>
      </c>
      <c r="AL421" s="503" t="s">
        <v>81</v>
      </c>
      <c r="AM421" s="299" t="s">
        <v>1340</v>
      </c>
      <c r="AO421" s="299">
        <v>37</v>
      </c>
      <c r="AP421" s="299" t="s">
        <v>81</v>
      </c>
      <c r="AQ421" s="299" t="s">
        <v>1370</v>
      </c>
    </row>
    <row r="422" spans="1:43" ht="15" customHeight="1" x14ac:dyDescent="0.25">
      <c r="A422">
        <v>63</v>
      </c>
      <c r="B422" t="s">
        <v>97</v>
      </c>
      <c r="C422" t="s">
        <v>122</v>
      </c>
      <c r="E422" s="72">
        <v>25</v>
      </c>
      <c r="F422" t="s">
        <v>98</v>
      </c>
      <c r="G422" t="s">
        <v>55</v>
      </c>
      <c r="I422" s="171">
        <v>19</v>
      </c>
      <c r="J422" s="171" t="s">
        <v>98</v>
      </c>
      <c r="K422" s="171" t="s">
        <v>56</v>
      </c>
      <c r="M422" s="171">
        <v>16</v>
      </c>
      <c r="N422" s="171" t="s">
        <v>97</v>
      </c>
      <c r="O422" s="171" t="s">
        <v>688</v>
      </c>
      <c r="Q422" s="399">
        <v>32</v>
      </c>
      <c r="R422" s="396" t="s">
        <v>98</v>
      </c>
      <c r="S422" s="398" t="s">
        <v>56</v>
      </c>
      <c r="U422" s="171">
        <v>78</v>
      </c>
      <c r="V422" s="171" t="s">
        <v>97</v>
      </c>
      <c r="W422" s="171" t="s">
        <v>122</v>
      </c>
      <c r="Y422" s="171">
        <v>18</v>
      </c>
      <c r="Z422" s="460" t="s">
        <v>98</v>
      </c>
      <c r="AA422" s="171" t="s">
        <v>56</v>
      </c>
      <c r="AC422" s="505">
        <v>26</v>
      </c>
      <c r="AD422" s="505" t="s">
        <v>98</v>
      </c>
      <c r="AE422" s="505" t="s">
        <v>56</v>
      </c>
      <c r="AG422" s="171">
        <v>1</v>
      </c>
      <c r="AH422" s="171" t="s">
        <v>98</v>
      </c>
      <c r="AI422" s="171" t="s">
        <v>134</v>
      </c>
      <c r="AK422" s="299">
        <v>33</v>
      </c>
      <c r="AL422" s="503" t="s">
        <v>81</v>
      </c>
      <c r="AM422" s="299" t="s">
        <v>1340</v>
      </c>
      <c r="AO422" s="299">
        <v>28</v>
      </c>
      <c r="AP422" s="299" t="s">
        <v>81</v>
      </c>
      <c r="AQ422" s="299" t="s">
        <v>1370</v>
      </c>
    </row>
    <row r="423" spans="1:43" ht="15" customHeight="1" x14ac:dyDescent="0.25">
      <c r="A423">
        <v>53</v>
      </c>
      <c r="B423" t="s">
        <v>97</v>
      </c>
      <c r="C423" t="s">
        <v>122</v>
      </c>
      <c r="E423" s="72">
        <v>25</v>
      </c>
      <c r="F423" t="s">
        <v>98</v>
      </c>
      <c r="G423" t="s">
        <v>55</v>
      </c>
      <c r="I423" s="171">
        <v>39</v>
      </c>
      <c r="J423" s="171" t="s">
        <v>98</v>
      </c>
      <c r="K423" s="171" t="s">
        <v>56</v>
      </c>
      <c r="M423" s="171" t="s">
        <v>694</v>
      </c>
      <c r="N423" s="171" t="s">
        <v>98</v>
      </c>
      <c r="O423" s="171" t="s">
        <v>79</v>
      </c>
      <c r="Q423" s="399">
        <v>35</v>
      </c>
      <c r="R423" s="396" t="s">
        <v>98</v>
      </c>
      <c r="S423" s="398" t="s">
        <v>56</v>
      </c>
      <c r="U423" s="171">
        <v>57</v>
      </c>
      <c r="V423" s="171" t="s">
        <v>97</v>
      </c>
      <c r="W423" s="171" t="s">
        <v>122</v>
      </c>
      <c r="Y423" s="171">
        <v>25</v>
      </c>
      <c r="Z423" s="460" t="s">
        <v>98</v>
      </c>
      <c r="AA423" s="171" t="s">
        <v>56</v>
      </c>
      <c r="AC423" s="505">
        <v>29</v>
      </c>
      <c r="AD423" s="505" t="s">
        <v>98</v>
      </c>
      <c r="AE423" s="505" t="s">
        <v>56</v>
      </c>
      <c r="AG423" s="171" t="s">
        <v>1102</v>
      </c>
      <c r="AH423" s="171" t="s">
        <v>97</v>
      </c>
      <c r="AI423" s="171" t="s">
        <v>134</v>
      </c>
      <c r="AK423" s="299">
        <v>27</v>
      </c>
      <c r="AL423" s="503" t="s">
        <v>81</v>
      </c>
      <c r="AM423" s="299" t="s">
        <v>1340</v>
      </c>
      <c r="AO423" s="299">
        <v>26</v>
      </c>
      <c r="AP423" s="299" t="s">
        <v>81</v>
      </c>
      <c r="AQ423" s="299" t="s">
        <v>1370</v>
      </c>
    </row>
    <row r="424" spans="1:43" ht="15" customHeight="1" x14ac:dyDescent="0.25">
      <c r="A424">
        <v>23</v>
      </c>
      <c r="B424" t="s">
        <v>97</v>
      </c>
      <c r="C424" t="s">
        <v>122</v>
      </c>
      <c r="E424" s="72">
        <v>25</v>
      </c>
      <c r="F424" t="s">
        <v>98</v>
      </c>
      <c r="G424" t="s">
        <v>55</v>
      </c>
      <c r="I424" s="171">
        <v>24</v>
      </c>
      <c r="J424" s="171" t="s">
        <v>98</v>
      </c>
      <c r="K424" s="171" t="s">
        <v>56</v>
      </c>
      <c r="M424" s="171" t="s">
        <v>695</v>
      </c>
      <c r="N424" s="171" t="s">
        <v>98</v>
      </c>
      <c r="O424" s="171" t="s">
        <v>79</v>
      </c>
      <c r="Q424" s="399">
        <v>34</v>
      </c>
      <c r="R424" s="396" t="s">
        <v>98</v>
      </c>
      <c r="S424" s="398" t="s">
        <v>56</v>
      </c>
      <c r="U424" s="171">
        <v>64</v>
      </c>
      <c r="V424" s="171" t="s">
        <v>97</v>
      </c>
      <c r="W424" s="171" t="s">
        <v>122</v>
      </c>
      <c r="Y424" s="171">
        <v>41</v>
      </c>
      <c r="Z424" s="460" t="s">
        <v>98</v>
      </c>
      <c r="AA424" s="171" t="s">
        <v>56</v>
      </c>
      <c r="AC424" s="505">
        <v>37</v>
      </c>
      <c r="AD424" s="505" t="s">
        <v>98</v>
      </c>
      <c r="AE424" s="505" t="s">
        <v>56</v>
      </c>
      <c r="AG424" s="171">
        <v>11</v>
      </c>
      <c r="AH424" s="171" t="s">
        <v>98</v>
      </c>
      <c r="AI424" s="171" t="s">
        <v>134</v>
      </c>
      <c r="AK424" s="299">
        <v>24</v>
      </c>
      <c r="AL424" s="503" t="s">
        <v>81</v>
      </c>
      <c r="AM424" s="299" t="s">
        <v>1340</v>
      </c>
      <c r="AO424" s="299">
        <v>27</v>
      </c>
      <c r="AP424" s="299" t="s">
        <v>81</v>
      </c>
      <c r="AQ424" s="299" t="s">
        <v>1370</v>
      </c>
    </row>
    <row r="425" spans="1:43" ht="15" customHeight="1" x14ac:dyDescent="0.25">
      <c r="A425">
        <v>64</v>
      </c>
      <c r="B425" t="s">
        <v>97</v>
      </c>
      <c r="C425" t="s">
        <v>122</v>
      </c>
      <c r="E425" s="72">
        <v>25</v>
      </c>
      <c r="F425" t="s">
        <v>98</v>
      </c>
      <c r="G425" t="s">
        <v>56</v>
      </c>
      <c r="I425" s="171">
        <v>27</v>
      </c>
      <c r="J425" s="171" t="s">
        <v>98</v>
      </c>
      <c r="K425" s="171" t="s">
        <v>56</v>
      </c>
      <c r="M425" s="171" t="s">
        <v>684</v>
      </c>
      <c r="N425" s="171" t="s">
        <v>98</v>
      </c>
      <c r="O425" s="171" t="s">
        <v>79</v>
      </c>
      <c r="Q425" s="399">
        <v>26</v>
      </c>
      <c r="R425" s="396" t="s">
        <v>98</v>
      </c>
      <c r="S425" s="398" t="s">
        <v>56</v>
      </c>
      <c r="U425" s="171">
        <v>30</v>
      </c>
      <c r="V425" s="171" t="s">
        <v>97</v>
      </c>
      <c r="W425" s="171" t="s">
        <v>122</v>
      </c>
      <c r="Y425" s="171">
        <v>38</v>
      </c>
      <c r="Z425" s="460" t="s">
        <v>98</v>
      </c>
      <c r="AA425" s="171" t="s">
        <v>56</v>
      </c>
      <c r="AC425" s="505">
        <v>22</v>
      </c>
      <c r="AD425" s="505" t="s">
        <v>98</v>
      </c>
      <c r="AE425" s="505" t="s">
        <v>56</v>
      </c>
      <c r="AG425" s="171">
        <v>3</v>
      </c>
      <c r="AH425" s="171" t="s">
        <v>97</v>
      </c>
      <c r="AI425" s="171" t="s">
        <v>134</v>
      </c>
      <c r="AK425" s="299">
        <v>27</v>
      </c>
      <c r="AL425" s="503" t="s">
        <v>81</v>
      </c>
      <c r="AM425" s="299" t="s">
        <v>1340</v>
      </c>
      <c r="AO425" s="299">
        <v>37</v>
      </c>
      <c r="AP425" s="299" t="s">
        <v>81</v>
      </c>
      <c r="AQ425" s="299" t="s">
        <v>1370</v>
      </c>
    </row>
    <row r="426" spans="1:43" ht="15" customHeight="1" x14ac:dyDescent="0.25">
      <c r="A426">
        <v>61</v>
      </c>
      <c r="B426" t="s">
        <v>97</v>
      </c>
      <c r="C426" t="s">
        <v>122</v>
      </c>
      <c r="E426" s="72">
        <v>25</v>
      </c>
      <c r="F426" t="s">
        <v>98</v>
      </c>
      <c r="G426" t="s">
        <v>38</v>
      </c>
      <c r="I426" s="171">
        <v>31</v>
      </c>
      <c r="J426" s="171" t="s">
        <v>98</v>
      </c>
      <c r="K426" s="171" t="s">
        <v>56</v>
      </c>
      <c r="M426" s="171" t="s">
        <v>684</v>
      </c>
      <c r="N426" s="171" t="s">
        <v>97</v>
      </c>
      <c r="O426" s="171" t="s">
        <v>79</v>
      </c>
      <c r="Q426" s="399">
        <v>36</v>
      </c>
      <c r="R426" s="396" t="s">
        <v>98</v>
      </c>
      <c r="S426" s="398" t="s">
        <v>56</v>
      </c>
      <c r="U426" s="171">
        <v>77</v>
      </c>
      <c r="V426" s="171" t="s">
        <v>97</v>
      </c>
      <c r="W426" s="171" t="s">
        <v>122</v>
      </c>
      <c r="Y426" s="171">
        <v>43</v>
      </c>
      <c r="Z426" s="460" t="s">
        <v>98</v>
      </c>
      <c r="AA426" s="171" t="s">
        <v>56</v>
      </c>
      <c r="AC426" s="505">
        <v>24</v>
      </c>
      <c r="AD426" s="505" t="s">
        <v>98</v>
      </c>
      <c r="AE426" s="505" t="s">
        <v>56</v>
      </c>
      <c r="AG426" s="171">
        <v>2</v>
      </c>
      <c r="AH426" s="171" t="s">
        <v>97</v>
      </c>
      <c r="AI426" s="171" t="s">
        <v>134</v>
      </c>
      <c r="AK426" s="299">
        <v>27</v>
      </c>
      <c r="AL426" s="503" t="s">
        <v>81</v>
      </c>
      <c r="AM426" s="299" t="s">
        <v>1340</v>
      </c>
      <c r="AO426" s="299">
        <v>21</v>
      </c>
      <c r="AP426" s="299" t="s">
        <v>81</v>
      </c>
      <c r="AQ426" s="299" t="s">
        <v>1370</v>
      </c>
    </row>
    <row r="427" spans="1:43" ht="15" customHeight="1" x14ac:dyDescent="0.25">
      <c r="A427">
        <v>37</v>
      </c>
      <c r="B427" t="s">
        <v>97</v>
      </c>
      <c r="C427" t="s">
        <v>122</v>
      </c>
      <c r="E427" s="72">
        <v>25</v>
      </c>
      <c r="F427" t="s">
        <v>98</v>
      </c>
      <c r="G427" t="s">
        <v>38</v>
      </c>
      <c r="I427" s="171">
        <v>37</v>
      </c>
      <c r="J427" s="171" t="s">
        <v>98</v>
      </c>
      <c r="K427" s="171" t="s">
        <v>56</v>
      </c>
      <c r="M427" s="171" t="s">
        <v>694</v>
      </c>
      <c r="N427" s="171" t="s">
        <v>97</v>
      </c>
      <c r="O427" s="171" t="s">
        <v>79</v>
      </c>
      <c r="Q427" s="399">
        <v>39</v>
      </c>
      <c r="R427" s="396" t="s">
        <v>98</v>
      </c>
      <c r="S427" s="398" t="s">
        <v>56</v>
      </c>
      <c r="U427" s="171">
        <v>20</v>
      </c>
      <c r="V427" s="171" t="s">
        <v>97</v>
      </c>
      <c r="W427" s="171" t="s">
        <v>122</v>
      </c>
      <c r="Y427" s="171">
        <v>28</v>
      </c>
      <c r="Z427" s="460" t="s">
        <v>98</v>
      </c>
      <c r="AA427" s="171" t="s">
        <v>56</v>
      </c>
      <c r="AC427" s="505">
        <v>27</v>
      </c>
      <c r="AD427" s="505" t="s">
        <v>98</v>
      </c>
      <c r="AE427" s="505" t="s">
        <v>56</v>
      </c>
      <c r="AG427" s="171">
        <v>3</v>
      </c>
      <c r="AH427" s="171" t="s">
        <v>97</v>
      </c>
      <c r="AI427" s="171" t="s">
        <v>134</v>
      </c>
      <c r="AK427" s="299">
        <v>36</v>
      </c>
      <c r="AL427" s="503" t="s">
        <v>81</v>
      </c>
      <c r="AM427" s="299" t="s">
        <v>1340</v>
      </c>
      <c r="AO427" s="299">
        <v>29</v>
      </c>
      <c r="AP427" s="299" t="s">
        <v>81</v>
      </c>
      <c r="AQ427" s="299" t="s">
        <v>1370</v>
      </c>
    </row>
    <row r="428" spans="1:43" ht="15" customHeight="1" x14ac:dyDescent="0.25">
      <c r="A428">
        <v>37</v>
      </c>
      <c r="B428" t="s">
        <v>97</v>
      </c>
      <c r="C428" t="s">
        <v>122</v>
      </c>
      <c r="E428" s="72">
        <v>25</v>
      </c>
      <c r="F428" t="s">
        <v>98</v>
      </c>
      <c r="G428" t="s">
        <v>38</v>
      </c>
      <c r="I428" s="171">
        <v>25</v>
      </c>
      <c r="J428" s="171" t="s">
        <v>98</v>
      </c>
      <c r="K428" s="171" t="s">
        <v>56</v>
      </c>
      <c r="M428" s="171" t="s">
        <v>694</v>
      </c>
      <c r="N428" s="171" t="s">
        <v>97</v>
      </c>
      <c r="O428" s="171" t="s">
        <v>79</v>
      </c>
      <c r="Q428" s="399">
        <v>23</v>
      </c>
      <c r="R428" s="396" t="s">
        <v>98</v>
      </c>
      <c r="S428" s="398" t="s">
        <v>56</v>
      </c>
      <c r="U428" s="171">
        <v>80</v>
      </c>
      <c r="V428" s="171" t="s">
        <v>97</v>
      </c>
      <c r="W428" s="171" t="s">
        <v>122</v>
      </c>
      <c r="Y428" s="171">
        <v>32</v>
      </c>
      <c r="Z428" s="460" t="s">
        <v>98</v>
      </c>
      <c r="AA428" s="171" t="s">
        <v>56</v>
      </c>
      <c r="AC428" s="505">
        <v>24</v>
      </c>
      <c r="AD428" s="505" t="s">
        <v>98</v>
      </c>
      <c r="AE428" s="505" t="s">
        <v>56</v>
      </c>
      <c r="AG428" s="171">
        <v>2</v>
      </c>
      <c r="AH428" s="171" t="s">
        <v>97</v>
      </c>
      <c r="AI428" s="171" t="s">
        <v>134</v>
      </c>
      <c r="AK428" s="299">
        <v>27</v>
      </c>
      <c r="AL428" s="503" t="s">
        <v>81</v>
      </c>
      <c r="AM428" s="299" t="s">
        <v>1340</v>
      </c>
      <c r="AO428" s="299">
        <v>25</v>
      </c>
      <c r="AP428" s="299" t="s">
        <v>81</v>
      </c>
      <c r="AQ428" s="299" t="s">
        <v>1370</v>
      </c>
    </row>
    <row r="429" spans="1:43" ht="15" customHeight="1" x14ac:dyDescent="0.25">
      <c r="A429">
        <v>31</v>
      </c>
      <c r="B429" t="s">
        <v>97</v>
      </c>
      <c r="C429" t="s">
        <v>122</v>
      </c>
      <c r="E429" s="72">
        <v>25</v>
      </c>
      <c r="F429" t="s">
        <v>98</v>
      </c>
      <c r="G429" t="s">
        <v>38</v>
      </c>
      <c r="I429" s="171">
        <v>32</v>
      </c>
      <c r="J429" s="171" t="s">
        <v>98</v>
      </c>
      <c r="K429" s="171" t="s">
        <v>56</v>
      </c>
      <c r="M429" s="171" t="s">
        <v>697</v>
      </c>
      <c r="N429" s="171" t="s">
        <v>98</v>
      </c>
      <c r="O429" s="171" t="s">
        <v>79</v>
      </c>
      <c r="Q429" s="399">
        <v>37</v>
      </c>
      <c r="R429" s="396" t="s">
        <v>98</v>
      </c>
      <c r="S429" s="398" t="s">
        <v>56</v>
      </c>
      <c r="U429" s="171">
        <v>77</v>
      </c>
      <c r="V429" s="171" t="s">
        <v>97</v>
      </c>
      <c r="W429" s="171" t="s">
        <v>122</v>
      </c>
      <c r="Y429" s="171">
        <v>24</v>
      </c>
      <c r="Z429" s="460" t="s">
        <v>98</v>
      </c>
      <c r="AA429" s="171" t="s">
        <v>56</v>
      </c>
      <c r="AC429" s="505">
        <v>25</v>
      </c>
      <c r="AD429" s="505" t="s">
        <v>98</v>
      </c>
      <c r="AE429" s="505" t="s">
        <v>56</v>
      </c>
      <c r="AG429" s="171">
        <v>12</v>
      </c>
      <c r="AH429" s="171" t="s">
        <v>97</v>
      </c>
      <c r="AI429" s="171" t="s">
        <v>134</v>
      </c>
      <c r="AK429" s="299">
        <v>19</v>
      </c>
      <c r="AL429" s="503" t="s">
        <v>81</v>
      </c>
      <c r="AM429" s="299" t="s">
        <v>1340</v>
      </c>
      <c r="AO429" s="299">
        <v>27</v>
      </c>
      <c r="AP429" s="299" t="s">
        <v>81</v>
      </c>
      <c r="AQ429" s="299" t="s">
        <v>1370</v>
      </c>
    </row>
    <row r="430" spans="1:43" ht="15" customHeight="1" x14ac:dyDescent="0.25">
      <c r="A430">
        <v>15</v>
      </c>
      <c r="B430" t="s">
        <v>97</v>
      </c>
      <c r="C430" t="s">
        <v>122</v>
      </c>
      <c r="E430" s="72">
        <v>25</v>
      </c>
      <c r="F430" t="s">
        <v>98</v>
      </c>
      <c r="G430" t="s">
        <v>123</v>
      </c>
      <c r="I430" s="171">
        <v>32</v>
      </c>
      <c r="J430" s="171" t="s">
        <v>98</v>
      </c>
      <c r="K430" s="171" t="s">
        <v>56</v>
      </c>
      <c r="M430" s="171" t="s">
        <v>694</v>
      </c>
      <c r="N430" s="171" t="s">
        <v>97</v>
      </c>
      <c r="O430" s="171" t="s">
        <v>79</v>
      </c>
      <c r="Q430" s="399">
        <v>21</v>
      </c>
      <c r="R430" s="396" t="s">
        <v>98</v>
      </c>
      <c r="S430" s="398" t="s">
        <v>56</v>
      </c>
      <c r="U430" s="171">
        <v>57</v>
      </c>
      <c r="V430" s="171" t="s">
        <v>97</v>
      </c>
      <c r="W430" s="171" t="s">
        <v>122</v>
      </c>
      <c r="Y430" s="171">
        <v>25</v>
      </c>
      <c r="Z430" s="460" t="s">
        <v>98</v>
      </c>
      <c r="AA430" s="171" t="s">
        <v>56</v>
      </c>
      <c r="AC430" s="505">
        <v>19</v>
      </c>
      <c r="AD430" s="505" t="s">
        <v>98</v>
      </c>
      <c r="AE430" s="505" t="s">
        <v>56</v>
      </c>
      <c r="AG430" s="171">
        <v>3</v>
      </c>
      <c r="AH430" s="171" t="s">
        <v>97</v>
      </c>
      <c r="AI430" s="171" t="s">
        <v>134</v>
      </c>
      <c r="AK430" s="299">
        <v>23</v>
      </c>
      <c r="AL430" s="503" t="s">
        <v>81</v>
      </c>
      <c r="AM430" s="299" t="s">
        <v>1340</v>
      </c>
      <c r="AO430" s="299">
        <v>24</v>
      </c>
      <c r="AP430" s="299" t="s">
        <v>81</v>
      </c>
      <c r="AQ430" s="299" t="s">
        <v>1370</v>
      </c>
    </row>
    <row r="431" spans="1:43" ht="15" customHeight="1" x14ac:dyDescent="0.25">
      <c r="A431">
        <v>77</v>
      </c>
      <c r="B431" t="s">
        <v>97</v>
      </c>
      <c r="C431" t="s">
        <v>122</v>
      </c>
      <c r="E431" s="72">
        <v>25</v>
      </c>
      <c r="F431" t="s">
        <v>98</v>
      </c>
      <c r="G431" t="s">
        <v>123</v>
      </c>
      <c r="I431" s="171">
        <v>36</v>
      </c>
      <c r="J431" s="171" t="s">
        <v>98</v>
      </c>
      <c r="K431" s="171" t="s">
        <v>56</v>
      </c>
      <c r="M431" s="171" t="s">
        <v>694</v>
      </c>
      <c r="N431" s="171" t="s">
        <v>97</v>
      </c>
      <c r="O431" s="171" t="s">
        <v>79</v>
      </c>
      <c r="Q431" s="399">
        <v>32</v>
      </c>
      <c r="R431" s="396" t="s">
        <v>98</v>
      </c>
      <c r="S431" s="398" t="s">
        <v>56</v>
      </c>
      <c r="U431" s="171">
        <v>57</v>
      </c>
      <c r="V431" s="171" t="s">
        <v>97</v>
      </c>
      <c r="W431" s="171" t="s">
        <v>122</v>
      </c>
      <c r="Y431" s="171">
        <v>20</v>
      </c>
      <c r="Z431" s="460" t="s">
        <v>98</v>
      </c>
      <c r="AA431" s="171" t="s">
        <v>56</v>
      </c>
      <c r="AC431" s="505">
        <v>18</v>
      </c>
      <c r="AD431" s="505" t="s">
        <v>98</v>
      </c>
      <c r="AE431" s="505" t="s">
        <v>56</v>
      </c>
      <c r="AG431" s="171">
        <v>17</v>
      </c>
      <c r="AH431" s="171" t="s">
        <v>98</v>
      </c>
      <c r="AI431" s="171" t="s">
        <v>123</v>
      </c>
      <c r="AK431" s="299">
        <v>32</v>
      </c>
      <c r="AL431" s="503" t="s">
        <v>81</v>
      </c>
      <c r="AM431" s="299" t="s">
        <v>1340</v>
      </c>
      <c r="AO431" s="299">
        <v>16</v>
      </c>
      <c r="AP431" s="299" t="s">
        <v>81</v>
      </c>
      <c r="AQ431" s="299" t="s">
        <v>1370</v>
      </c>
    </row>
    <row r="432" spans="1:43" ht="15" customHeight="1" x14ac:dyDescent="0.25">
      <c r="A432">
        <v>42</v>
      </c>
      <c r="B432" t="s">
        <v>97</v>
      </c>
      <c r="C432" t="s">
        <v>122</v>
      </c>
      <c r="E432" s="72">
        <v>24</v>
      </c>
      <c r="F432" t="s">
        <v>97</v>
      </c>
      <c r="G432" t="s">
        <v>688</v>
      </c>
      <c r="I432" s="171">
        <v>28</v>
      </c>
      <c r="J432" s="171" t="s">
        <v>98</v>
      </c>
      <c r="K432" s="171" t="s">
        <v>56</v>
      </c>
      <c r="M432" s="171" t="s">
        <v>694</v>
      </c>
      <c r="N432" s="171" t="s">
        <v>97</v>
      </c>
      <c r="O432" s="171" t="s">
        <v>79</v>
      </c>
      <c r="Q432" s="399">
        <v>33</v>
      </c>
      <c r="R432" s="396" t="s">
        <v>98</v>
      </c>
      <c r="S432" s="398" t="s">
        <v>56</v>
      </c>
      <c r="U432" s="171">
        <v>18</v>
      </c>
      <c r="V432" s="171" t="s">
        <v>97</v>
      </c>
      <c r="W432" s="171" t="s">
        <v>122</v>
      </c>
      <c r="Y432" s="171">
        <v>34</v>
      </c>
      <c r="Z432" s="460" t="s">
        <v>98</v>
      </c>
      <c r="AA432" s="171" t="s">
        <v>56</v>
      </c>
      <c r="AC432" s="505">
        <v>23</v>
      </c>
      <c r="AD432" s="505" t="s">
        <v>98</v>
      </c>
      <c r="AE432" s="505" t="s">
        <v>56</v>
      </c>
      <c r="AG432" s="171">
        <v>25</v>
      </c>
      <c r="AH432" s="171" t="s">
        <v>98</v>
      </c>
      <c r="AI432" s="171" t="s">
        <v>123</v>
      </c>
      <c r="AK432" s="299">
        <v>41</v>
      </c>
      <c r="AL432" s="503" t="s">
        <v>81</v>
      </c>
      <c r="AM432" s="299" t="s">
        <v>1340</v>
      </c>
      <c r="AO432" s="299">
        <v>26</v>
      </c>
      <c r="AP432" s="299" t="s">
        <v>81</v>
      </c>
      <c r="AQ432" s="299" t="s">
        <v>1370</v>
      </c>
    </row>
    <row r="433" spans="1:43" ht="15" customHeight="1" x14ac:dyDescent="0.25">
      <c r="A433">
        <v>28</v>
      </c>
      <c r="B433" t="s">
        <v>97</v>
      </c>
      <c r="C433" t="s">
        <v>122</v>
      </c>
      <c r="E433" s="72">
        <v>24</v>
      </c>
      <c r="F433" t="s">
        <v>97</v>
      </c>
      <c r="G433" t="s">
        <v>688</v>
      </c>
      <c r="I433" s="171">
        <v>26</v>
      </c>
      <c r="J433" s="171" t="s">
        <v>98</v>
      </c>
      <c r="K433" s="171" t="s">
        <v>56</v>
      </c>
      <c r="M433" s="171" t="s">
        <v>694</v>
      </c>
      <c r="N433" s="171" t="s">
        <v>97</v>
      </c>
      <c r="O433" s="171" t="s">
        <v>79</v>
      </c>
      <c r="Q433" s="399">
        <v>25</v>
      </c>
      <c r="R433" s="396" t="s">
        <v>98</v>
      </c>
      <c r="S433" s="398" t="s">
        <v>56</v>
      </c>
      <c r="U433" s="171">
        <v>68</v>
      </c>
      <c r="V433" s="171" t="s">
        <v>97</v>
      </c>
      <c r="W433" s="171" t="s">
        <v>122</v>
      </c>
      <c r="Y433" s="171">
        <v>19</v>
      </c>
      <c r="Z433" s="460" t="s">
        <v>98</v>
      </c>
      <c r="AA433" s="171" t="s">
        <v>56</v>
      </c>
      <c r="AC433" s="505">
        <v>25</v>
      </c>
      <c r="AD433" s="505" t="s">
        <v>98</v>
      </c>
      <c r="AE433" s="505" t="s">
        <v>56</v>
      </c>
      <c r="AG433" s="171">
        <v>20</v>
      </c>
      <c r="AH433" s="171" t="s">
        <v>98</v>
      </c>
      <c r="AI433" s="171" t="s">
        <v>123</v>
      </c>
      <c r="AK433" s="299">
        <v>19</v>
      </c>
      <c r="AL433" s="503" t="s">
        <v>81</v>
      </c>
      <c r="AM433" s="299" t="s">
        <v>1340</v>
      </c>
      <c r="AO433" s="299">
        <v>38</v>
      </c>
      <c r="AP433" s="299" t="s">
        <v>81</v>
      </c>
      <c r="AQ433" s="299" t="s">
        <v>1370</v>
      </c>
    </row>
    <row r="434" spans="1:43" ht="15" customHeight="1" x14ac:dyDescent="0.25">
      <c r="A434">
        <v>63</v>
      </c>
      <c r="B434" t="s">
        <v>97</v>
      </c>
      <c r="C434" t="s">
        <v>122</v>
      </c>
      <c r="E434" s="72">
        <v>24</v>
      </c>
      <c r="F434" t="s">
        <v>98</v>
      </c>
      <c r="G434" t="s">
        <v>55</v>
      </c>
      <c r="I434" s="171">
        <v>30</v>
      </c>
      <c r="J434" s="171" t="s">
        <v>98</v>
      </c>
      <c r="K434" s="171" t="s">
        <v>56</v>
      </c>
      <c r="M434" s="171" t="s">
        <v>684</v>
      </c>
      <c r="N434" s="171" t="s">
        <v>97</v>
      </c>
      <c r="O434" s="171" t="s">
        <v>79</v>
      </c>
      <c r="Q434" s="399">
        <v>20</v>
      </c>
      <c r="R434" s="396" t="s">
        <v>98</v>
      </c>
      <c r="S434" s="398" t="s">
        <v>56</v>
      </c>
      <c r="U434" s="171">
        <v>39</v>
      </c>
      <c r="V434" s="171" t="s">
        <v>97</v>
      </c>
      <c r="W434" s="171" t="s">
        <v>122</v>
      </c>
      <c r="Y434" s="171">
        <v>36</v>
      </c>
      <c r="Z434" s="460" t="s">
        <v>98</v>
      </c>
      <c r="AA434" s="171" t="s">
        <v>56</v>
      </c>
      <c r="AC434" s="505">
        <v>34</v>
      </c>
      <c r="AD434" s="505" t="s">
        <v>98</v>
      </c>
      <c r="AE434" s="505" t="s">
        <v>56</v>
      </c>
      <c r="AG434" s="171">
        <v>60</v>
      </c>
      <c r="AH434" s="171" t="s">
        <v>98</v>
      </c>
      <c r="AI434" s="171" t="s">
        <v>123</v>
      </c>
      <c r="AK434" s="299">
        <v>27</v>
      </c>
      <c r="AL434" s="503" t="s">
        <v>81</v>
      </c>
      <c r="AM434" s="299" t="s">
        <v>1340</v>
      </c>
      <c r="AO434" s="299">
        <v>25</v>
      </c>
      <c r="AP434" s="299" t="s">
        <v>81</v>
      </c>
      <c r="AQ434" s="299" t="s">
        <v>1370</v>
      </c>
    </row>
    <row r="435" spans="1:43" ht="15" customHeight="1" x14ac:dyDescent="0.25">
      <c r="A435">
        <v>76</v>
      </c>
      <c r="B435" t="s">
        <v>97</v>
      </c>
      <c r="C435" t="s">
        <v>122</v>
      </c>
      <c r="E435" s="72">
        <v>24</v>
      </c>
      <c r="F435" t="s">
        <v>98</v>
      </c>
      <c r="G435" t="s">
        <v>55</v>
      </c>
      <c r="I435" s="171">
        <v>25</v>
      </c>
      <c r="J435" s="171" t="s">
        <v>98</v>
      </c>
      <c r="K435" s="171" t="s">
        <v>56</v>
      </c>
      <c r="M435" s="171" t="s">
        <v>684</v>
      </c>
      <c r="N435" s="171" t="s">
        <v>98</v>
      </c>
      <c r="O435" s="171" t="s">
        <v>79</v>
      </c>
      <c r="Q435" s="399">
        <v>33</v>
      </c>
      <c r="R435" s="396" t="s">
        <v>98</v>
      </c>
      <c r="S435" s="398" t="s">
        <v>56</v>
      </c>
      <c r="U435" s="171">
        <v>20</v>
      </c>
      <c r="V435" s="171" t="s">
        <v>97</v>
      </c>
      <c r="W435" s="171" t="s">
        <v>122</v>
      </c>
      <c r="Y435" s="171">
        <v>44</v>
      </c>
      <c r="Z435" s="460" t="s">
        <v>98</v>
      </c>
      <c r="AA435" s="171" t="s">
        <v>56</v>
      </c>
      <c r="AC435" s="505">
        <v>28</v>
      </c>
      <c r="AD435" s="505" t="s">
        <v>98</v>
      </c>
      <c r="AE435" s="505" t="s">
        <v>56</v>
      </c>
      <c r="AG435" s="171">
        <v>39</v>
      </c>
      <c r="AH435" s="171" t="s">
        <v>98</v>
      </c>
      <c r="AI435" s="171" t="s">
        <v>123</v>
      </c>
      <c r="AK435" s="299">
        <v>25</v>
      </c>
      <c r="AL435" s="503" t="s">
        <v>81</v>
      </c>
      <c r="AM435" s="299" t="s">
        <v>1340</v>
      </c>
      <c r="AO435" s="299">
        <v>25</v>
      </c>
      <c r="AP435" s="299" t="s">
        <v>81</v>
      </c>
      <c r="AQ435" s="299" t="s">
        <v>1370</v>
      </c>
    </row>
    <row r="436" spans="1:43" ht="15" customHeight="1" x14ac:dyDescent="0.25">
      <c r="A436">
        <v>90</v>
      </c>
      <c r="B436" t="s">
        <v>97</v>
      </c>
      <c r="C436" t="s">
        <v>122</v>
      </c>
      <c r="E436" s="72">
        <v>24</v>
      </c>
      <c r="F436" t="s">
        <v>98</v>
      </c>
      <c r="G436" t="s">
        <v>55</v>
      </c>
      <c r="I436" s="171">
        <v>32</v>
      </c>
      <c r="J436" s="171" t="s">
        <v>98</v>
      </c>
      <c r="K436" s="171" t="s">
        <v>56</v>
      </c>
      <c r="M436" s="171" t="s">
        <v>694</v>
      </c>
      <c r="N436" s="171" t="s">
        <v>97</v>
      </c>
      <c r="O436" s="171" t="s">
        <v>79</v>
      </c>
      <c r="Q436" s="399">
        <v>33</v>
      </c>
      <c r="R436" s="399" t="s">
        <v>98</v>
      </c>
      <c r="S436" s="398" t="s">
        <v>56</v>
      </c>
      <c r="U436" s="171">
        <v>15</v>
      </c>
      <c r="V436" s="171" t="s">
        <v>97</v>
      </c>
      <c r="W436" s="171" t="s">
        <v>122</v>
      </c>
      <c r="Y436" s="171">
        <v>26</v>
      </c>
      <c r="Z436" s="460" t="s">
        <v>98</v>
      </c>
      <c r="AA436" s="171" t="s">
        <v>56</v>
      </c>
      <c r="AC436" s="505">
        <v>34</v>
      </c>
      <c r="AD436" s="505" t="s">
        <v>98</v>
      </c>
      <c r="AE436" s="505" t="s">
        <v>56</v>
      </c>
      <c r="AG436" s="171">
        <v>43</v>
      </c>
      <c r="AH436" s="171" t="s">
        <v>98</v>
      </c>
      <c r="AI436" s="171" t="s">
        <v>123</v>
      </c>
      <c r="AK436" s="299">
        <v>21</v>
      </c>
      <c r="AL436" s="503" t="s">
        <v>81</v>
      </c>
      <c r="AM436" s="299" t="s">
        <v>1340</v>
      </c>
      <c r="AO436" s="299">
        <v>19</v>
      </c>
      <c r="AP436" s="299" t="s">
        <v>81</v>
      </c>
      <c r="AQ436" s="299" t="s">
        <v>1370</v>
      </c>
    </row>
    <row r="437" spans="1:43" ht="15" customHeight="1" x14ac:dyDescent="0.25">
      <c r="A437">
        <v>47</v>
      </c>
      <c r="B437" t="s">
        <v>97</v>
      </c>
      <c r="C437" t="s">
        <v>122</v>
      </c>
      <c r="E437" s="72">
        <v>24</v>
      </c>
      <c r="F437" t="s">
        <v>98</v>
      </c>
      <c r="G437" t="s">
        <v>56</v>
      </c>
      <c r="I437" s="171">
        <v>30</v>
      </c>
      <c r="J437" s="171" t="s">
        <v>98</v>
      </c>
      <c r="K437" s="171" t="s">
        <v>56</v>
      </c>
      <c r="M437" s="171" t="s">
        <v>694</v>
      </c>
      <c r="N437" s="171" t="s">
        <v>98</v>
      </c>
      <c r="O437" s="171" t="s">
        <v>79</v>
      </c>
      <c r="Q437" s="399">
        <v>41</v>
      </c>
      <c r="R437" s="396" t="s">
        <v>98</v>
      </c>
      <c r="S437" s="398" t="s">
        <v>56</v>
      </c>
      <c r="U437" s="171">
        <v>21</v>
      </c>
      <c r="V437" s="171" t="s">
        <v>97</v>
      </c>
      <c r="W437" s="171" t="s">
        <v>122</v>
      </c>
      <c r="Y437" s="171">
        <v>24</v>
      </c>
      <c r="Z437" s="460" t="s">
        <v>98</v>
      </c>
      <c r="AA437" s="171" t="s">
        <v>56</v>
      </c>
      <c r="AC437" s="505">
        <v>25</v>
      </c>
      <c r="AD437" s="505" t="s">
        <v>98</v>
      </c>
      <c r="AE437" s="505" t="s">
        <v>56</v>
      </c>
      <c r="AG437" s="171">
        <v>21</v>
      </c>
      <c r="AH437" s="171" t="s">
        <v>98</v>
      </c>
      <c r="AI437" s="171" t="s">
        <v>123</v>
      </c>
      <c r="AK437" s="299">
        <v>34</v>
      </c>
      <c r="AL437" s="503" t="s">
        <v>81</v>
      </c>
      <c r="AM437" s="299" t="s">
        <v>1340</v>
      </c>
      <c r="AO437" s="299">
        <v>26</v>
      </c>
      <c r="AP437" s="299" t="s">
        <v>81</v>
      </c>
      <c r="AQ437" s="299" t="s">
        <v>1370</v>
      </c>
    </row>
    <row r="438" spans="1:43" ht="15" customHeight="1" x14ac:dyDescent="0.25">
      <c r="A438">
        <v>65</v>
      </c>
      <c r="B438" t="s">
        <v>97</v>
      </c>
      <c r="C438" t="s">
        <v>122</v>
      </c>
      <c r="E438" s="72">
        <v>24</v>
      </c>
      <c r="F438" t="s">
        <v>98</v>
      </c>
      <c r="G438" t="s">
        <v>56</v>
      </c>
      <c r="I438" s="171">
        <v>29</v>
      </c>
      <c r="J438" s="171" t="s">
        <v>98</v>
      </c>
      <c r="K438" s="171" t="s">
        <v>56</v>
      </c>
      <c r="M438" s="171" t="s">
        <v>879</v>
      </c>
      <c r="N438" s="171" t="s">
        <v>97</v>
      </c>
      <c r="O438" s="171" t="s">
        <v>79</v>
      </c>
      <c r="Q438" s="399">
        <v>31</v>
      </c>
      <c r="R438" s="396" t="s">
        <v>98</v>
      </c>
      <c r="S438" s="398" t="s">
        <v>56</v>
      </c>
      <c r="U438" s="171">
        <v>59</v>
      </c>
      <c r="V438" s="171" t="s">
        <v>97</v>
      </c>
      <c r="W438" s="171" t="s">
        <v>122</v>
      </c>
      <c r="Y438" s="171">
        <v>31</v>
      </c>
      <c r="Z438" s="460" t="s">
        <v>98</v>
      </c>
      <c r="AA438" s="171" t="s">
        <v>56</v>
      </c>
      <c r="AC438" s="505">
        <v>37</v>
      </c>
      <c r="AD438" s="505" t="s">
        <v>98</v>
      </c>
      <c r="AE438" s="505" t="s">
        <v>56</v>
      </c>
      <c r="AG438" s="171">
        <v>15</v>
      </c>
      <c r="AH438" s="171" t="s">
        <v>98</v>
      </c>
      <c r="AI438" s="171" t="s">
        <v>123</v>
      </c>
      <c r="AK438" s="299">
        <v>31</v>
      </c>
      <c r="AL438" s="503" t="s">
        <v>81</v>
      </c>
      <c r="AM438" s="299" t="s">
        <v>1340</v>
      </c>
      <c r="AO438" s="299">
        <v>25</v>
      </c>
      <c r="AP438" s="299" t="s">
        <v>81</v>
      </c>
      <c r="AQ438" s="299" t="s">
        <v>1370</v>
      </c>
    </row>
    <row r="439" spans="1:43" ht="15" customHeight="1" x14ac:dyDescent="0.25">
      <c r="A439">
        <v>21</v>
      </c>
      <c r="B439" t="s">
        <v>97</v>
      </c>
      <c r="C439" t="s">
        <v>122</v>
      </c>
      <c r="E439" s="72">
        <v>24</v>
      </c>
      <c r="F439" t="s">
        <v>98</v>
      </c>
      <c r="G439" t="s">
        <v>38</v>
      </c>
      <c r="I439" s="171">
        <v>27</v>
      </c>
      <c r="J439" s="171" t="s">
        <v>98</v>
      </c>
      <c r="K439" s="171" t="s">
        <v>56</v>
      </c>
      <c r="M439" s="171" t="s">
        <v>684</v>
      </c>
      <c r="N439" s="171" t="s">
        <v>98</v>
      </c>
      <c r="O439" s="171" t="s">
        <v>79</v>
      </c>
      <c r="Q439" s="399">
        <v>31</v>
      </c>
      <c r="R439" s="396" t="s">
        <v>98</v>
      </c>
      <c r="S439" s="398" t="s">
        <v>56</v>
      </c>
      <c r="U439" s="171">
        <v>65</v>
      </c>
      <c r="V439" s="171" t="s">
        <v>97</v>
      </c>
      <c r="W439" s="171" t="s">
        <v>122</v>
      </c>
      <c r="Y439" s="171">
        <v>33</v>
      </c>
      <c r="Z439" s="460" t="s">
        <v>98</v>
      </c>
      <c r="AA439" s="171" t="s">
        <v>56</v>
      </c>
      <c r="AC439" s="505">
        <v>30</v>
      </c>
      <c r="AD439" s="505" t="s">
        <v>98</v>
      </c>
      <c r="AE439" s="505" t="s">
        <v>56</v>
      </c>
      <c r="AG439" s="171">
        <v>47</v>
      </c>
      <c r="AH439" s="171" t="s">
        <v>98</v>
      </c>
      <c r="AI439" s="171" t="s">
        <v>123</v>
      </c>
      <c r="AK439" s="299">
        <v>31</v>
      </c>
      <c r="AL439" s="503" t="s">
        <v>81</v>
      </c>
      <c r="AM439" s="299" t="s">
        <v>1340</v>
      </c>
      <c r="AO439" s="299">
        <v>21</v>
      </c>
      <c r="AP439" s="299" t="s">
        <v>81</v>
      </c>
      <c r="AQ439" s="299" t="s">
        <v>1370</v>
      </c>
    </row>
    <row r="440" spans="1:43" ht="15" customHeight="1" x14ac:dyDescent="0.25">
      <c r="A440">
        <v>59</v>
      </c>
      <c r="B440" t="s">
        <v>97</v>
      </c>
      <c r="C440" t="s">
        <v>122</v>
      </c>
      <c r="E440" s="72">
        <v>24</v>
      </c>
      <c r="F440" t="s">
        <v>98</v>
      </c>
      <c r="G440" t="s">
        <v>38</v>
      </c>
      <c r="I440" s="171">
        <v>22</v>
      </c>
      <c r="J440" s="171" t="s">
        <v>98</v>
      </c>
      <c r="K440" s="171" t="s">
        <v>56</v>
      </c>
      <c r="M440" s="171" t="s">
        <v>695</v>
      </c>
      <c r="N440" s="171" t="s">
        <v>98</v>
      </c>
      <c r="O440" s="171" t="s">
        <v>79</v>
      </c>
      <c r="Q440" s="399">
        <v>34</v>
      </c>
      <c r="R440" s="396" t="s">
        <v>98</v>
      </c>
      <c r="S440" s="398" t="s">
        <v>56</v>
      </c>
      <c r="U440" s="171">
        <v>30</v>
      </c>
      <c r="V440" s="171" t="s">
        <v>97</v>
      </c>
      <c r="W440" s="171" t="s">
        <v>122</v>
      </c>
      <c r="Y440" s="171">
        <v>32</v>
      </c>
      <c r="Z440" s="460" t="s">
        <v>98</v>
      </c>
      <c r="AA440" s="171" t="s">
        <v>56</v>
      </c>
      <c r="AC440" s="505">
        <v>33</v>
      </c>
      <c r="AD440" s="505" t="s">
        <v>98</v>
      </c>
      <c r="AE440" s="505" t="s">
        <v>56</v>
      </c>
      <c r="AG440" s="171">
        <v>33</v>
      </c>
      <c r="AH440" s="171" t="s">
        <v>98</v>
      </c>
      <c r="AI440" s="171" t="s">
        <v>123</v>
      </c>
      <c r="AK440" s="299">
        <v>24</v>
      </c>
      <c r="AL440" s="503" t="s">
        <v>81</v>
      </c>
      <c r="AM440" s="299" t="s">
        <v>1340</v>
      </c>
      <c r="AO440" s="299">
        <v>25</v>
      </c>
      <c r="AP440" s="299" t="s">
        <v>81</v>
      </c>
      <c r="AQ440" s="299" t="s">
        <v>1370</v>
      </c>
    </row>
    <row r="441" spans="1:43" ht="15" customHeight="1" x14ac:dyDescent="0.25">
      <c r="A441">
        <v>54</v>
      </c>
      <c r="B441" t="s">
        <v>97</v>
      </c>
      <c r="C441" t="s">
        <v>122</v>
      </c>
      <c r="E441" s="72">
        <v>24</v>
      </c>
      <c r="F441" t="s">
        <v>98</v>
      </c>
      <c r="G441" t="s">
        <v>38</v>
      </c>
      <c r="I441" s="171">
        <v>28</v>
      </c>
      <c r="J441" s="171" t="s">
        <v>98</v>
      </c>
      <c r="K441" s="171" t="s">
        <v>56</v>
      </c>
      <c r="M441" s="171" t="s">
        <v>694</v>
      </c>
      <c r="N441" s="171" t="s">
        <v>97</v>
      </c>
      <c r="O441" s="171" t="s">
        <v>79</v>
      </c>
      <c r="Q441" s="399">
        <v>31</v>
      </c>
      <c r="R441" s="396" t="s">
        <v>98</v>
      </c>
      <c r="S441" s="398" t="s">
        <v>56</v>
      </c>
      <c r="U441" s="171">
        <v>87</v>
      </c>
      <c r="V441" s="171" t="s">
        <v>97</v>
      </c>
      <c r="W441" s="171" t="s">
        <v>122</v>
      </c>
      <c r="Y441" s="171">
        <v>27</v>
      </c>
      <c r="Z441" s="460" t="s">
        <v>98</v>
      </c>
      <c r="AA441" s="171" t="s">
        <v>56</v>
      </c>
      <c r="AC441" s="505">
        <v>22</v>
      </c>
      <c r="AD441" s="505" t="s">
        <v>98</v>
      </c>
      <c r="AE441" s="505" t="s">
        <v>56</v>
      </c>
      <c r="AG441" s="171">
        <v>36</v>
      </c>
      <c r="AH441" s="171" t="s">
        <v>98</v>
      </c>
      <c r="AI441" s="171" t="s">
        <v>123</v>
      </c>
      <c r="AK441" s="299">
        <v>26</v>
      </c>
      <c r="AL441" s="503" t="s">
        <v>81</v>
      </c>
      <c r="AM441" s="299" t="s">
        <v>1340</v>
      </c>
      <c r="AO441" s="299">
        <v>42</v>
      </c>
      <c r="AP441" s="299" t="s">
        <v>81</v>
      </c>
      <c r="AQ441" s="299" t="s">
        <v>1370</v>
      </c>
    </row>
    <row r="442" spans="1:43" ht="15" customHeight="1" x14ac:dyDescent="0.25">
      <c r="A442">
        <v>47</v>
      </c>
      <c r="B442" t="s">
        <v>97</v>
      </c>
      <c r="C442" t="s">
        <v>122</v>
      </c>
      <c r="E442" s="72">
        <v>24</v>
      </c>
      <c r="F442" t="s">
        <v>98</v>
      </c>
      <c r="G442" t="s">
        <v>38</v>
      </c>
      <c r="I442" s="171">
        <v>27</v>
      </c>
      <c r="J442" s="171" t="s">
        <v>98</v>
      </c>
      <c r="K442" s="171" t="s">
        <v>56</v>
      </c>
      <c r="M442" s="171" t="s">
        <v>694</v>
      </c>
      <c r="N442" s="171" t="s">
        <v>97</v>
      </c>
      <c r="O442" s="171" t="s">
        <v>79</v>
      </c>
      <c r="Q442" s="399">
        <v>21</v>
      </c>
      <c r="R442" s="396" t="s">
        <v>98</v>
      </c>
      <c r="S442" s="398" t="s">
        <v>56</v>
      </c>
      <c r="U442" s="171">
        <v>55</v>
      </c>
      <c r="V442" s="171" t="s">
        <v>97</v>
      </c>
      <c r="W442" s="171" t="s">
        <v>122</v>
      </c>
      <c r="Y442" s="171">
        <v>20</v>
      </c>
      <c r="Z442" s="460" t="s">
        <v>98</v>
      </c>
      <c r="AA442" s="171" t="s">
        <v>56</v>
      </c>
      <c r="AC442" s="505">
        <v>25</v>
      </c>
      <c r="AD442" s="505" t="s">
        <v>98</v>
      </c>
      <c r="AE442" s="505" t="s">
        <v>56</v>
      </c>
      <c r="AG442" s="171">
        <v>14</v>
      </c>
      <c r="AH442" s="171" t="s">
        <v>98</v>
      </c>
      <c r="AI442" s="171" t="s">
        <v>123</v>
      </c>
      <c r="AK442" s="299">
        <v>25</v>
      </c>
      <c r="AL442" s="503" t="s">
        <v>81</v>
      </c>
      <c r="AM442" s="299" t="s">
        <v>1340</v>
      </c>
      <c r="AO442" s="299">
        <v>43</v>
      </c>
      <c r="AP442" s="299" t="s">
        <v>81</v>
      </c>
      <c r="AQ442" s="299" t="s">
        <v>1370</v>
      </c>
    </row>
    <row r="443" spans="1:43" ht="15" customHeight="1" x14ac:dyDescent="0.25">
      <c r="A443">
        <v>67</v>
      </c>
      <c r="B443" t="s">
        <v>97</v>
      </c>
      <c r="C443" t="s">
        <v>122</v>
      </c>
      <c r="E443" s="72">
        <v>24</v>
      </c>
      <c r="F443" t="s">
        <v>98</v>
      </c>
      <c r="G443" t="s">
        <v>38</v>
      </c>
      <c r="I443" s="171">
        <v>25</v>
      </c>
      <c r="J443" s="171" t="s">
        <v>98</v>
      </c>
      <c r="K443" s="171" t="s">
        <v>56</v>
      </c>
      <c r="M443" s="171" t="s">
        <v>694</v>
      </c>
      <c r="N443" s="171" t="s">
        <v>97</v>
      </c>
      <c r="O443" s="171" t="s">
        <v>79</v>
      </c>
      <c r="Q443" s="399">
        <v>25</v>
      </c>
      <c r="R443" s="396" t="s">
        <v>98</v>
      </c>
      <c r="S443" s="398" t="s">
        <v>56</v>
      </c>
      <c r="U443" s="171">
        <v>39</v>
      </c>
      <c r="V443" s="171" t="s">
        <v>97</v>
      </c>
      <c r="W443" s="171" t="s">
        <v>122</v>
      </c>
      <c r="Y443" s="470">
        <v>26</v>
      </c>
      <c r="Z443" s="471" t="s">
        <v>98</v>
      </c>
      <c r="AA443" s="470" t="s">
        <v>56</v>
      </c>
      <c r="AC443" s="505">
        <v>21</v>
      </c>
      <c r="AD443" s="505" t="s">
        <v>98</v>
      </c>
      <c r="AE443" s="505" t="s">
        <v>56</v>
      </c>
      <c r="AG443" s="171">
        <v>21</v>
      </c>
      <c r="AH443" s="171" t="s">
        <v>98</v>
      </c>
      <c r="AI443" s="171" t="s">
        <v>123</v>
      </c>
      <c r="AK443" s="299">
        <v>35</v>
      </c>
      <c r="AL443" s="503" t="s">
        <v>81</v>
      </c>
      <c r="AM443" s="299" t="s">
        <v>1340</v>
      </c>
      <c r="AO443" s="299">
        <v>31</v>
      </c>
      <c r="AP443" s="299" t="s">
        <v>81</v>
      </c>
      <c r="AQ443" s="299" t="s">
        <v>1370</v>
      </c>
    </row>
    <row r="444" spans="1:43" ht="15" customHeight="1" x14ac:dyDescent="0.25">
      <c r="A444">
        <v>45</v>
      </c>
      <c r="B444" t="s">
        <v>97</v>
      </c>
      <c r="C444" t="s">
        <v>122</v>
      </c>
      <c r="E444" s="72">
        <v>24</v>
      </c>
      <c r="F444" t="s">
        <v>97</v>
      </c>
      <c r="G444" t="s">
        <v>122</v>
      </c>
      <c r="I444" s="171">
        <v>23</v>
      </c>
      <c r="J444" s="171" t="s">
        <v>98</v>
      </c>
      <c r="K444" s="171" t="s">
        <v>56</v>
      </c>
      <c r="M444" s="171" t="s">
        <v>694</v>
      </c>
      <c r="N444" s="171" t="s">
        <v>98</v>
      </c>
      <c r="O444" s="171" t="s">
        <v>79</v>
      </c>
      <c r="Q444" s="399">
        <v>34</v>
      </c>
      <c r="R444" s="396" t="s">
        <v>98</v>
      </c>
      <c r="S444" s="398" t="s">
        <v>56</v>
      </c>
      <c r="U444" s="171">
        <v>58</v>
      </c>
      <c r="V444" s="171" t="s">
        <v>97</v>
      </c>
      <c r="W444" s="171" t="s">
        <v>122</v>
      </c>
      <c r="Y444" s="470">
        <v>26</v>
      </c>
      <c r="Z444" s="471" t="s">
        <v>98</v>
      </c>
      <c r="AA444" s="470" t="s">
        <v>56</v>
      </c>
      <c r="AC444" s="505">
        <v>27</v>
      </c>
      <c r="AD444" s="505" t="s">
        <v>98</v>
      </c>
      <c r="AE444" s="505" t="s">
        <v>56</v>
      </c>
      <c r="AG444" s="171">
        <v>81</v>
      </c>
      <c r="AH444" s="171" t="s">
        <v>98</v>
      </c>
      <c r="AI444" s="171" t="s">
        <v>123</v>
      </c>
      <c r="AK444" s="299">
        <v>19</v>
      </c>
      <c r="AL444" s="503" t="s">
        <v>81</v>
      </c>
      <c r="AM444" s="299" t="s">
        <v>1340</v>
      </c>
      <c r="AO444" s="299">
        <v>14</v>
      </c>
      <c r="AP444" s="299" t="s">
        <v>81</v>
      </c>
      <c r="AQ444" s="299" t="s">
        <v>1370</v>
      </c>
    </row>
    <row r="445" spans="1:43" ht="15" customHeight="1" x14ac:dyDescent="0.25">
      <c r="A445">
        <v>73</v>
      </c>
      <c r="B445" t="s">
        <v>97</v>
      </c>
      <c r="C445" t="s">
        <v>122</v>
      </c>
      <c r="E445" s="72">
        <v>24</v>
      </c>
      <c r="F445" t="s">
        <v>98</v>
      </c>
      <c r="G445" t="s">
        <v>123</v>
      </c>
      <c r="I445" s="171">
        <v>32</v>
      </c>
      <c r="J445" s="171" t="s">
        <v>98</v>
      </c>
      <c r="K445" s="171" t="s">
        <v>56</v>
      </c>
      <c r="M445" s="171" t="s">
        <v>694</v>
      </c>
      <c r="N445" s="171" t="s">
        <v>97</v>
      </c>
      <c r="O445" s="171" t="s">
        <v>79</v>
      </c>
      <c r="Q445" s="399">
        <v>37</v>
      </c>
      <c r="R445" s="396" t="s">
        <v>98</v>
      </c>
      <c r="S445" s="398" t="s">
        <v>56</v>
      </c>
      <c r="U445" s="171">
        <v>70</v>
      </c>
      <c r="V445" s="171" t="s">
        <v>97</v>
      </c>
      <c r="W445" s="171" t="s">
        <v>122</v>
      </c>
      <c r="Y445" s="460">
        <v>38</v>
      </c>
      <c r="Z445" s="460" t="s">
        <v>98</v>
      </c>
      <c r="AA445" s="460" t="s">
        <v>56</v>
      </c>
      <c r="AC445" s="505">
        <v>25</v>
      </c>
      <c r="AD445" s="505" t="s">
        <v>98</v>
      </c>
      <c r="AE445" s="505" t="s">
        <v>56</v>
      </c>
      <c r="AG445" s="171">
        <v>74</v>
      </c>
      <c r="AH445" s="171" t="s">
        <v>98</v>
      </c>
      <c r="AI445" s="171" t="s">
        <v>123</v>
      </c>
      <c r="AK445" s="299">
        <v>32</v>
      </c>
      <c r="AL445" s="503" t="s">
        <v>81</v>
      </c>
      <c r="AM445" s="299" t="s">
        <v>1340</v>
      </c>
      <c r="AO445" s="299">
        <v>23</v>
      </c>
      <c r="AP445" s="299" t="s">
        <v>81</v>
      </c>
      <c r="AQ445" s="299" t="s">
        <v>1370</v>
      </c>
    </row>
    <row r="446" spans="1:43" ht="15" customHeight="1" x14ac:dyDescent="0.25">
      <c r="A446">
        <v>59</v>
      </c>
      <c r="B446" t="s">
        <v>97</v>
      </c>
      <c r="C446" t="s">
        <v>122</v>
      </c>
      <c r="E446" s="72">
        <v>24</v>
      </c>
      <c r="F446" t="s">
        <v>98</v>
      </c>
      <c r="G446" t="s">
        <v>123</v>
      </c>
      <c r="I446" s="171">
        <v>29</v>
      </c>
      <c r="J446" s="171" t="s">
        <v>98</v>
      </c>
      <c r="K446" s="171" t="s">
        <v>56</v>
      </c>
      <c r="M446" s="171" t="s">
        <v>694</v>
      </c>
      <c r="N446" s="171" t="s">
        <v>97</v>
      </c>
      <c r="O446" s="171" t="s">
        <v>79</v>
      </c>
      <c r="Q446" s="399">
        <v>40</v>
      </c>
      <c r="R446" s="396" t="s">
        <v>98</v>
      </c>
      <c r="S446" s="398" t="s">
        <v>56</v>
      </c>
      <c r="U446" s="171">
        <v>16</v>
      </c>
      <c r="V446" s="171" t="s">
        <v>97</v>
      </c>
      <c r="W446" s="171" t="s">
        <v>122</v>
      </c>
      <c r="Y446" s="171">
        <v>34</v>
      </c>
      <c r="Z446" s="460" t="s">
        <v>98</v>
      </c>
      <c r="AA446" s="171" t="s">
        <v>55</v>
      </c>
      <c r="AC446" s="505">
        <v>23</v>
      </c>
      <c r="AD446" s="505" t="s">
        <v>98</v>
      </c>
      <c r="AE446" s="505" t="s">
        <v>56</v>
      </c>
      <c r="AG446" s="171">
        <v>18</v>
      </c>
      <c r="AH446" s="171" t="s">
        <v>98</v>
      </c>
      <c r="AI446" s="171" t="s">
        <v>123</v>
      </c>
      <c r="AK446" s="299">
        <v>27</v>
      </c>
      <c r="AL446" s="503" t="s">
        <v>81</v>
      </c>
      <c r="AM446" s="299" t="s">
        <v>1340</v>
      </c>
      <c r="AO446" s="299">
        <v>24</v>
      </c>
      <c r="AP446" s="299" t="s">
        <v>81</v>
      </c>
      <c r="AQ446" s="299" t="s">
        <v>1370</v>
      </c>
    </row>
    <row r="447" spans="1:43" ht="15" customHeight="1" x14ac:dyDescent="0.25">
      <c r="A447">
        <v>33</v>
      </c>
      <c r="B447" t="s">
        <v>97</v>
      </c>
      <c r="C447" t="s">
        <v>122</v>
      </c>
      <c r="E447" s="72">
        <v>23</v>
      </c>
      <c r="F447" t="s">
        <v>98</v>
      </c>
      <c r="G447" t="s">
        <v>55</v>
      </c>
      <c r="I447" s="171">
        <v>31</v>
      </c>
      <c r="J447" s="171" t="s">
        <v>98</v>
      </c>
      <c r="K447" s="171" t="s">
        <v>56</v>
      </c>
      <c r="M447" s="171" t="s">
        <v>694</v>
      </c>
      <c r="N447" s="171" t="s">
        <v>97</v>
      </c>
      <c r="O447" s="171" t="s">
        <v>79</v>
      </c>
      <c r="Q447" s="399">
        <v>31</v>
      </c>
      <c r="R447" s="396" t="s">
        <v>98</v>
      </c>
      <c r="S447" s="398" t="s">
        <v>56</v>
      </c>
      <c r="U447" s="171">
        <v>57</v>
      </c>
      <c r="V447" s="171" t="s">
        <v>97</v>
      </c>
      <c r="W447" s="171" t="s">
        <v>122</v>
      </c>
      <c r="Y447" s="171">
        <v>19</v>
      </c>
      <c r="Z447" s="460" t="s">
        <v>98</v>
      </c>
      <c r="AA447" s="171" t="s">
        <v>55</v>
      </c>
      <c r="AC447" s="505">
        <v>32</v>
      </c>
      <c r="AD447" s="505" t="s">
        <v>98</v>
      </c>
      <c r="AE447" s="505" t="s">
        <v>56</v>
      </c>
      <c r="AG447" s="171">
        <v>20</v>
      </c>
      <c r="AH447" s="171" t="s">
        <v>98</v>
      </c>
      <c r="AI447" s="171" t="s">
        <v>123</v>
      </c>
      <c r="AK447" s="299">
        <v>24</v>
      </c>
      <c r="AL447" s="503" t="s">
        <v>81</v>
      </c>
      <c r="AM447" s="299" t="s">
        <v>1340</v>
      </c>
      <c r="AO447" s="299">
        <v>42</v>
      </c>
      <c r="AP447" s="299" t="s">
        <v>81</v>
      </c>
      <c r="AQ447" s="299" t="s">
        <v>1370</v>
      </c>
    </row>
    <row r="448" spans="1:43" ht="15" customHeight="1" x14ac:dyDescent="0.25">
      <c r="A448">
        <v>89</v>
      </c>
      <c r="B448" t="s">
        <v>97</v>
      </c>
      <c r="C448" t="s">
        <v>122</v>
      </c>
      <c r="E448" s="72">
        <v>23</v>
      </c>
      <c r="F448" t="s">
        <v>98</v>
      </c>
      <c r="G448" t="s">
        <v>55</v>
      </c>
      <c r="I448" s="171">
        <v>28</v>
      </c>
      <c r="J448" s="171" t="s">
        <v>98</v>
      </c>
      <c r="K448" s="171" t="s">
        <v>56</v>
      </c>
      <c r="M448" s="171" t="s">
        <v>695</v>
      </c>
      <c r="N448" s="171" t="s">
        <v>97</v>
      </c>
      <c r="O448" s="171" t="s">
        <v>79</v>
      </c>
      <c r="Q448" s="399">
        <v>36</v>
      </c>
      <c r="R448" s="396" t="s">
        <v>98</v>
      </c>
      <c r="S448" s="398" t="s">
        <v>56</v>
      </c>
      <c r="U448" s="171">
        <v>77</v>
      </c>
      <c r="V448" s="171" t="s">
        <v>97</v>
      </c>
      <c r="W448" s="171" t="s">
        <v>122</v>
      </c>
      <c r="Y448" s="171">
        <v>19</v>
      </c>
      <c r="Z448" s="460" t="s">
        <v>98</v>
      </c>
      <c r="AA448" s="171" t="s">
        <v>55</v>
      </c>
      <c r="AC448" s="505">
        <v>26</v>
      </c>
      <c r="AD448" s="505" t="s">
        <v>98</v>
      </c>
      <c r="AE448" s="505" t="s">
        <v>56</v>
      </c>
      <c r="AG448" s="171">
        <v>18</v>
      </c>
      <c r="AH448" s="171" t="s">
        <v>98</v>
      </c>
      <c r="AI448" s="171" t="s">
        <v>123</v>
      </c>
      <c r="AK448" s="299">
        <v>27</v>
      </c>
      <c r="AL448" s="503" t="s">
        <v>81</v>
      </c>
      <c r="AM448" s="299" t="s">
        <v>1340</v>
      </c>
      <c r="AO448" s="299">
        <v>38</v>
      </c>
      <c r="AP448" s="299" t="s">
        <v>81</v>
      </c>
      <c r="AQ448" s="299" t="s">
        <v>1370</v>
      </c>
    </row>
    <row r="449" spans="1:43" ht="15" customHeight="1" x14ac:dyDescent="0.25">
      <c r="A449">
        <v>36</v>
      </c>
      <c r="B449" t="s">
        <v>97</v>
      </c>
      <c r="C449" t="s">
        <v>122</v>
      </c>
      <c r="E449" s="72">
        <v>23</v>
      </c>
      <c r="F449" t="s">
        <v>98</v>
      </c>
      <c r="G449" t="s">
        <v>56</v>
      </c>
      <c r="I449" s="171">
        <v>18</v>
      </c>
      <c r="J449" s="171" t="s">
        <v>98</v>
      </c>
      <c r="K449" s="171" t="s">
        <v>56</v>
      </c>
      <c r="M449" s="171" t="s">
        <v>694</v>
      </c>
      <c r="N449" s="171" t="s">
        <v>97</v>
      </c>
      <c r="O449" s="171" t="s">
        <v>79</v>
      </c>
      <c r="Q449" s="399">
        <v>32</v>
      </c>
      <c r="R449" s="396" t="s">
        <v>98</v>
      </c>
      <c r="S449" s="398" t="s">
        <v>56</v>
      </c>
      <c r="U449" s="171">
        <v>76</v>
      </c>
      <c r="V449" s="171" t="s">
        <v>97</v>
      </c>
      <c r="W449" s="171" t="s">
        <v>122</v>
      </c>
      <c r="Y449" s="171">
        <v>36</v>
      </c>
      <c r="Z449" s="460" t="s">
        <v>98</v>
      </c>
      <c r="AA449" s="171" t="s">
        <v>55</v>
      </c>
      <c r="AC449" s="505">
        <v>22</v>
      </c>
      <c r="AD449" s="505" t="s">
        <v>98</v>
      </c>
      <c r="AE449" s="505" t="s">
        <v>56</v>
      </c>
      <c r="AG449" s="171">
        <v>76</v>
      </c>
      <c r="AH449" s="171" t="s">
        <v>98</v>
      </c>
      <c r="AI449" s="171" t="s">
        <v>123</v>
      </c>
      <c r="AK449" s="299">
        <v>33</v>
      </c>
      <c r="AL449" s="503" t="s">
        <v>81</v>
      </c>
      <c r="AM449" s="299" t="s">
        <v>1340</v>
      </c>
      <c r="AO449" s="299">
        <v>25</v>
      </c>
      <c r="AP449" s="299" t="s">
        <v>81</v>
      </c>
      <c r="AQ449" s="299" t="s">
        <v>1370</v>
      </c>
    </row>
    <row r="450" spans="1:43" ht="15" customHeight="1" x14ac:dyDescent="0.25">
      <c r="A450">
        <v>42</v>
      </c>
      <c r="B450" t="s">
        <v>97</v>
      </c>
      <c r="C450" t="s">
        <v>122</v>
      </c>
      <c r="E450" s="72">
        <v>23</v>
      </c>
      <c r="F450" t="s">
        <v>98</v>
      </c>
      <c r="G450" t="s">
        <v>56</v>
      </c>
      <c r="I450" s="171">
        <v>28</v>
      </c>
      <c r="J450" s="171" t="s">
        <v>98</v>
      </c>
      <c r="K450" s="171" t="s">
        <v>56</v>
      </c>
      <c r="M450" s="171" t="s">
        <v>694</v>
      </c>
      <c r="N450" s="171" t="s">
        <v>97</v>
      </c>
      <c r="O450" s="171" t="s">
        <v>79</v>
      </c>
      <c r="Q450" s="399">
        <v>27</v>
      </c>
      <c r="R450" s="396" t="s">
        <v>98</v>
      </c>
      <c r="S450" s="398" t="s">
        <v>56</v>
      </c>
      <c r="U450" s="171">
        <v>71</v>
      </c>
      <c r="V450" s="171" t="s">
        <v>97</v>
      </c>
      <c r="W450" s="171" t="s">
        <v>122</v>
      </c>
      <c r="Y450" s="171">
        <v>32</v>
      </c>
      <c r="Z450" s="460" t="s">
        <v>98</v>
      </c>
      <c r="AA450" s="171" t="s">
        <v>55</v>
      </c>
      <c r="AC450" s="505">
        <v>23</v>
      </c>
      <c r="AD450" s="505" t="s">
        <v>98</v>
      </c>
      <c r="AE450" s="505" t="s">
        <v>56</v>
      </c>
      <c r="AG450" s="171">
        <v>52</v>
      </c>
      <c r="AH450" s="171" t="s">
        <v>98</v>
      </c>
      <c r="AI450" s="171" t="s">
        <v>123</v>
      </c>
      <c r="AK450" s="299">
        <v>34</v>
      </c>
      <c r="AL450" s="503" t="s">
        <v>81</v>
      </c>
      <c r="AM450" s="299" t="s">
        <v>1340</v>
      </c>
      <c r="AO450" s="299">
        <v>20</v>
      </c>
      <c r="AP450" s="299" t="s">
        <v>81</v>
      </c>
      <c r="AQ450" s="299" t="s">
        <v>1370</v>
      </c>
    </row>
    <row r="451" spans="1:43" ht="15" customHeight="1" x14ac:dyDescent="0.25">
      <c r="A451">
        <v>52</v>
      </c>
      <c r="B451" t="s">
        <v>97</v>
      </c>
      <c r="C451" t="s">
        <v>122</v>
      </c>
      <c r="E451" s="72">
        <v>23</v>
      </c>
      <c r="F451" t="s">
        <v>98</v>
      </c>
      <c r="G451" t="s">
        <v>38</v>
      </c>
      <c r="I451" s="171">
        <v>32</v>
      </c>
      <c r="J451" s="171" t="s">
        <v>98</v>
      </c>
      <c r="K451" s="171" t="s">
        <v>56</v>
      </c>
      <c r="M451" s="171" t="s">
        <v>694</v>
      </c>
      <c r="N451" s="171" t="s">
        <v>98</v>
      </c>
      <c r="O451" s="171" t="s">
        <v>79</v>
      </c>
      <c r="Q451" s="399">
        <v>31</v>
      </c>
      <c r="R451" s="396" t="s">
        <v>98</v>
      </c>
      <c r="S451" s="398" t="s">
        <v>56</v>
      </c>
      <c r="U451" s="171">
        <v>57</v>
      </c>
      <c r="V451" s="171" t="s">
        <v>97</v>
      </c>
      <c r="W451" s="171" t="s">
        <v>122</v>
      </c>
      <c r="Y451" s="171">
        <v>25</v>
      </c>
      <c r="Z451" s="460" t="s">
        <v>98</v>
      </c>
      <c r="AA451" s="171" t="s">
        <v>55</v>
      </c>
      <c r="AC451" s="505">
        <v>34</v>
      </c>
      <c r="AD451" s="505" t="s">
        <v>98</v>
      </c>
      <c r="AE451" s="505" t="s">
        <v>56</v>
      </c>
      <c r="AG451" s="171">
        <v>71</v>
      </c>
      <c r="AH451" s="171" t="s">
        <v>98</v>
      </c>
      <c r="AI451" s="171" t="s">
        <v>123</v>
      </c>
      <c r="AK451" s="299">
        <v>30</v>
      </c>
      <c r="AL451" s="503" t="s">
        <v>81</v>
      </c>
      <c r="AM451" s="299" t="s">
        <v>1340</v>
      </c>
      <c r="AO451" s="299">
        <v>19</v>
      </c>
      <c r="AP451" s="299" t="s">
        <v>81</v>
      </c>
      <c r="AQ451" s="299" t="s">
        <v>1370</v>
      </c>
    </row>
    <row r="452" spans="1:43" ht="15" customHeight="1" x14ac:dyDescent="0.25">
      <c r="A452">
        <v>75</v>
      </c>
      <c r="B452" t="s">
        <v>97</v>
      </c>
      <c r="C452" t="s">
        <v>122</v>
      </c>
      <c r="E452" s="72">
        <v>23</v>
      </c>
      <c r="F452" t="s">
        <v>98</v>
      </c>
      <c r="G452" t="s">
        <v>38</v>
      </c>
      <c r="I452" s="171">
        <v>29</v>
      </c>
      <c r="J452" s="171" t="s">
        <v>98</v>
      </c>
      <c r="K452" s="171" t="s">
        <v>56</v>
      </c>
      <c r="M452" s="171" t="s">
        <v>684</v>
      </c>
      <c r="N452" s="171" t="s">
        <v>98</v>
      </c>
      <c r="O452" s="171" t="s">
        <v>79</v>
      </c>
      <c r="Q452" s="399">
        <v>35</v>
      </c>
      <c r="R452" s="396" t="s">
        <v>98</v>
      </c>
      <c r="S452" s="398" t="s">
        <v>56</v>
      </c>
      <c r="U452" s="171">
        <v>67</v>
      </c>
      <c r="V452" s="171" t="s">
        <v>97</v>
      </c>
      <c r="W452" s="171" t="s">
        <v>122</v>
      </c>
      <c r="Y452" s="171">
        <v>31</v>
      </c>
      <c r="Z452" s="460" t="s">
        <v>98</v>
      </c>
      <c r="AA452" s="171" t="s">
        <v>55</v>
      </c>
      <c r="AC452" s="505">
        <v>36</v>
      </c>
      <c r="AD452" s="505" t="s">
        <v>98</v>
      </c>
      <c r="AE452" s="505" t="s">
        <v>56</v>
      </c>
      <c r="AG452" s="171">
        <v>77</v>
      </c>
      <c r="AH452" s="171" t="s">
        <v>98</v>
      </c>
      <c r="AI452" s="171" t="s">
        <v>123</v>
      </c>
      <c r="AK452" s="299">
        <v>26</v>
      </c>
      <c r="AL452" s="503" t="s">
        <v>81</v>
      </c>
      <c r="AM452" s="299" t="s">
        <v>1340</v>
      </c>
      <c r="AO452" s="299">
        <v>23</v>
      </c>
      <c r="AP452" s="299" t="s">
        <v>81</v>
      </c>
      <c r="AQ452" s="299" t="s">
        <v>1370</v>
      </c>
    </row>
    <row r="453" spans="1:43" ht="15" customHeight="1" x14ac:dyDescent="0.25">
      <c r="A453">
        <v>73</v>
      </c>
      <c r="B453" t="s">
        <v>97</v>
      </c>
      <c r="C453" t="s">
        <v>122</v>
      </c>
      <c r="E453" s="72">
        <v>23</v>
      </c>
      <c r="F453" t="s">
        <v>98</v>
      </c>
      <c r="G453" t="s">
        <v>38</v>
      </c>
      <c r="I453" s="171">
        <v>32</v>
      </c>
      <c r="J453" s="171" t="s">
        <v>98</v>
      </c>
      <c r="K453" s="171" t="s">
        <v>56</v>
      </c>
      <c r="M453" s="171" t="s">
        <v>695</v>
      </c>
      <c r="N453" s="171" t="s">
        <v>98</v>
      </c>
      <c r="O453" s="171" t="s">
        <v>79</v>
      </c>
      <c r="Q453" s="399">
        <v>25</v>
      </c>
      <c r="R453" s="396" t="s">
        <v>98</v>
      </c>
      <c r="S453" s="398" t="s">
        <v>56</v>
      </c>
      <c r="U453" s="171">
        <v>20</v>
      </c>
      <c r="V453" s="171" t="s">
        <v>97</v>
      </c>
      <c r="W453" s="171" t="s">
        <v>122</v>
      </c>
      <c r="Y453" s="171">
        <v>40</v>
      </c>
      <c r="Z453" s="460" t="s">
        <v>98</v>
      </c>
      <c r="AA453" s="171" t="s">
        <v>55</v>
      </c>
      <c r="AC453" s="505">
        <v>20</v>
      </c>
      <c r="AD453" s="505" t="s">
        <v>98</v>
      </c>
      <c r="AE453" s="505" t="s">
        <v>56</v>
      </c>
      <c r="AG453" s="171">
        <v>46</v>
      </c>
      <c r="AH453" s="171" t="s">
        <v>98</v>
      </c>
      <c r="AI453" s="171" t="s">
        <v>123</v>
      </c>
      <c r="AK453" s="299">
        <v>32</v>
      </c>
      <c r="AL453" s="503" t="s">
        <v>81</v>
      </c>
      <c r="AM453" s="299" t="s">
        <v>1340</v>
      </c>
      <c r="AO453" s="299">
        <v>22</v>
      </c>
      <c r="AP453" s="299" t="s">
        <v>81</v>
      </c>
      <c r="AQ453" s="299" t="s">
        <v>1370</v>
      </c>
    </row>
    <row r="454" spans="1:43" ht="15" customHeight="1" x14ac:dyDescent="0.25">
      <c r="A454">
        <v>25</v>
      </c>
      <c r="B454" t="s">
        <v>97</v>
      </c>
      <c r="C454" t="s">
        <v>122</v>
      </c>
      <c r="E454" s="72">
        <v>23</v>
      </c>
      <c r="F454" t="s">
        <v>98</v>
      </c>
      <c r="G454" t="s">
        <v>123</v>
      </c>
      <c r="I454" s="171">
        <v>34</v>
      </c>
      <c r="J454" s="171" t="s">
        <v>98</v>
      </c>
      <c r="K454" s="171" t="s">
        <v>56</v>
      </c>
      <c r="M454" s="171" t="s">
        <v>934</v>
      </c>
      <c r="N454" s="171" t="s">
        <v>98</v>
      </c>
      <c r="O454" s="171" t="s">
        <v>79</v>
      </c>
      <c r="Q454" s="399">
        <v>30</v>
      </c>
      <c r="R454" s="396" t="s">
        <v>98</v>
      </c>
      <c r="S454" s="398" t="s">
        <v>56</v>
      </c>
      <c r="U454" s="171">
        <v>67</v>
      </c>
      <c r="V454" s="171" t="s">
        <v>97</v>
      </c>
      <c r="W454" s="171" t="s">
        <v>122</v>
      </c>
      <c r="Y454" s="171">
        <v>22</v>
      </c>
      <c r="Z454" s="460" t="s">
        <v>98</v>
      </c>
      <c r="AA454" s="171" t="s">
        <v>55</v>
      </c>
      <c r="AC454" s="505">
        <v>20</v>
      </c>
      <c r="AD454" s="505" t="s">
        <v>98</v>
      </c>
      <c r="AE454" s="505" t="s">
        <v>56</v>
      </c>
      <c r="AG454" s="171">
        <v>23</v>
      </c>
      <c r="AH454" s="171" t="s">
        <v>98</v>
      </c>
      <c r="AI454" s="171" t="s">
        <v>123</v>
      </c>
      <c r="AK454" s="299">
        <v>21</v>
      </c>
      <c r="AL454" s="503" t="s">
        <v>81</v>
      </c>
      <c r="AM454" s="299" t="s">
        <v>1340</v>
      </c>
      <c r="AO454" s="299">
        <v>36</v>
      </c>
      <c r="AP454" s="299" t="s">
        <v>81</v>
      </c>
      <c r="AQ454" s="299" t="s">
        <v>1370</v>
      </c>
    </row>
    <row r="455" spans="1:43" ht="15" customHeight="1" x14ac:dyDescent="0.25">
      <c r="A455">
        <v>72</v>
      </c>
      <c r="B455" t="s">
        <v>97</v>
      </c>
      <c r="C455" t="s">
        <v>122</v>
      </c>
      <c r="E455" s="72">
        <v>23</v>
      </c>
      <c r="F455" t="s">
        <v>98</v>
      </c>
      <c r="G455" t="s">
        <v>123</v>
      </c>
      <c r="I455" s="171">
        <v>18</v>
      </c>
      <c r="J455" s="171" t="s">
        <v>98</v>
      </c>
      <c r="K455" s="171" t="s">
        <v>56</v>
      </c>
      <c r="M455" s="171" t="s">
        <v>694</v>
      </c>
      <c r="N455" s="171" t="s">
        <v>97</v>
      </c>
      <c r="O455" s="171" t="s">
        <v>79</v>
      </c>
      <c r="Q455" s="399">
        <v>33</v>
      </c>
      <c r="R455" s="396" t="s">
        <v>98</v>
      </c>
      <c r="S455" s="398" t="s">
        <v>56</v>
      </c>
      <c r="U455" s="171">
        <v>38</v>
      </c>
      <c r="V455" s="171" t="s">
        <v>97</v>
      </c>
      <c r="W455" s="171" t="s">
        <v>122</v>
      </c>
      <c r="Y455" s="171">
        <v>27</v>
      </c>
      <c r="Z455" s="460" t="s">
        <v>98</v>
      </c>
      <c r="AA455" s="171" t="s">
        <v>55</v>
      </c>
      <c r="AC455" s="505">
        <v>40</v>
      </c>
      <c r="AD455" s="505" t="s">
        <v>98</v>
      </c>
      <c r="AE455" s="505" t="s">
        <v>56</v>
      </c>
      <c r="AG455" s="171">
        <v>17</v>
      </c>
      <c r="AH455" s="171" t="s">
        <v>98</v>
      </c>
      <c r="AI455" s="171" t="s">
        <v>123</v>
      </c>
      <c r="AK455" s="299">
        <v>36</v>
      </c>
      <c r="AL455" s="503" t="s">
        <v>81</v>
      </c>
      <c r="AM455" s="299" t="s">
        <v>1340</v>
      </c>
      <c r="AO455" s="299">
        <v>23</v>
      </c>
      <c r="AP455" s="299" t="s">
        <v>81</v>
      </c>
      <c r="AQ455" s="299" t="s">
        <v>1370</v>
      </c>
    </row>
    <row r="456" spans="1:43" ht="15" customHeight="1" x14ac:dyDescent="0.25">
      <c r="A456">
        <v>13</v>
      </c>
      <c r="B456" t="s">
        <v>97</v>
      </c>
      <c r="C456" t="s">
        <v>122</v>
      </c>
      <c r="E456" s="72">
        <v>22</v>
      </c>
      <c r="F456" t="s">
        <v>98</v>
      </c>
      <c r="G456" t="s">
        <v>55</v>
      </c>
      <c r="I456" s="171">
        <v>28</v>
      </c>
      <c r="J456" s="171" t="s">
        <v>98</v>
      </c>
      <c r="K456" s="171" t="s">
        <v>56</v>
      </c>
      <c r="M456" s="171" t="s">
        <v>696</v>
      </c>
      <c r="N456" s="171" t="s">
        <v>98</v>
      </c>
      <c r="O456" s="171" t="s">
        <v>79</v>
      </c>
      <c r="Q456" s="399">
        <v>36</v>
      </c>
      <c r="R456" s="396" t="s">
        <v>98</v>
      </c>
      <c r="S456" s="398" t="s">
        <v>56</v>
      </c>
      <c r="U456" s="171">
        <v>90</v>
      </c>
      <c r="V456" s="171" t="s">
        <v>97</v>
      </c>
      <c r="W456" s="171" t="s">
        <v>122</v>
      </c>
      <c r="Y456" s="171">
        <v>35</v>
      </c>
      <c r="Z456" s="460" t="s">
        <v>98</v>
      </c>
      <c r="AA456" s="171" t="s">
        <v>55</v>
      </c>
      <c r="AC456" s="505">
        <v>30</v>
      </c>
      <c r="AD456" s="505" t="s">
        <v>98</v>
      </c>
      <c r="AE456" s="505" t="s">
        <v>56</v>
      </c>
      <c r="AG456" s="171">
        <v>77</v>
      </c>
      <c r="AH456" s="171" t="s">
        <v>98</v>
      </c>
      <c r="AI456" s="171" t="s">
        <v>123</v>
      </c>
      <c r="AK456" s="299">
        <v>43</v>
      </c>
      <c r="AL456" s="503" t="s">
        <v>81</v>
      </c>
      <c r="AM456" s="299" t="s">
        <v>1340</v>
      </c>
      <c r="AO456" s="299">
        <v>34</v>
      </c>
      <c r="AP456" s="299" t="s">
        <v>81</v>
      </c>
      <c r="AQ456" s="299" t="s">
        <v>1370</v>
      </c>
    </row>
    <row r="457" spans="1:43" ht="15" customHeight="1" x14ac:dyDescent="0.25">
      <c r="A457">
        <v>24</v>
      </c>
      <c r="B457" t="s">
        <v>97</v>
      </c>
      <c r="C457" t="s">
        <v>122</v>
      </c>
      <c r="E457" s="72">
        <v>22</v>
      </c>
      <c r="F457" t="s">
        <v>98</v>
      </c>
      <c r="G457" t="s">
        <v>55</v>
      </c>
      <c r="I457" s="171">
        <v>22</v>
      </c>
      <c r="J457" s="171" t="s">
        <v>98</v>
      </c>
      <c r="K457" s="171" t="s">
        <v>56</v>
      </c>
      <c r="M457" s="171" t="s">
        <v>694</v>
      </c>
      <c r="N457" s="171" t="s">
        <v>97</v>
      </c>
      <c r="O457" s="171" t="s">
        <v>79</v>
      </c>
      <c r="Q457" s="399">
        <v>18</v>
      </c>
      <c r="R457" s="396" t="s">
        <v>98</v>
      </c>
      <c r="S457" s="398" t="s">
        <v>56</v>
      </c>
      <c r="U457" s="171">
        <v>71</v>
      </c>
      <c r="V457" s="171" t="s">
        <v>97</v>
      </c>
      <c r="W457" s="171" t="s">
        <v>122</v>
      </c>
      <c r="Y457" s="171">
        <v>25</v>
      </c>
      <c r="Z457" s="460" t="s">
        <v>98</v>
      </c>
      <c r="AA457" s="171" t="s">
        <v>55</v>
      </c>
      <c r="AC457" s="505">
        <v>27</v>
      </c>
      <c r="AD457" s="505" t="s">
        <v>98</v>
      </c>
      <c r="AE457" s="505" t="s">
        <v>56</v>
      </c>
      <c r="AG457" s="171">
        <v>22</v>
      </c>
      <c r="AH457" s="171" t="s">
        <v>98</v>
      </c>
      <c r="AI457" s="171" t="s">
        <v>123</v>
      </c>
      <c r="AK457" s="299">
        <v>21</v>
      </c>
      <c r="AL457" s="503" t="s">
        <v>81</v>
      </c>
      <c r="AM457" s="299" t="s">
        <v>1340</v>
      </c>
      <c r="AO457" s="299">
        <v>18</v>
      </c>
      <c r="AP457" s="299" t="s">
        <v>81</v>
      </c>
      <c r="AQ457" s="299" t="s">
        <v>1370</v>
      </c>
    </row>
    <row r="458" spans="1:43" ht="15" customHeight="1" x14ac:dyDescent="0.25">
      <c r="A458">
        <v>37</v>
      </c>
      <c r="B458" t="s">
        <v>97</v>
      </c>
      <c r="C458" t="s">
        <v>122</v>
      </c>
      <c r="E458" s="72">
        <v>22</v>
      </c>
      <c r="F458" t="s">
        <v>98</v>
      </c>
      <c r="G458" t="s">
        <v>55</v>
      </c>
      <c r="I458" s="171">
        <v>35</v>
      </c>
      <c r="J458" s="171" t="s">
        <v>98</v>
      </c>
      <c r="K458" s="171" t="s">
        <v>56</v>
      </c>
      <c r="M458" s="171" t="s">
        <v>694</v>
      </c>
      <c r="N458" s="171" t="s">
        <v>97</v>
      </c>
      <c r="O458" s="171" t="s">
        <v>79</v>
      </c>
      <c r="Q458" s="399">
        <v>19</v>
      </c>
      <c r="R458" s="396" t="s">
        <v>98</v>
      </c>
      <c r="S458" s="398" t="s">
        <v>56</v>
      </c>
      <c r="U458" s="171">
        <v>71</v>
      </c>
      <c r="V458" s="171" t="s">
        <v>97</v>
      </c>
      <c r="W458" s="171" t="s">
        <v>122</v>
      </c>
      <c r="Y458" s="171">
        <v>40</v>
      </c>
      <c r="Z458" s="460" t="s">
        <v>98</v>
      </c>
      <c r="AA458" s="171" t="s">
        <v>55</v>
      </c>
      <c r="AC458" s="505">
        <v>30</v>
      </c>
      <c r="AD458" s="505" t="s">
        <v>98</v>
      </c>
      <c r="AE458" s="505" t="s">
        <v>56</v>
      </c>
      <c r="AG458" s="171">
        <v>18</v>
      </c>
      <c r="AH458" s="171" t="s">
        <v>98</v>
      </c>
      <c r="AI458" s="171" t="s">
        <v>123</v>
      </c>
      <c r="AK458" s="299">
        <v>34</v>
      </c>
      <c r="AL458" s="503" t="s">
        <v>81</v>
      </c>
      <c r="AM458" s="299" t="s">
        <v>1340</v>
      </c>
      <c r="AO458" s="299">
        <v>29</v>
      </c>
      <c r="AP458" s="299" t="s">
        <v>81</v>
      </c>
      <c r="AQ458" s="299" t="s">
        <v>1370</v>
      </c>
    </row>
    <row r="459" spans="1:43" ht="15" customHeight="1" x14ac:dyDescent="0.25">
      <c r="A459">
        <v>76</v>
      </c>
      <c r="B459" t="s">
        <v>97</v>
      </c>
      <c r="C459" t="s">
        <v>122</v>
      </c>
      <c r="E459" s="72">
        <v>22</v>
      </c>
      <c r="F459" t="s">
        <v>98</v>
      </c>
      <c r="G459" t="s">
        <v>55</v>
      </c>
      <c r="I459" s="171">
        <v>33</v>
      </c>
      <c r="J459" s="171" t="s">
        <v>98</v>
      </c>
      <c r="K459" s="171" t="s">
        <v>56</v>
      </c>
      <c r="M459" s="171" t="s">
        <v>695</v>
      </c>
      <c r="N459" s="171" t="s">
        <v>97</v>
      </c>
      <c r="O459" s="171" t="s">
        <v>79</v>
      </c>
      <c r="Q459" s="399">
        <v>37</v>
      </c>
      <c r="R459" s="396" t="s">
        <v>98</v>
      </c>
      <c r="S459" s="398" t="s">
        <v>56</v>
      </c>
      <c r="U459" s="171">
        <v>61</v>
      </c>
      <c r="V459" s="171" t="s">
        <v>97</v>
      </c>
      <c r="W459" s="171" t="s">
        <v>122</v>
      </c>
      <c r="Y459" s="171">
        <v>44</v>
      </c>
      <c r="Z459" s="460" t="s">
        <v>98</v>
      </c>
      <c r="AA459" s="171" t="s">
        <v>55</v>
      </c>
      <c r="AC459" s="505">
        <v>38</v>
      </c>
      <c r="AD459" s="505" t="s">
        <v>98</v>
      </c>
      <c r="AE459" s="505" t="s">
        <v>56</v>
      </c>
      <c r="AG459" s="171">
        <v>35</v>
      </c>
      <c r="AH459" s="171" t="s">
        <v>98</v>
      </c>
      <c r="AI459" s="171" t="s">
        <v>123</v>
      </c>
      <c r="AK459" s="299">
        <v>39</v>
      </c>
      <c r="AL459" s="503" t="s">
        <v>81</v>
      </c>
      <c r="AM459" s="299" t="s">
        <v>1340</v>
      </c>
      <c r="AO459" s="299">
        <v>26</v>
      </c>
      <c r="AP459" s="299" t="s">
        <v>81</v>
      </c>
      <c r="AQ459" s="299" t="s">
        <v>1370</v>
      </c>
    </row>
    <row r="460" spans="1:43" ht="15" customHeight="1" x14ac:dyDescent="0.25">
      <c r="A460">
        <v>64</v>
      </c>
      <c r="B460" t="s">
        <v>97</v>
      </c>
      <c r="C460" t="s">
        <v>122</v>
      </c>
      <c r="E460" s="72">
        <v>22</v>
      </c>
      <c r="F460" t="s">
        <v>98</v>
      </c>
      <c r="G460" t="s">
        <v>55</v>
      </c>
      <c r="I460" s="171">
        <v>38</v>
      </c>
      <c r="J460" s="171" t="s">
        <v>98</v>
      </c>
      <c r="K460" s="171" t="s">
        <v>56</v>
      </c>
      <c r="M460" s="171" t="s">
        <v>694</v>
      </c>
      <c r="N460" s="171" t="s">
        <v>98</v>
      </c>
      <c r="O460" s="171" t="s">
        <v>79</v>
      </c>
      <c r="Q460" s="399">
        <v>34</v>
      </c>
      <c r="R460" s="396" t="s">
        <v>98</v>
      </c>
      <c r="S460" s="398" t="s">
        <v>56</v>
      </c>
      <c r="U460" s="171">
        <v>85</v>
      </c>
      <c r="V460" s="171" t="s">
        <v>97</v>
      </c>
      <c r="W460" s="171" t="s">
        <v>122</v>
      </c>
      <c r="Y460" s="171">
        <v>43</v>
      </c>
      <c r="Z460" s="460" t="s">
        <v>98</v>
      </c>
      <c r="AA460" s="171" t="s">
        <v>55</v>
      </c>
      <c r="AC460" s="505">
        <v>30</v>
      </c>
      <c r="AD460" s="505" t="s">
        <v>98</v>
      </c>
      <c r="AE460" s="505" t="s">
        <v>56</v>
      </c>
      <c r="AG460" s="171">
        <v>68</v>
      </c>
      <c r="AH460" s="171" t="s">
        <v>98</v>
      </c>
      <c r="AI460" s="171" t="s">
        <v>123</v>
      </c>
      <c r="AK460" s="299">
        <v>26</v>
      </c>
      <c r="AL460" s="503" t="s">
        <v>81</v>
      </c>
      <c r="AM460" s="299" t="s">
        <v>1340</v>
      </c>
      <c r="AO460" s="299" t="s">
        <v>1350</v>
      </c>
      <c r="AP460" s="503" t="s">
        <v>82</v>
      </c>
      <c r="AQ460" s="299" t="s">
        <v>79</v>
      </c>
    </row>
    <row r="461" spans="1:43" ht="15" customHeight="1" x14ac:dyDescent="0.25">
      <c r="A461">
        <v>45</v>
      </c>
      <c r="B461" t="s">
        <v>97</v>
      </c>
      <c r="C461" t="s">
        <v>122</v>
      </c>
      <c r="E461" s="72">
        <v>22</v>
      </c>
      <c r="F461" t="s">
        <v>98</v>
      </c>
      <c r="G461" t="s">
        <v>56</v>
      </c>
      <c r="I461" s="171">
        <v>25</v>
      </c>
      <c r="J461" s="171" t="s">
        <v>98</v>
      </c>
      <c r="K461" s="171" t="s">
        <v>56</v>
      </c>
      <c r="M461" s="171" t="s">
        <v>684</v>
      </c>
      <c r="N461" s="171" t="s">
        <v>97</v>
      </c>
      <c r="O461" s="171" t="s">
        <v>79</v>
      </c>
      <c r="Q461" s="399">
        <v>20</v>
      </c>
      <c r="R461" s="396" t="s">
        <v>98</v>
      </c>
      <c r="S461" s="398" t="s">
        <v>56</v>
      </c>
      <c r="U461" s="171">
        <v>85</v>
      </c>
      <c r="V461" s="171" t="s">
        <v>97</v>
      </c>
      <c r="W461" s="171" t="s">
        <v>122</v>
      </c>
      <c r="Y461" s="171">
        <v>36</v>
      </c>
      <c r="Z461" s="460" t="s">
        <v>98</v>
      </c>
      <c r="AA461" s="171" t="s">
        <v>55</v>
      </c>
      <c r="AC461" s="505">
        <v>17</v>
      </c>
      <c r="AD461" s="505" t="s">
        <v>98</v>
      </c>
      <c r="AE461" s="505" t="s">
        <v>56</v>
      </c>
      <c r="AG461" s="171">
        <v>76</v>
      </c>
      <c r="AH461" s="171" t="s">
        <v>98</v>
      </c>
      <c r="AI461" s="171" t="s">
        <v>123</v>
      </c>
      <c r="AK461" s="299">
        <v>43</v>
      </c>
      <c r="AL461" s="503" t="s">
        <v>81</v>
      </c>
      <c r="AM461" s="299" t="s">
        <v>1340</v>
      </c>
      <c r="AO461" s="299" t="s">
        <v>1350</v>
      </c>
      <c r="AP461" s="503" t="s">
        <v>81</v>
      </c>
      <c r="AQ461" s="299" t="s">
        <v>79</v>
      </c>
    </row>
    <row r="462" spans="1:43" ht="15" customHeight="1" x14ac:dyDescent="0.25">
      <c r="A462">
        <v>22</v>
      </c>
      <c r="B462" t="s">
        <v>97</v>
      </c>
      <c r="C462" t="s">
        <v>122</v>
      </c>
      <c r="E462" s="72">
        <v>22</v>
      </c>
      <c r="F462" t="s">
        <v>98</v>
      </c>
      <c r="G462" t="s">
        <v>56</v>
      </c>
      <c r="I462" s="171">
        <v>31</v>
      </c>
      <c r="J462" s="171" t="s">
        <v>98</v>
      </c>
      <c r="K462" s="171" t="s">
        <v>56</v>
      </c>
      <c r="M462" s="171" t="s">
        <v>694</v>
      </c>
      <c r="N462" s="171" t="s">
        <v>97</v>
      </c>
      <c r="O462" s="171" t="s">
        <v>79</v>
      </c>
      <c r="Q462" s="399">
        <v>25</v>
      </c>
      <c r="R462" s="396" t="s">
        <v>98</v>
      </c>
      <c r="S462" s="398" t="s">
        <v>56</v>
      </c>
      <c r="U462" s="171">
        <v>60</v>
      </c>
      <c r="V462" s="171" t="s">
        <v>97</v>
      </c>
      <c r="W462" s="171" t="s">
        <v>122</v>
      </c>
      <c r="Y462" s="171">
        <v>27</v>
      </c>
      <c r="Z462" s="460" t="s">
        <v>98</v>
      </c>
      <c r="AA462" s="171" t="s">
        <v>55</v>
      </c>
      <c r="AC462" s="505">
        <v>16</v>
      </c>
      <c r="AD462" s="505" t="s">
        <v>98</v>
      </c>
      <c r="AE462" s="505" t="s">
        <v>56</v>
      </c>
      <c r="AG462" s="171">
        <v>62</v>
      </c>
      <c r="AH462" s="171" t="s">
        <v>98</v>
      </c>
      <c r="AI462" s="171" t="s">
        <v>123</v>
      </c>
      <c r="AK462" s="299">
        <v>24</v>
      </c>
      <c r="AL462" s="503" t="s">
        <v>81</v>
      </c>
      <c r="AM462" s="299" t="s">
        <v>1340</v>
      </c>
      <c r="AO462" s="299" t="s">
        <v>1350</v>
      </c>
      <c r="AP462" s="503" t="s">
        <v>82</v>
      </c>
      <c r="AQ462" s="299" t="s">
        <v>79</v>
      </c>
    </row>
    <row r="463" spans="1:43" ht="15" customHeight="1" x14ac:dyDescent="0.25">
      <c r="A463">
        <v>60</v>
      </c>
      <c r="B463" t="s">
        <v>97</v>
      </c>
      <c r="C463" t="s">
        <v>122</v>
      </c>
      <c r="E463" s="72">
        <v>22</v>
      </c>
      <c r="F463" t="s">
        <v>98</v>
      </c>
      <c r="G463" t="s">
        <v>56</v>
      </c>
      <c r="I463" s="171">
        <v>26</v>
      </c>
      <c r="J463" s="171" t="s">
        <v>98</v>
      </c>
      <c r="K463" s="171" t="s">
        <v>56</v>
      </c>
      <c r="M463" s="171" t="s">
        <v>694</v>
      </c>
      <c r="N463" s="171" t="s">
        <v>98</v>
      </c>
      <c r="O463" s="171" t="s">
        <v>79</v>
      </c>
      <c r="Q463" s="399">
        <v>33</v>
      </c>
      <c r="R463" s="396" t="s">
        <v>98</v>
      </c>
      <c r="S463" s="398" t="s">
        <v>56</v>
      </c>
      <c r="U463" s="171">
        <v>20</v>
      </c>
      <c r="V463" s="171" t="s">
        <v>97</v>
      </c>
      <c r="W463" s="171" t="s">
        <v>122</v>
      </c>
      <c r="Y463" s="171">
        <v>29</v>
      </c>
      <c r="Z463" s="460" t="s">
        <v>98</v>
      </c>
      <c r="AA463" s="171" t="s">
        <v>55</v>
      </c>
      <c r="AC463" s="505">
        <v>33</v>
      </c>
      <c r="AD463" s="505" t="s">
        <v>98</v>
      </c>
      <c r="AE463" s="505" t="s">
        <v>56</v>
      </c>
      <c r="AG463" s="171">
        <v>87</v>
      </c>
      <c r="AH463" s="171" t="s">
        <v>98</v>
      </c>
      <c r="AI463" s="171" t="s">
        <v>123</v>
      </c>
      <c r="AK463" s="299">
        <v>33</v>
      </c>
      <c r="AL463" s="503" t="s">
        <v>81</v>
      </c>
      <c r="AM463" s="299" t="s">
        <v>1340</v>
      </c>
      <c r="AO463" s="299" t="s">
        <v>1351</v>
      </c>
      <c r="AP463" s="503" t="s">
        <v>82</v>
      </c>
      <c r="AQ463" s="299" t="s">
        <v>79</v>
      </c>
    </row>
    <row r="464" spans="1:43" ht="15" customHeight="1" x14ac:dyDescent="0.25">
      <c r="A464">
        <v>39</v>
      </c>
      <c r="B464" t="s">
        <v>97</v>
      </c>
      <c r="C464" t="s">
        <v>122</v>
      </c>
      <c r="E464" s="72">
        <v>22</v>
      </c>
      <c r="F464" t="s">
        <v>98</v>
      </c>
      <c r="G464" t="s">
        <v>56</v>
      </c>
      <c r="I464" s="171">
        <v>23</v>
      </c>
      <c r="J464" s="171" t="s">
        <v>98</v>
      </c>
      <c r="K464" s="171" t="s">
        <v>56</v>
      </c>
      <c r="M464" s="171" t="s">
        <v>694</v>
      </c>
      <c r="N464" s="171" t="s">
        <v>98</v>
      </c>
      <c r="O464" s="171" t="s">
        <v>79</v>
      </c>
      <c r="Q464" s="399">
        <v>32</v>
      </c>
      <c r="R464" s="396" t="s">
        <v>98</v>
      </c>
      <c r="S464" s="398" t="s">
        <v>56</v>
      </c>
      <c r="U464" s="171">
        <v>58</v>
      </c>
      <c r="V464" s="171" t="s">
        <v>97</v>
      </c>
      <c r="W464" s="171" t="s">
        <v>122</v>
      </c>
      <c r="Y464" s="171">
        <v>29</v>
      </c>
      <c r="Z464" s="460" t="s">
        <v>98</v>
      </c>
      <c r="AA464" s="171" t="s">
        <v>55</v>
      </c>
      <c r="AC464" s="505">
        <v>27</v>
      </c>
      <c r="AD464" s="505" t="s">
        <v>98</v>
      </c>
      <c r="AE464" s="505" t="s">
        <v>56</v>
      </c>
      <c r="AG464" s="171">
        <v>22</v>
      </c>
      <c r="AH464" s="171" t="s">
        <v>98</v>
      </c>
      <c r="AI464" s="171" t="s">
        <v>123</v>
      </c>
      <c r="AK464" s="299">
        <v>18</v>
      </c>
      <c r="AL464" s="503" t="s">
        <v>81</v>
      </c>
      <c r="AM464" s="299" t="s">
        <v>1340</v>
      </c>
      <c r="AO464" s="299" t="s">
        <v>1350</v>
      </c>
      <c r="AP464" s="503" t="s">
        <v>82</v>
      </c>
      <c r="AQ464" s="299" t="s">
        <v>79</v>
      </c>
    </row>
    <row r="465" spans="1:43" ht="15" customHeight="1" x14ac:dyDescent="0.25">
      <c r="A465">
        <v>60</v>
      </c>
      <c r="B465" t="s">
        <v>97</v>
      </c>
      <c r="C465" t="s">
        <v>122</v>
      </c>
      <c r="E465" s="72">
        <v>22</v>
      </c>
      <c r="F465" t="s">
        <v>98</v>
      </c>
      <c r="G465" t="s">
        <v>56</v>
      </c>
      <c r="I465" s="171">
        <v>23</v>
      </c>
      <c r="J465" s="171" t="s">
        <v>98</v>
      </c>
      <c r="K465" s="171" t="s">
        <v>56</v>
      </c>
      <c r="M465" s="171" t="s">
        <v>695</v>
      </c>
      <c r="N465" s="171" t="s">
        <v>97</v>
      </c>
      <c r="O465" s="171" t="s">
        <v>79</v>
      </c>
      <c r="Q465" s="399">
        <v>30</v>
      </c>
      <c r="R465" s="396" t="s">
        <v>98</v>
      </c>
      <c r="S465" s="398" t="s">
        <v>56</v>
      </c>
      <c r="U465" s="171">
        <v>48</v>
      </c>
      <c r="V465" s="171" t="s">
        <v>97</v>
      </c>
      <c r="W465" s="171" t="s">
        <v>122</v>
      </c>
      <c r="Y465" s="171">
        <v>20</v>
      </c>
      <c r="Z465" s="460" t="s">
        <v>98</v>
      </c>
      <c r="AA465" s="171" t="s">
        <v>55</v>
      </c>
      <c r="AC465" s="505">
        <v>34</v>
      </c>
      <c r="AD465" s="505" t="s">
        <v>98</v>
      </c>
      <c r="AE465" s="505" t="s">
        <v>56</v>
      </c>
      <c r="AG465" s="171">
        <v>34</v>
      </c>
      <c r="AH465" s="171" t="s">
        <v>98</v>
      </c>
      <c r="AI465" s="171" t="s">
        <v>123</v>
      </c>
      <c r="AK465" s="299">
        <v>29</v>
      </c>
      <c r="AL465" s="503" t="s">
        <v>81</v>
      </c>
      <c r="AM465" s="299" t="s">
        <v>1340</v>
      </c>
      <c r="AO465" s="299" t="s">
        <v>1371</v>
      </c>
      <c r="AP465" s="503" t="s">
        <v>81</v>
      </c>
      <c r="AQ465" s="299" t="s">
        <v>79</v>
      </c>
    </row>
    <row r="466" spans="1:43" ht="15" customHeight="1" x14ac:dyDescent="0.25">
      <c r="A466">
        <v>38</v>
      </c>
      <c r="B466" t="s">
        <v>97</v>
      </c>
      <c r="C466" t="s">
        <v>122</v>
      </c>
      <c r="E466" s="72">
        <v>22</v>
      </c>
      <c r="F466" t="s">
        <v>98</v>
      </c>
      <c r="G466" t="s">
        <v>38</v>
      </c>
      <c r="I466" s="171">
        <v>21</v>
      </c>
      <c r="J466" s="171" t="s">
        <v>98</v>
      </c>
      <c r="K466" s="171" t="s">
        <v>56</v>
      </c>
      <c r="M466" s="171" t="s">
        <v>695</v>
      </c>
      <c r="N466" s="171" t="s">
        <v>97</v>
      </c>
      <c r="O466" s="171" t="s">
        <v>79</v>
      </c>
      <c r="Q466" s="399">
        <v>21</v>
      </c>
      <c r="R466" s="396" t="s">
        <v>98</v>
      </c>
      <c r="S466" s="398" t="s">
        <v>56</v>
      </c>
      <c r="U466" s="171">
        <v>60</v>
      </c>
      <c r="V466" s="171" t="s">
        <v>97</v>
      </c>
      <c r="W466" s="171" t="s">
        <v>122</v>
      </c>
      <c r="Y466" s="171">
        <v>33</v>
      </c>
      <c r="Z466" s="460" t="s">
        <v>98</v>
      </c>
      <c r="AA466" s="171" t="s">
        <v>55</v>
      </c>
      <c r="AC466" s="505">
        <v>41</v>
      </c>
      <c r="AD466" s="505" t="s">
        <v>98</v>
      </c>
      <c r="AE466" s="505" t="s">
        <v>56</v>
      </c>
      <c r="AG466" s="171">
        <v>22</v>
      </c>
      <c r="AH466" s="171" t="s">
        <v>98</v>
      </c>
      <c r="AI466" s="171" t="s">
        <v>123</v>
      </c>
      <c r="AK466" s="299">
        <v>33</v>
      </c>
      <c r="AL466" s="503" t="s">
        <v>81</v>
      </c>
      <c r="AM466" s="299" t="s">
        <v>1340</v>
      </c>
      <c r="AO466" s="299" t="s">
        <v>1350</v>
      </c>
      <c r="AP466" s="503" t="s">
        <v>82</v>
      </c>
      <c r="AQ466" s="299" t="s">
        <v>79</v>
      </c>
    </row>
    <row r="467" spans="1:43" ht="15" customHeight="1" x14ac:dyDescent="0.25">
      <c r="A467">
        <v>60</v>
      </c>
      <c r="B467" t="s">
        <v>97</v>
      </c>
      <c r="C467" t="s">
        <v>122</v>
      </c>
      <c r="E467" s="72">
        <v>22</v>
      </c>
      <c r="F467" t="s">
        <v>98</v>
      </c>
      <c r="G467" t="s">
        <v>38</v>
      </c>
      <c r="I467" s="171">
        <v>27</v>
      </c>
      <c r="J467" s="171" t="s">
        <v>98</v>
      </c>
      <c r="K467" s="171" t="s">
        <v>56</v>
      </c>
      <c r="M467" s="171" t="s">
        <v>701</v>
      </c>
      <c r="N467" s="171" t="s">
        <v>98</v>
      </c>
      <c r="O467" s="171" t="s">
        <v>79</v>
      </c>
      <c r="Q467" s="399">
        <v>19</v>
      </c>
      <c r="R467" s="396" t="s">
        <v>98</v>
      </c>
      <c r="S467" s="398" t="s">
        <v>56</v>
      </c>
      <c r="U467" s="171">
        <v>74</v>
      </c>
      <c r="V467" s="171" t="s">
        <v>97</v>
      </c>
      <c r="W467" s="171" t="s">
        <v>122</v>
      </c>
      <c r="Y467" s="171">
        <v>23</v>
      </c>
      <c r="Z467" s="460" t="s">
        <v>98</v>
      </c>
      <c r="AA467" s="171" t="s">
        <v>55</v>
      </c>
      <c r="AC467" s="505">
        <v>26</v>
      </c>
      <c r="AD467" s="505" t="s">
        <v>98</v>
      </c>
      <c r="AE467" s="505" t="s">
        <v>56</v>
      </c>
      <c r="AG467" s="171">
        <v>67</v>
      </c>
      <c r="AH467" s="171" t="s">
        <v>98</v>
      </c>
      <c r="AI467" s="171" t="s">
        <v>123</v>
      </c>
      <c r="AK467" s="299">
        <v>21</v>
      </c>
      <c r="AL467" s="503" t="s">
        <v>81</v>
      </c>
      <c r="AM467" s="299" t="s">
        <v>1340</v>
      </c>
      <c r="AO467" s="299" t="s">
        <v>1356</v>
      </c>
      <c r="AP467" s="503" t="s">
        <v>81</v>
      </c>
      <c r="AQ467" s="299" t="s">
        <v>79</v>
      </c>
    </row>
    <row r="468" spans="1:43" ht="15" customHeight="1" x14ac:dyDescent="0.25">
      <c r="A468">
        <v>76</v>
      </c>
      <c r="B468" t="s">
        <v>97</v>
      </c>
      <c r="C468" t="s">
        <v>122</v>
      </c>
      <c r="E468" s="72">
        <v>22</v>
      </c>
      <c r="F468" t="s">
        <v>98</v>
      </c>
      <c r="G468" t="s">
        <v>123</v>
      </c>
      <c r="I468" s="171">
        <v>37</v>
      </c>
      <c r="J468" s="171" t="s">
        <v>98</v>
      </c>
      <c r="K468" s="171" t="s">
        <v>56</v>
      </c>
      <c r="M468" s="171" t="s">
        <v>694</v>
      </c>
      <c r="N468" s="171" t="s">
        <v>97</v>
      </c>
      <c r="O468" s="171" t="s">
        <v>79</v>
      </c>
      <c r="Q468" s="399">
        <v>33</v>
      </c>
      <c r="R468" s="396" t="s">
        <v>98</v>
      </c>
      <c r="S468" s="398" t="s">
        <v>56</v>
      </c>
      <c r="U468" s="171">
        <v>19</v>
      </c>
      <c r="V468" s="171" t="s">
        <v>97</v>
      </c>
      <c r="W468" s="171" t="s">
        <v>122</v>
      </c>
      <c r="Y468" s="171">
        <v>38</v>
      </c>
      <c r="Z468" s="460" t="s">
        <v>98</v>
      </c>
      <c r="AA468" s="171" t="s">
        <v>55</v>
      </c>
      <c r="AC468" s="505">
        <v>36</v>
      </c>
      <c r="AD468" s="505" t="s">
        <v>98</v>
      </c>
      <c r="AE468" s="505" t="s">
        <v>56</v>
      </c>
      <c r="AG468" s="171">
        <v>75</v>
      </c>
      <c r="AH468" s="171" t="s">
        <v>98</v>
      </c>
      <c r="AI468" s="171" t="s">
        <v>123</v>
      </c>
      <c r="AK468" s="299">
        <v>31</v>
      </c>
      <c r="AL468" s="503" t="s">
        <v>81</v>
      </c>
      <c r="AM468" s="299" t="s">
        <v>1340</v>
      </c>
      <c r="AO468" s="299" t="s">
        <v>1353</v>
      </c>
      <c r="AP468" s="503" t="s">
        <v>81</v>
      </c>
      <c r="AQ468" s="299" t="s">
        <v>79</v>
      </c>
    </row>
    <row r="469" spans="1:43" ht="15" customHeight="1" x14ac:dyDescent="0.25">
      <c r="A469">
        <v>56</v>
      </c>
      <c r="B469" t="s">
        <v>97</v>
      </c>
      <c r="C469" t="s">
        <v>122</v>
      </c>
      <c r="E469" s="72">
        <v>21</v>
      </c>
      <c r="F469" t="s">
        <v>97</v>
      </c>
      <c r="G469" t="s">
        <v>688</v>
      </c>
      <c r="I469" s="171">
        <v>39</v>
      </c>
      <c r="J469" s="171" t="s">
        <v>98</v>
      </c>
      <c r="K469" s="171" t="s">
        <v>56</v>
      </c>
      <c r="M469" s="171" t="s">
        <v>694</v>
      </c>
      <c r="N469" s="171" t="s">
        <v>97</v>
      </c>
      <c r="O469" s="171" t="s">
        <v>79</v>
      </c>
      <c r="Q469" s="399">
        <v>34</v>
      </c>
      <c r="R469" s="396" t="s">
        <v>98</v>
      </c>
      <c r="S469" s="398" t="s">
        <v>56</v>
      </c>
      <c r="U469" s="171">
        <v>26</v>
      </c>
      <c r="V469" s="171" t="s">
        <v>97</v>
      </c>
      <c r="W469" s="171" t="s">
        <v>122</v>
      </c>
      <c r="Y469" s="171">
        <v>35</v>
      </c>
      <c r="Z469" s="460" t="s">
        <v>98</v>
      </c>
      <c r="AA469" s="171" t="s">
        <v>55</v>
      </c>
      <c r="AC469" s="505">
        <v>27</v>
      </c>
      <c r="AD469" s="505" t="s">
        <v>98</v>
      </c>
      <c r="AE469" s="505" t="s">
        <v>56</v>
      </c>
      <c r="AG469" s="171">
        <v>16</v>
      </c>
      <c r="AH469" s="171" t="s">
        <v>98</v>
      </c>
      <c r="AI469" s="171" t="s">
        <v>123</v>
      </c>
      <c r="AK469" s="299">
        <v>20</v>
      </c>
      <c r="AL469" s="503" t="s">
        <v>81</v>
      </c>
      <c r="AM469" s="299" t="s">
        <v>1340</v>
      </c>
      <c r="AO469" s="299" t="s">
        <v>1350</v>
      </c>
      <c r="AP469" s="503" t="s">
        <v>81</v>
      </c>
      <c r="AQ469" s="299" t="s">
        <v>79</v>
      </c>
    </row>
    <row r="470" spans="1:43" ht="15" customHeight="1" x14ac:dyDescent="0.25">
      <c r="A470">
        <v>72</v>
      </c>
      <c r="B470" t="s">
        <v>97</v>
      </c>
      <c r="C470" t="s">
        <v>122</v>
      </c>
      <c r="E470" s="72">
        <v>21</v>
      </c>
      <c r="F470" t="s">
        <v>98</v>
      </c>
      <c r="G470" t="s">
        <v>55</v>
      </c>
      <c r="I470" s="171">
        <v>27</v>
      </c>
      <c r="J470" s="171" t="s">
        <v>98</v>
      </c>
      <c r="K470" s="171" t="s">
        <v>56</v>
      </c>
      <c r="M470" s="171" t="s">
        <v>694</v>
      </c>
      <c r="N470" s="171" t="s">
        <v>97</v>
      </c>
      <c r="O470" s="171" t="s">
        <v>79</v>
      </c>
      <c r="Q470" s="399">
        <v>40</v>
      </c>
      <c r="R470" s="396" t="s">
        <v>98</v>
      </c>
      <c r="S470" s="398" t="s">
        <v>56</v>
      </c>
      <c r="U470" s="171">
        <v>21</v>
      </c>
      <c r="V470" s="171" t="s">
        <v>97</v>
      </c>
      <c r="W470" s="171" t="s">
        <v>122</v>
      </c>
      <c r="Y470" s="171">
        <v>26</v>
      </c>
      <c r="Z470" s="460" t="s">
        <v>98</v>
      </c>
      <c r="AA470" s="171" t="s">
        <v>55</v>
      </c>
      <c r="AC470" s="505">
        <v>25</v>
      </c>
      <c r="AD470" s="505" t="s">
        <v>98</v>
      </c>
      <c r="AE470" s="505" t="s">
        <v>56</v>
      </c>
      <c r="AG470" s="171">
        <v>25</v>
      </c>
      <c r="AH470" s="171" t="s">
        <v>98</v>
      </c>
      <c r="AI470" s="171" t="s">
        <v>38</v>
      </c>
      <c r="AK470" s="299">
        <v>21</v>
      </c>
      <c r="AL470" s="503" t="s">
        <v>81</v>
      </c>
      <c r="AM470" s="299" t="s">
        <v>1340</v>
      </c>
      <c r="AO470" s="299" t="s">
        <v>1372</v>
      </c>
      <c r="AP470" s="503" t="s">
        <v>81</v>
      </c>
      <c r="AQ470" s="299" t="s">
        <v>79</v>
      </c>
    </row>
    <row r="471" spans="1:43" ht="15" customHeight="1" x14ac:dyDescent="0.25">
      <c r="A471">
        <v>65</v>
      </c>
      <c r="B471" t="s">
        <v>97</v>
      </c>
      <c r="C471" t="s">
        <v>122</v>
      </c>
      <c r="E471" s="72">
        <v>21</v>
      </c>
      <c r="F471" t="s">
        <v>98</v>
      </c>
      <c r="G471" t="s">
        <v>56</v>
      </c>
      <c r="I471" s="171">
        <v>16</v>
      </c>
      <c r="J471" s="171" t="s">
        <v>98</v>
      </c>
      <c r="K471" s="171" t="s">
        <v>56</v>
      </c>
      <c r="M471" s="171" t="s">
        <v>695</v>
      </c>
      <c r="N471" s="171" t="s">
        <v>98</v>
      </c>
      <c r="O471" s="171" t="s">
        <v>79</v>
      </c>
      <c r="Q471" s="399">
        <v>39</v>
      </c>
      <c r="R471" s="396" t="s">
        <v>98</v>
      </c>
      <c r="S471" s="398" t="s">
        <v>56</v>
      </c>
      <c r="U471" s="171">
        <v>30</v>
      </c>
      <c r="V471" s="171" t="s">
        <v>97</v>
      </c>
      <c r="W471" s="171" t="s">
        <v>122</v>
      </c>
      <c r="Y471" s="171">
        <v>40</v>
      </c>
      <c r="Z471" s="460" t="s">
        <v>98</v>
      </c>
      <c r="AA471" s="171" t="s">
        <v>55</v>
      </c>
      <c r="AC471" s="505">
        <v>32</v>
      </c>
      <c r="AD471" s="505" t="s">
        <v>98</v>
      </c>
      <c r="AE471" s="505" t="s">
        <v>56</v>
      </c>
      <c r="AG471" s="171">
        <v>33</v>
      </c>
      <c r="AH471" s="171" t="s">
        <v>98</v>
      </c>
      <c r="AI471" s="171" t="s">
        <v>38</v>
      </c>
      <c r="AK471" s="299">
        <v>32</v>
      </c>
      <c r="AL471" s="503" t="s">
        <v>81</v>
      </c>
      <c r="AM471" s="299" t="s">
        <v>1340</v>
      </c>
      <c r="AO471" s="299" t="s">
        <v>1350</v>
      </c>
      <c r="AP471" s="503" t="s">
        <v>82</v>
      </c>
      <c r="AQ471" s="299" t="s">
        <v>79</v>
      </c>
    </row>
    <row r="472" spans="1:43" ht="15" customHeight="1" x14ac:dyDescent="0.25">
      <c r="A472">
        <v>53</v>
      </c>
      <c r="B472" t="s">
        <v>97</v>
      </c>
      <c r="C472" t="s">
        <v>122</v>
      </c>
      <c r="E472" s="72">
        <v>21</v>
      </c>
      <c r="F472" t="s">
        <v>98</v>
      </c>
      <c r="G472" t="s">
        <v>38</v>
      </c>
      <c r="I472" s="171">
        <v>35</v>
      </c>
      <c r="J472" s="171" t="s">
        <v>98</v>
      </c>
      <c r="K472" s="171" t="s">
        <v>56</v>
      </c>
      <c r="M472" s="171" t="s">
        <v>694</v>
      </c>
      <c r="N472" s="171" t="s">
        <v>98</v>
      </c>
      <c r="O472" s="171" t="s">
        <v>79</v>
      </c>
      <c r="Q472" s="399">
        <v>23</v>
      </c>
      <c r="R472" s="396" t="s">
        <v>98</v>
      </c>
      <c r="S472" s="398" t="s">
        <v>56</v>
      </c>
      <c r="U472" s="171">
        <v>38</v>
      </c>
      <c r="V472" s="171" t="s">
        <v>97</v>
      </c>
      <c r="W472" s="171" t="s">
        <v>122</v>
      </c>
      <c r="Y472" s="171">
        <v>30</v>
      </c>
      <c r="Z472" s="460" t="s">
        <v>98</v>
      </c>
      <c r="AA472" s="171" t="s">
        <v>55</v>
      </c>
      <c r="AC472" s="505">
        <v>42</v>
      </c>
      <c r="AD472" s="505" t="s">
        <v>98</v>
      </c>
      <c r="AE472" s="505" t="s">
        <v>56</v>
      </c>
      <c r="AG472" s="171">
        <v>25</v>
      </c>
      <c r="AH472" s="171" t="s">
        <v>98</v>
      </c>
      <c r="AI472" s="171" t="s">
        <v>38</v>
      </c>
      <c r="AK472" s="299">
        <v>30</v>
      </c>
      <c r="AL472" s="503" t="s">
        <v>81</v>
      </c>
      <c r="AM472" s="299" t="s">
        <v>1340</v>
      </c>
      <c r="AO472" s="299" t="s">
        <v>1350</v>
      </c>
      <c r="AP472" s="503" t="s">
        <v>81</v>
      </c>
      <c r="AQ472" s="299" t="s">
        <v>79</v>
      </c>
    </row>
    <row r="473" spans="1:43" ht="15" customHeight="1" x14ac:dyDescent="0.25">
      <c r="A473">
        <v>42</v>
      </c>
      <c r="B473" t="s">
        <v>97</v>
      </c>
      <c r="C473" t="s">
        <v>122</v>
      </c>
      <c r="E473" s="72">
        <v>21</v>
      </c>
      <c r="F473" t="s">
        <v>97</v>
      </c>
      <c r="G473" t="s">
        <v>122</v>
      </c>
      <c r="I473" s="171">
        <v>41</v>
      </c>
      <c r="J473" s="171" t="s">
        <v>98</v>
      </c>
      <c r="K473" s="171" t="s">
        <v>56</v>
      </c>
      <c r="M473" s="171" t="s">
        <v>694</v>
      </c>
      <c r="N473" s="171" t="s">
        <v>98</v>
      </c>
      <c r="O473" s="171" t="s">
        <v>79</v>
      </c>
      <c r="Q473" s="399">
        <v>25</v>
      </c>
      <c r="R473" s="396" t="s">
        <v>98</v>
      </c>
      <c r="S473" s="398" t="s">
        <v>56</v>
      </c>
      <c r="U473" s="171">
        <v>61</v>
      </c>
      <c r="V473" s="171" t="s">
        <v>97</v>
      </c>
      <c r="W473" s="171" t="s">
        <v>122</v>
      </c>
      <c r="Y473" s="171">
        <v>23</v>
      </c>
      <c r="Z473" s="460" t="s">
        <v>98</v>
      </c>
      <c r="AA473" s="171" t="s">
        <v>55</v>
      </c>
      <c r="AC473" s="505">
        <v>38</v>
      </c>
      <c r="AD473" s="505" t="s">
        <v>98</v>
      </c>
      <c r="AE473" s="505" t="s">
        <v>56</v>
      </c>
      <c r="AG473" s="171">
        <v>28</v>
      </c>
      <c r="AH473" s="171" t="s">
        <v>98</v>
      </c>
      <c r="AI473" s="171" t="s">
        <v>38</v>
      </c>
      <c r="AK473" s="299">
        <v>22</v>
      </c>
      <c r="AL473" s="503" t="s">
        <v>81</v>
      </c>
      <c r="AM473" s="299" t="s">
        <v>1340</v>
      </c>
      <c r="AO473" s="299" t="s">
        <v>1354</v>
      </c>
      <c r="AP473" s="503" t="s">
        <v>81</v>
      </c>
      <c r="AQ473" s="299" t="s">
        <v>79</v>
      </c>
    </row>
    <row r="474" spans="1:43" ht="15" customHeight="1" x14ac:dyDescent="0.25">
      <c r="A474">
        <v>55</v>
      </c>
      <c r="B474" t="s">
        <v>97</v>
      </c>
      <c r="C474" t="s">
        <v>122</v>
      </c>
      <c r="E474" s="72">
        <v>21</v>
      </c>
      <c r="F474" t="s">
        <v>98</v>
      </c>
      <c r="G474" t="s">
        <v>123</v>
      </c>
      <c r="I474" s="171">
        <v>36</v>
      </c>
      <c r="J474" s="171" t="s">
        <v>98</v>
      </c>
      <c r="K474" s="171" t="s">
        <v>56</v>
      </c>
      <c r="M474" s="171" t="s">
        <v>694</v>
      </c>
      <c r="N474" s="171" t="s">
        <v>98</v>
      </c>
      <c r="O474" s="171" t="s">
        <v>79</v>
      </c>
      <c r="Q474" s="399">
        <v>27</v>
      </c>
      <c r="R474" s="396" t="s">
        <v>98</v>
      </c>
      <c r="S474" s="398" t="s">
        <v>56</v>
      </c>
      <c r="U474" s="171">
        <v>84</v>
      </c>
      <c r="V474" s="171" t="s">
        <v>97</v>
      </c>
      <c r="W474" s="171" t="s">
        <v>122</v>
      </c>
      <c r="Y474" s="171">
        <v>20</v>
      </c>
      <c r="Z474" s="460" t="s">
        <v>98</v>
      </c>
      <c r="AA474" s="171" t="s">
        <v>55</v>
      </c>
      <c r="AC474" s="505">
        <v>23</v>
      </c>
      <c r="AD474" s="505" t="s">
        <v>98</v>
      </c>
      <c r="AE474" s="505" t="s">
        <v>56</v>
      </c>
      <c r="AG474" s="171">
        <v>25</v>
      </c>
      <c r="AH474" s="171" t="s">
        <v>98</v>
      </c>
      <c r="AI474" s="171" t="s">
        <v>38</v>
      </c>
      <c r="AK474" s="299">
        <v>41</v>
      </c>
      <c r="AL474" s="503" t="s">
        <v>81</v>
      </c>
      <c r="AM474" s="299" t="s">
        <v>1340</v>
      </c>
      <c r="AO474" s="299" t="s">
        <v>1350</v>
      </c>
      <c r="AP474" s="503" t="s">
        <v>82</v>
      </c>
      <c r="AQ474" s="299" t="s">
        <v>79</v>
      </c>
    </row>
    <row r="475" spans="1:43" ht="15" customHeight="1" x14ac:dyDescent="0.25">
      <c r="A475">
        <v>68</v>
      </c>
      <c r="B475" t="s">
        <v>97</v>
      </c>
      <c r="C475" t="s">
        <v>122</v>
      </c>
      <c r="E475" s="72">
        <v>20</v>
      </c>
      <c r="F475" t="s">
        <v>98</v>
      </c>
      <c r="G475" t="s">
        <v>56</v>
      </c>
      <c r="I475" s="171">
        <v>33</v>
      </c>
      <c r="J475" s="171" t="s">
        <v>98</v>
      </c>
      <c r="K475" s="171" t="s">
        <v>56</v>
      </c>
      <c r="M475" s="171" t="s">
        <v>694</v>
      </c>
      <c r="N475" s="171" t="s">
        <v>97</v>
      </c>
      <c r="O475" s="171" t="s">
        <v>79</v>
      </c>
      <c r="Q475" s="399">
        <v>23</v>
      </c>
      <c r="R475" s="396" t="s">
        <v>98</v>
      </c>
      <c r="S475" s="398" t="s">
        <v>56</v>
      </c>
      <c r="U475" s="171">
        <v>75</v>
      </c>
      <c r="V475" s="171" t="s">
        <v>97</v>
      </c>
      <c r="W475" s="171" t="s">
        <v>122</v>
      </c>
      <c r="Y475" s="171">
        <v>33</v>
      </c>
      <c r="Z475" s="460" t="s">
        <v>98</v>
      </c>
      <c r="AA475" s="171" t="s">
        <v>55</v>
      </c>
      <c r="AC475" s="505">
        <v>40</v>
      </c>
      <c r="AD475" s="505" t="s">
        <v>98</v>
      </c>
      <c r="AE475" s="505" t="s">
        <v>56</v>
      </c>
      <c r="AG475" s="171">
        <v>23</v>
      </c>
      <c r="AH475" s="171" t="s">
        <v>98</v>
      </c>
      <c r="AI475" s="171" t="s">
        <v>38</v>
      </c>
      <c r="AK475" s="299">
        <v>20</v>
      </c>
      <c r="AL475" s="503" t="s">
        <v>81</v>
      </c>
      <c r="AM475" s="299" t="s">
        <v>1340</v>
      </c>
      <c r="AO475" s="299" t="s">
        <v>1358</v>
      </c>
      <c r="AP475" s="503" t="s">
        <v>82</v>
      </c>
      <c r="AQ475" s="299" t="s">
        <v>79</v>
      </c>
    </row>
    <row r="476" spans="1:43" ht="15" customHeight="1" x14ac:dyDescent="0.25">
      <c r="A476">
        <v>64</v>
      </c>
      <c r="B476" t="s">
        <v>97</v>
      </c>
      <c r="C476" t="s">
        <v>122</v>
      </c>
      <c r="E476" s="72">
        <v>20</v>
      </c>
      <c r="F476" t="s">
        <v>98</v>
      </c>
      <c r="G476" t="s">
        <v>56</v>
      </c>
      <c r="I476" s="171">
        <v>29</v>
      </c>
      <c r="J476" s="171" t="s">
        <v>98</v>
      </c>
      <c r="K476" s="171" t="s">
        <v>56</v>
      </c>
      <c r="M476" s="171" t="s">
        <v>694</v>
      </c>
      <c r="N476" s="171" t="s">
        <v>97</v>
      </c>
      <c r="O476" s="171" t="s">
        <v>79</v>
      </c>
      <c r="Q476" s="399">
        <v>21</v>
      </c>
      <c r="R476" s="396" t="s">
        <v>98</v>
      </c>
      <c r="S476" s="398" t="s">
        <v>56</v>
      </c>
      <c r="U476" s="171">
        <v>45</v>
      </c>
      <c r="V476" s="171" t="s">
        <v>97</v>
      </c>
      <c r="W476" s="171" t="s">
        <v>122</v>
      </c>
      <c r="Y476" s="171">
        <v>36</v>
      </c>
      <c r="Z476" s="460" t="s">
        <v>98</v>
      </c>
      <c r="AA476" s="171" t="s">
        <v>55</v>
      </c>
      <c r="AC476" s="505">
        <v>38</v>
      </c>
      <c r="AD476" s="505" t="s">
        <v>98</v>
      </c>
      <c r="AE476" s="505" t="s">
        <v>56</v>
      </c>
      <c r="AG476" s="171">
        <v>52</v>
      </c>
      <c r="AH476" s="171" t="s">
        <v>98</v>
      </c>
      <c r="AI476" s="171" t="s">
        <v>38</v>
      </c>
      <c r="AK476" s="299">
        <v>33</v>
      </c>
      <c r="AL476" s="503" t="s">
        <v>81</v>
      </c>
      <c r="AM476" s="299" t="s">
        <v>1340</v>
      </c>
      <c r="AO476" s="299" t="s">
        <v>1350</v>
      </c>
      <c r="AP476" s="503" t="s">
        <v>82</v>
      </c>
      <c r="AQ476" s="299" t="s">
        <v>79</v>
      </c>
    </row>
    <row r="477" spans="1:43" ht="15" customHeight="1" x14ac:dyDescent="0.25">
      <c r="A477">
        <v>46</v>
      </c>
      <c r="B477" t="s">
        <v>97</v>
      </c>
      <c r="C477" t="s">
        <v>122</v>
      </c>
      <c r="E477" s="72">
        <v>20</v>
      </c>
      <c r="F477" t="s">
        <v>98</v>
      </c>
      <c r="G477" t="s">
        <v>56</v>
      </c>
      <c r="I477" s="171">
        <v>38</v>
      </c>
      <c r="J477" s="171" t="s">
        <v>98</v>
      </c>
      <c r="K477" s="171" t="s">
        <v>56</v>
      </c>
      <c r="M477" s="171" t="s">
        <v>694</v>
      </c>
      <c r="N477" s="171" t="s">
        <v>98</v>
      </c>
      <c r="O477" s="171" t="s">
        <v>79</v>
      </c>
      <c r="Q477" s="396">
        <v>35</v>
      </c>
      <c r="R477" s="396" t="s">
        <v>98</v>
      </c>
      <c r="S477" s="397" t="s">
        <v>55</v>
      </c>
      <c r="U477" s="171">
        <v>41</v>
      </c>
      <c r="V477" s="171" t="s">
        <v>97</v>
      </c>
      <c r="W477" s="171" t="s">
        <v>122</v>
      </c>
      <c r="Y477" s="171">
        <v>28</v>
      </c>
      <c r="Z477" s="460" t="s">
        <v>98</v>
      </c>
      <c r="AA477" s="171" t="s">
        <v>55</v>
      </c>
      <c r="AC477" s="505">
        <v>20</v>
      </c>
      <c r="AD477" s="505" t="s">
        <v>98</v>
      </c>
      <c r="AE477" s="505" t="s">
        <v>56</v>
      </c>
      <c r="AG477" s="171">
        <v>32</v>
      </c>
      <c r="AH477" s="171" t="s">
        <v>98</v>
      </c>
      <c r="AI477" s="171" t="s">
        <v>38</v>
      </c>
      <c r="AK477" s="299">
        <v>20</v>
      </c>
      <c r="AL477" s="503" t="s">
        <v>81</v>
      </c>
      <c r="AM477" s="299" t="s">
        <v>1340</v>
      </c>
      <c r="AO477" s="299" t="s">
        <v>1350</v>
      </c>
      <c r="AP477" s="503" t="s">
        <v>82</v>
      </c>
      <c r="AQ477" s="299" t="s">
        <v>79</v>
      </c>
    </row>
    <row r="478" spans="1:43" ht="15" customHeight="1" x14ac:dyDescent="0.25">
      <c r="A478">
        <v>56</v>
      </c>
      <c r="B478" t="s">
        <v>97</v>
      </c>
      <c r="C478" t="s">
        <v>122</v>
      </c>
      <c r="E478" s="72">
        <v>20</v>
      </c>
      <c r="F478" t="s">
        <v>98</v>
      </c>
      <c r="G478" t="s">
        <v>56</v>
      </c>
      <c r="I478" s="171">
        <v>24</v>
      </c>
      <c r="J478" s="171" t="s">
        <v>98</v>
      </c>
      <c r="K478" s="171" t="s">
        <v>56</v>
      </c>
      <c r="M478" s="171" t="s">
        <v>694</v>
      </c>
      <c r="N478" s="171" t="s">
        <v>97</v>
      </c>
      <c r="O478" s="171" t="s">
        <v>79</v>
      </c>
      <c r="Q478" s="399">
        <v>38</v>
      </c>
      <c r="R478" s="396" t="s">
        <v>98</v>
      </c>
      <c r="S478" s="397" t="s">
        <v>55</v>
      </c>
      <c r="U478" s="171">
        <v>60</v>
      </c>
      <c r="V478" s="171" t="s">
        <v>97</v>
      </c>
      <c r="W478" s="171" t="s">
        <v>122</v>
      </c>
      <c r="Y478" s="171">
        <v>16</v>
      </c>
      <c r="Z478" s="460" t="s">
        <v>98</v>
      </c>
      <c r="AA478" s="171" t="s">
        <v>55</v>
      </c>
      <c r="AC478" s="505">
        <v>37</v>
      </c>
      <c r="AD478" s="505" t="s">
        <v>98</v>
      </c>
      <c r="AE478" s="505" t="s">
        <v>56</v>
      </c>
      <c r="AG478" s="171">
        <v>28</v>
      </c>
      <c r="AH478" s="171" t="s">
        <v>98</v>
      </c>
      <c r="AI478" s="171" t="s">
        <v>38</v>
      </c>
      <c r="AK478" s="299">
        <v>18</v>
      </c>
      <c r="AL478" s="503" t="s">
        <v>81</v>
      </c>
      <c r="AM478" s="299" t="s">
        <v>1340</v>
      </c>
      <c r="AO478" s="299" t="s">
        <v>1350</v>
      </c>
      <c r="AP478" s="503" t="s">
        <v>82</v>
      </c>
      <c r="AQ478" s="299" t="s">
        <v>79</v>
      </c>
    </row>
    <row r="479" spans="1:43" ht="15" customHeight="1" x14ac:dyDescent="0.25">
      <c r="A479">
        <v>60</v>
      </c>
      <c r="B479" t="s">
        <v>97</v>
      </c>
      <c r="C479" t="s">
        <v>122</v>
      </c>
      <c r="E479" s="72">
        <v>20</v>
      </c>
      <c r="F479" t="s">
        <v>98</v>
      </c>
      <c r="G479" t="s">
        <v>56</v>
      </c>
      <c r="I479" s="171">
        <v>41</v>
      </c>
      <c r="J479" s="171" t="s">
        <v>98</v>
      </c>
      <c r="K479" s="171" t="s">
        <v>56</v>
      </c>
      <c r="M479" s="171" t="s">
        <v>694</v>
      </c>
      <c r="N479" s="171" t="s">
        <v>97</v>
      </c>
      <c r="O479" s="171" t="s">
        <v>79</v>
      </c>
      <c r="Q479" s="399">
        <v>23</v>
      </c>
      <c r="R479" s="396" t="s">
        <v>98</v>
      </c>
      <c r="S479" s="397" t="s">
        <v>55</v>
      </c>
      <c r="U479" s="171">
        <v>67</v>
      </c>
      <c r="V479" s="171" t="s">
        <v>97</v>
      </c>
      <c r="W479" s="171" t="s">
        <v>122</v>
      </c>
      <c r="Y479" s="171">
        <v>23</v>
      </c>
      <c r="Z479" s="460" t="s">
        <v>98</v>
      </c>
      <c r="AA479" s="171" t="s">
        <v>55</v>
      </c>
      <c r="AC479" s="505">
        <v>20</v>
      </c>
      <c r="AD479" s="505" t="s">
        <v>98</v>
      </c>
      <c r="AE479" s="505" t="s">
        <v>56</v>
      </c>
      <c r="AG479" s="171">
        <v>27</v>
      </c>
      <c r="AH479" s="171" t="s">
        <v>98</v>
      </c>
      <c r="AI479" s="171" t="s">
        <v>38</v>
      </c>
      <c r="AK479" s="299">
        <v>34</v>
      </c>
      <c r="AL479" s="503" t="s">
        <v>81</v>
      </c>
      <c r="AM479" s="299" t="s">
        <v>1340</v>
      </c>
      <c r="AO479" s="299" t="s">
        <v>1360</v>
      </c>
      <c r="AP479" s="503" t="s">
        <v>81</v>
      </c>
      <c r="AQ479" s="299" t="s">
        <v>79</v>
      </c>
    </row>
    <row r="480" spans="1:43" ht="15" customHeight="1" x14ac:dyDescent="0.25">
      <c r="A480">
        <v>57</v>
      </c>
      <c r="B480" t="s">
        <v>97</v>
      </c>
      <c r="C480" t="s">
        <v>122</v>
      </c>
      <c r="E480" s="72">
        <v>20</v>
      </c>
      <c r="F480" t="s">
        <v>98</v>
      </c>
      <c r="G480" t="s">
        <v>56</v>
      </c>
      <c r="I480" s="171">
        <v>39</v>
      </c>
      <c r="J480" s="171" t="s">
        <v>98</v>
      </c>
      <c r="K480" s="171" t="s">
        <v>56</v>
      </c>
      <c r="M480" s="171" t="s">
        <v>694</v>
      </c>
      <c r="N480" s="171" t="s">
        <v>98</v>
      </c>
      <c r="O480" s="171" t="s">
        <v>79</v>
      </c>
      <c r="Q480" s="399">
        <v>23</v>
      </c>
      <c r="R480" s="396" t="s">
        <v>98</v>
      </c>
      <c r="S480" s="397" t="s">
        <v>55</v>
      </c>
      <c r="U480" s="171">
        <v>46</v>
      </c>
      <c r="V480" s="171" t="s">
        <v>97</v>
      </c>
      <c r="W480" s="171" t="s">
        <v>122</v>
      </c>
      <c r="Y480" s="171">
        <v>35</v>
      </c>
      <c r="Z480" s="460" t="s">
        <v>98</v>
      </c>
      <c r="AA480" s="171" t="s">
        <v>55</v>
      </c>
      <c r="AC480" s="505">
        <v>40</v>
      </c>
      <c r="AD480" s="505" t="s">
        <v>98</v>
      </c>
      <c r="AE480" s="505" t="s">
        <v>56</v>
      </c>
      <c r="AG480" s="171">
        <v>28</v>
      </c>
      <c r="AH480" s="171" t="s">
        <v>98</v>
      </c>
      <c r="AI480" s="171" t="s">
        <v>38</v>
      </c>
      <c r="AK480" s="299">
        <v>28</v>
      </c>
      <c r="AL480" s="503" t="s">
        <v>81</v>
      </c>
      <c r="AM480" s="299" t="s">
        <v>1340</v>
      </c>
      <c r="AO480" s="299" t="s">
        <v>1350</v>
      </c>
      <c r="AP480" s="503" t="s">
        <v>82</v>
      </c>
      <c r="AQ480" s="299" t="s">
        <v>79</v>
      </c>
    </row>
    <row r="481" spans="1:43" ht="15" customHeight="1" x14ac:dyDescent="0.25">
      <c r="A481">
        <v>51</v>
      </c>
      <c r="B481" t="s">
        <v>97</v>
      </c>
      <c r="C481" t="s">
        <v>122</v>
      </c>
      <c r="E481" s="72">
        <v>20</v>
      </c>
      <c r="F481" t="s">
        <v>98</v>
      </c>
      <c r="G481" t="s">
        <v>38</v>
      </c>
      <c r="I481" s="171">
        <v>17</v>
      </c>
      <c r="J481" s="171" t="s">
        <v>98</v>
      </c>
      <c r="K481" s="171" t="s">
        <v>56</v>
      </c>
      <c r="M481" s="171" t="s">
        <v>694</v>
      </c>
      <c r="N481" s="171" t="s">
        <v>97</v>
      </c>
      <c r="O481" s="171" t="s">
        <v>79</v>
      </c>
      <c r="Q481" s="399">
        <v>21</v>
      </c>
      <c r="R481" s="396" t="s">
        <v>98</v>
      </c>
      <c r="S481" s="397" t="s">
        <v>55</v>
      </c>
      <c r="U481" s="171">
        <v>15</v>
      </c>
      <c r="V481" s="171" t="s">
        <v>97</v>
      </c>
      <c r="W481" s="171" t="s">
        <v>122</v>
      </c>
      <c r="Y481" s="171">
        <v>23</v>
      </c>
      <c r="Z481" s="460" t="s">
        <v>98</v>
      </c>
      <c r="AA481" s="171" t="s">
        <v>55</v>
      </c>
      <c r="AC481" s="505">
        <v>25</v>
      </c>
      <c r="AD481" s="505" t="s">
        <v>98</v>
      </c>
      <c r="AE481" s="505" t="s">
        <v>56</v>
      </c>
      <c r="AG481" s="171">
        <v>29</v>
      </c>
      <c r="AH481" s="171" t="s">
        <v>98</v>
      </c>
      <c r="AI481" s="171" t="s">
        <v>38</v>
      </c>
      <c r="AK481" s="299">
        <v>35</v>
      </c>
      <c r="AL481" s="503" t="s">
        <v>81</v>
      </c>
      <c r="AM481" s="299" t="s">
        <v>1340</v>
      </c>
      <c r="AO481" s="299" t="s">
        <v>1350</v>
      </c>
      <c r="AP481" s="503" t="s">
        <v>82</v>
      </c>
      <c r="AQ481" s="299" t="s">
        <v>79</v>
      </c>
    </row>
    <row r="482" spans="1:43" ht="15" customHeight="1" x14ac:dyDescent="0.25">
      <c r="A482">
        <v>72</v>
      </c>
      <c r="B482" t="s">
        <v>97</v>
      </c>
      <c r="C482" t="s">
        <v>122</v>
      </c>
      <c r="E482" s="72">
        <v>20</v>
      </c>
      <c r="F482" t="s">
        <v>98</v>
      </c>
      <c r="G482" t="s">
        <v>38</v>
      </c>
      <c r="I482" s="171">
        <v>24</v>
      </c>
      <c r="J482" s="171" t="s">
        <v>98</v>
      </c>
      <c r="K482" s="171" t="s">
        <v>56</v>
      </c>
      <c r="M482" s="171">
        <v>22</v>
      </c>
      <c r="N482" s="171" t="s">
        <v>98</v>
      </c>
      <c r="O482" s="171" t="s">
        <v>55</v>
      </c>
      <c r="Q482" s="399">
        <v>36</v>
      </c>
      <c r="R482" s="396" t="s">
        <v>98</v>
      </c>
      <c r="S482" s="397" t="s">
        <v>55</v>
      </c>
      <c r="U482" s="171">
        <v>56</v>
      </c>
      <c r="V482" s="171" t="s">
        <v>97</v>
      </c>
      <c r="W482" s="171" t="s">
        <v>122</v>
      </c>
      <c r="Y482" s="171">
        <v>43</v>
      </c>
      <c r="Z482" s="460" t="s">
        <v>98</v>
      </c>
      <c r="AA482" s="171" t="s">
        <v>55</v>
      </c>
      <c r="AC482" s="505">
        <v>26</v>
      </c>
      <c r="AD482" s="505" t="s">
        <v>98</v>
      </c>
      <c r="AE482" s="505" t="s">
        <v>56</v>
      </c>
      <c r="AG482" s="171">
        <v>44</v>
      </c>
      <c r="AH482" s="171" t="s">
        <v>98</v>
      </c>
      <c r="AI482" s="171" t="s">
        <v>38</v>
      </c>
      <c r="AK482" s="299">
        <v>40</v>
      </c>
      <c r="AL482" s="503" t="s">
        <v>81</v>
      </c>
      <c r="AM482" s="299" t="s">
        <v>1340</v>
      </c>
      <c r="AO482" s="299" t="s">
        <v>1350</v>
      </c>
      <c r="AP482" s="503" t="s">
        <v>81</v>
      </c>
      <c r="AQ482" s="299" t="s">
        <v>79</v>
      </c>
    </row>
    <row r="483" spans="1:43" ht="15" customHeight="1" x14ac:dyDescent="0.25">
      <c r="A483">
        <v>53</v>
      </c>
      <c r="B483" t="s">
        <v>97</v>
      </c>
      <c r="C483" t="s">
        <v>122</v>
      </c>
      <c r="E483" s="72">
        <v>20</v>
      </c>
      <c r="F483" t="s">
        <v>97</v>
      </c>
      <c r="G483" t="s">
        <v>122</v>
      </c>
      <c r="I483" s="171">
        <v>14</v>
      </c>
      <c r="J483" s="171" t="s">
        <v>98</v>
      </c>
      <c r="K483" s="171" t="s">
        <v>56</v>
      </c>
      <c r="M483" s="171">
        <v>29</v>
      </c>
      <c r="N483" s="171" t="s">
        <v>98</v>
      </c>
      <c r="O483" s="171" t="s">
        <v>55</v>
      </c>
      <c r="Q483" s="399">
        <v>28</v>
      </c>
      <c r="R483" s="396" t="s">
        <v>98</v>
      </c>
      <c r="S483" s="397" t="s">
        <v>55</v>
      </c>
      <c r="U483" s="171">
        <v>69</v>
      </c>
      <c r="V483" s="171" t="s">
        <v>97</v>
      </c>
      <c r="W483" s="171" t="s">
        <v>122</v>
      </c>
      <c r="Y483" s="171">
        <v>29</v>
      </c>
      <c r="Z483" s="460" t="s">
        <v>98</v>
      </c>
      <c r="AA483" s="171" t="s">
        <v>55</v>
      </c>
      <c r="AC483" s="505">
        <v>21</v>
      </c>
      <c r="AD483" s="505" t="s">
        <v>98</v>
      </c>
      <c r="AE483" s="505" t="s">
        <v>56</v>
      </c>
      <c r="AG483" s="171">
        <v>27</v>
      </c>
      <c r="AH483" s="171" t="s">
        <v>98</v>
      </c>
      <c r="AI483" s="171" t="s">
        <v>38</v>
      </c>
      <c r="AK483" s="299">
        <v>30</v>
      </c>
      <c r="AL483" s="503" t="s">
        <v>81</v>
      </c>
      <c r="AM483" s="299" t="s">
        <v>1340</v>
      </c>
      <c r="AO483" s="299" t="s">
        <v>1350</v>
      </c>
      <c r="AP483" s="503" t="s">
        <v>82</v>
      </c>
      <c r="AQ483" s="299" t="s">
        <v>79</v>
      </c>
    </row>
    <row r="484" spans="1:43" ht="15" customHeight="1" x14ac:dyDescent="0.25">
      <c r="A484">
        <v>59</v>
      </c>
      <c r="B484" t="s">
        <v>97</v>
      </c>
      <c r="C484" t="s">
        <v>122</v>
      </c>
      <c r="E484" s="72">
        <v>20</v>
      </c>
      <c r="F484" t="s">
        <v>97</v>
      </c>
      <c r="G484" t="s">
        <v>122</v>
      </c>
      <c r="I484" s="171">
        <v>40</v>
      </c>
      <c r="J484" s="171" t="s">
        <v>98</v>
      </c>
      <c r="K484" s="171" t="s">
        <v>56</v>
      </c>
      <c r="M484" s="171">
        <v>29</v>
      </c>
      <c r="N484" s="171" t="s">
        <v>98</v>
      </c>
      <c r="O484" s="171" t="s">
        <v>55</v>
      </c>
      <c r="Q484" s="399">
        <v>36</v>
      </c>
      <c r="R484" s="396" t="s">
        <v>98</v>
      </c>
      <c r="S484" s="397" t="s">
        <v>55</v>
      </c>
      <c r="U484" s="171">
        <v>48</v>
      </c>
      <c r="V484" s="171" t="s">
        <v>97</v>
      </c>
      <c r="W484" s="171" t="s">
        <v>122</v>
      </c>
      <c r="Y484" s="171">
        <v>25</v>
      </c>
      <c r="Z484" s="460" t="s">
        <v>98</v>
      </c>
      <c r="AA484" s="171" t="s">
        <v>55</v>
      </c>
      <c r="AC484" s="505">
        <v>23</v>
      </c>
      <c r="AD484" s="505" t="s">
        <v>98</v>
      </c>
      <c r="AE484" s="505" t="s">
        <v>56</v>
      </c>
      <c r="AG484" s="171">
        <v>32</v>
      </c>
      <c r="AH484" s="171" t="s">
        <v>98</v>
      </c>
      <c r="AI484" s="171" t="s">
        <v>38</v>
      </c>
      <c r="AK484" s="299">
        <v>33</v>
      </c>
      <c r="AL484" s="503" t="s">
        <v>81</v>
      </c>
      <c r="AM484" s="299" t="s">
        <v>1340</v>
      </c>
      <c r="AO484" s="299" t="s">
        <v>1350</v>
      </c>
      <c r="AP484" s="503" t="s">
        <v>81</v>
      </c>
      <c r="AQ484" s="299" t="s">
        <v>79</v>
      </c>
    </row>
    <row r="485" spans="1:43" ht="15" customHeight="1" x14ac:dyDescent="0.25">
      <c r="A485">
        <v>24</v>
      </c>
      <c r="B485" t="s">
        <v>97</v>
      </c>
      <c r="C485" t="s">
        <v>122</v>
      </c>
      <c r="E485" s="72">
        <v>19</v>
      </c>
      <c r="F485" t="s">
        <v>97</v>
      </c>
      <c r="G485" t="s">
        <v>688</v>
      </c>
      <c r="I485" s="171">
        <v>24</v>
      </c>
      <c r="J485" s="171" t="s">
        <v>98</v>
      </c>
      <c r="K485" s="171" t="s">
        <v>56</v>
      </c>
      <c r="M485" s="171">
        <v>31</v>
      </c>
      <c r="N485" s="171" t="s">
        <v>98</v>
      </c>
      <c r="O485" s="171" t="s">
        <v>55</v>
      </c>
      <c r="Q485" s="399">
        <v>40</v>
      </c>
      <c r="R485" s="396" t="s">
        <v>98</v>
      </c>
      <c r="S485" s="397" t="s">
        <v>55</v>
      </c>
      <c r="U485" s="171">
        <v>67</v>
      </c>
      <c r="V485" s="171" t="s">
        <v>97</v>
      </c>
      <c r="W485" s="171" t="s">
        <v>122</v>
      </c>
      <c r="Y485" s="171">
        <v>25</v>
      </c>
      <c r="Z485" s="460" t="s">
        <v>98</v>
      </c>
      <c r="AA485" s="171" t="s">
        <v>55</v>
      </c>
      <c r="AC485" s="505">
        <v>33</v>
      </c>
      <c r="AD485" s="505" t="s">
        <v>98</v>
      </c>
      <c r="AE485" s="505" t="s">
        <v>56</v>
      </c>
      <c r="AG485" s="171">
        <v>26</v>
      </c>
      <c r="AH485" s="171" t="s">
        <v>98</v>
      </c>
      <c r="AI485" s="171" t="s">
        <v>38</v>
      </c>
      <c r="AK485" s="299">
        <v>26</v>
      </c>
      <c r="AL485" s="503" t="s">
        <v>81</v>
      </c>
      <c r="AM485" s="299" t="s">
        <v>1340</v>
      </c>
      <c r="AO485" s="299" t="s">
        <v>1351</v>
      </c>
      <c r="AP485" s="503" t="s">
        <v>82</v>
      </c>
      <c r="AQ485" s="299" t="s">
        <v>79</v>
      </c>
    </row>
    <row r="486" spans="1:43" ht="15" customHeight="1" x14ac:dyDescent="0.25">
      <c r="A486">
        <v>37</v>
      </c>
      <c r="B486" t="s">
        <v>97</v>
      </c>
      <c r="C486" t="s">
        <v>122</v>
      </c>
      <c r="E486" s="72">
        <v>19</v>
      </c>
      <c r="F486" t="s">
        <v>98</v>
      </c>
      <c r="G486" t="s">
        <v>56</v>
      </c>
      <c r="I486" s="171">
        <v>25</v>
      </c>
      <c r="J486" s="171" t="s">
        <v>98</v>
      </c>
      <c r="K486" s="171" t="s">
        <v>56</v>
      </c>
      <c r="M486" s="171">
        <v>33</v>
      </c>
      <c r="N486" s="171" t="s">
        <v>98</v>
      </c>
      <c r="O486" s="171" t="s">
        <v>55</v>
      </c>
      <c r="Q486" s="399">
        <v>33</v>
      </c>
      <c r="R486" s="396" t="s">
        <v>98</v>
      </c>
      <c r="S486" s="397" t="s">
        <v>55</v>
      </c>
      <c r="U486" s="171">
        <v>25</v>
      </c>
      <c r="V486" s="171" t="s">
        <v>97</v>
      </c>
      <c r="W486" s="171" t="s">
        <v>122</v>
      </c>
      <c r="Y486" s="171">
        <v>35</v>
      </c>
      <c r="Z486" s="460" t="s">
        <v>98</v>
      </c>
      <c r="AA486" s="171" t="s">
        <v>55</v>
      </c>
      <c r="AC486" s="505">
        <v>18</v>
      </c>
      <c r="AD486" s="505" t="s">
        <v>98</v>
      </c>
      <c r="AE486" s="505" t="s">
        <v>56</v>
      </c>
      <c r="AG486" s="171">
        <v>32</v>
      </c>
      <c r="AH486" s="171" t="s">
        <v>98</v>
      </c>
      <c r="AI486" s="171" t="s">
        <v>38</v>
      </c>
      <c r="AK486" s="299">
        <v>33</v>
      </c>
      <c r="AL486" s="503" t="s">
        <v>81</v>
      </c>
      <c r="AM486" s="299" t="s">
        <v>1340</v>
      </c>
      <c r="AO486" s="299" t="s">
        <v>1350</v>
      </c>
      <c r="AP486" s="503" t="s">
        <v>81</v>
      </c>
      <c r="AQ486" s="299" t="s">
        <v>79</v>
      </c>
    </row>
    <row r="487" spans="1:43" ht="15" customHeight="1" x14ac:dyDescent="0.25">
      <c r="A487">
        <v>64</v>
      </c>
      <c r="B487" t="s">
        <v>97</v>
      </c>
      <c r="C487" t="s">
        <v>122</v>
      </c>
      <c r="E487" s="72">
        <v>19</v>
      </c>
      <c r="F487" t="s">
        <v>98</v>
      </c>
      <c r="G487" t="s">
        <v>56</v>
      </c>
      <c r="I487" s="171">
        <v>16</v>
      </c>
      <c r="J487" s="171" t="s">
        <v>98</v>
      </c>
      <c r="K487" s="171" t="s">
        <v>56</v>
      </c>
      <c r="M487" s="171">
        <v>23</v>
      </c>
      <c r="N487" s="171" t="s">
        <v>98</v>
      </c>
      <c r="O487" s="171" t="s">
        <v>55</v>
      </c>
      <c r="Q487" s="399">
        <v>20</v>
      </c>
      <c r="R487" s="396" t="s">
        <v>98</v>
      </c>
      <c r="S487" s="397" t="s">
        <v>55</v>
      </c>
      <c r="U487" s="171">
        <v>17</v>
      </c>
      <c r="V487" s="171" t="s">
        <v>97</v>
      </c>
      <c r="W487" s="171" t="s">
        <v>122</v>
      </c>
      <c r="Y487" s="171">
        <v>31</v>
      </c>
      <c r="Z487" s="460" t="s">
        <v>98</v>
      </c>
      <c r="AA487" s="171" t="s">
        <v>55</v>
      </c>
      <c r="AC487" s="505">
        <v>28</v>
      </c>
      <c r="AD487" s="505" t="s">
        <v>98</v>
      </c>
      <c r="AE487" s="505" t="s">
        <v>56</v>
      </c>
      <c r="AG487" s="171">
        <v>33</v>
      </c>
      <c r="AH487" s="171" t="s">
        <v>98</v>
      </c>
      <c r="AI487" s="171" t="s">
        <v>38</v>
      </c>
      <c r="AK487" s="299">
        <v>29</v>
      </c>
      <c r="AL487" s="503" t="s">
        <v>81</v>
      </c>
      <c r="AM487" s="299" t="s">
        <v>1340</v>
      </c>
      <c r="AO487" s="299" t="s">
        <v>1350</v>
      </c>
      <c r="AP487" s="503" t="s">
        <v>81</v>
      </c>
      <c r="AQ487" s="299" t="s">
        <v>79</v>
      </c>
    </row>
    <row r="488" spans="1:43" ht="15" customHeight="1" x14ac:dyDescent="0.25">
      <c r="A488">
        <v>57</v>
      </c>
      <c r="B488" t="s">
        <v>97</v>
      </c>
      <c r="C488" t="s">
        <v>122</v>
      </c>
      <c r="E488" s="72">
        <v>19</v>
      </c>
      <c r="F488" t="s">
        <v>98</v>
      </c>
      <c r="G488" t="s">
        <v>56</v>
      </c>
      <c r="I488" s="171">
        <v>40</v>
      </c>
      <c r="J488" s="171" t="s">
        <v>98</v>
      </c>
      <c r="K488" s="171" t="s">
        <v>56</v>
      </c>
      <c r="M488" s="171">
        <v>29</v>
      </c>
      <c r="N488" s="171" t="s">
        <v>98</v>
      </c>
      <c r="O488" s="171" t="s">
        <v>55</v>
      </c>
      <c r="Q488" s="399">
        <v>37</v>
      </c>
      <c r="R488" s="396" t="s">
        <v>98</v>
      </c>
      <c r="S488" s="397" t="s">
        <v>55</v>
      </c>
      <c r="U488" s="171">
        <v>92</v>
      </c>
      <c r="V488" s="171" t="s">
        <v>97</v>
      </c>
      <c r="W488" s="171" t="s">
        <v>122</v>
      </c>
      <c r="Y488" s="171">
        <v>32</v>
      </c>
      <c r="Z488" s="460" t="s">
        <v>98</v>
      </c>
      <c r="AA488" s="171" t="s">
        <v>55</v>
      </c>
      <c r="AC488" s="505">
        <v>30</v>
      </c>
      <c r="AD488" s="505" t="s">
        <v>98</v>
      </c>
      <c r="AE488" s="505" t="s">
        <v>56</v>
      </c>
      <c r="AG488" s="171">
        <v>62</v>
      </c>
      <c r="AH488" s="171" t="s">
        <v>98</v>
      </c>
      <c r="AI488" s="171" t="s">
        <v>38</v>
      </c>
      <c r="AK488" s="299">
        <v>34</v>
      </c>
      <c r="AL488" s="503" t="s">
        <v>81</v>
      </c>
      <c r="AM488" s="299" t="s">
        <v>1340</v>
      </c>
      <c r="AO488" s="299" t="s">
        <v>1356</v>
      </c>
      <c r="AP488" s="503" t="s">
        <v>82</v>
      </c>
      <c r="AQ488" s="299" t="s">
        <v>79</v>
      </c>
    </row>
    <row r="489" spans="1:43" ht="15" customHeight="1" x14ac:dyDescent="0.25">
      <c r="A489">
        <v>61</v>
      </c>
      <c r="B489" t="s">
        <v>97</v>
      </c>
      <c r="C489" t="s">
        <v>122</v>
      </c>
      <c r="E489" s="72">
        <v>19</v>
      </c>
      <c r="F489" t="s">
        <v>98</v>
      </c>
      <c r="G489" t="s">
        <v>38</v>
      </c>
      <c r="I489" s="171">
        <v>26</v>
      </c>
      <c r="J489" s="171" t="s">
        <v>98</v>
      </c>
      <c r="K489" s="171" t="s">
        <v>56</v>
      </c>
      <c r="M489" s="171">
        <v>27</v>
      </c>
      <c r="N489" s="171" t="s">
        <v>98</v>
      </c>
      <c r="O489" s="171" t="s">
        <v>55</v>
      </c>
      <c r="Q489" s="399">
        <v>32</v>
      </c>
      <c r="R489" s="396" t="s">
        <v>98</v>
      </c>
      <c r="S489" s="397" t="s">
        <v>55</v>
      </c>
      <c r="U489" s="171">
        <v>59</v>
      </c>
      <c r="V489" s="171" t="s">
        <v>97</v>
      </c>
      <c r="W489" s="171" t="s">
        <v>122</v>
      </c>
      <c r="Y489" s="171">
        <v>36</v>
      </c>
      <c r="Z489" s="460" t="s">
        <v>98</v>
      </c>
      <c r="AA489" s="171" t="s">
        <v>55</v>
      </c>
      <c r="AC489" s="505">
        <v>41</v>
      </c>
      <c r="AD489" s="505" t="s">
        <v>98</v>
      </c>
      <c r="AE489" s="505" t="s">
        <v>56</v>
      </c>
      <c r="AG489" s="171">
        <v>36</v>
      </c>
      <c r="AH489" s="171" t="s">
        <v>98</v>
      </c>
      <c r="AI489" s="171" t="s">
        <v>38</v>
      </c>
      <c r="AK489" s="299">
        <v>38</v>
      </c>
      <c r="AL489" s="503" t="s">
        <v>81</v>
      </c>
      <c r="AM489" s="299" t="s">
        <v>1340</v>
      </c>
      <c r="AO489" s="299" t="s">
        <v>1350</v>
      </c>
      <c r="AP489" s="503" t="s">
        <v>81</v>
      </c>
      <c r="AQ489" s="299" t="s">
        <v>79</v>
      </c>
    </row>
    <row r="490" spans="1:43" ht="15" customHeight="1" x14ac:dyDescent="0.25">
      <c r="A490">
        <v>37</v>
      </c>
      <c r="B490" t="s">
        <v>97</v>
      </c>
      <c r="C490" t="s">
        <v>122</v>
      </c>
      <c r="E490" s="72">
        <v>19</v>
      </c>
      <c r="F490" t="s">
        <v>98</v>
      </c>
      <c r="G490" t="s">
        <v>38</v>
      </c>
      <c r="I490" s="171">
        <v>40</v>
      </c>
      <c r="J490" s="171" t="s">
        <v>98</v>
      </c>
      <c r="K490" s="171" t="s">
        <v>56</v>
      </c>
      <c r="M490" s="171">
        <v>19</v>
      </c>
      <c r="N490" s="171" t="s">
        <v>98</v>
      </c>
      <c r="O490" s="171" t="s">
        <v>55</v>
      </c>
      <c r="Q490" s="399">
        <v>26</v>
      </c>
      <c r="R490" s="396" t="s">
        <v>98</v>
      </c>
      <c r="S490" s="397" t="s">
        <v>55</v>
      </c>
      <c r="U490" s="171" t="s">
        <v>1089</v>
      </c>
      <c r="V490" s="171" t="s">
        <v>98</v>
      </c>
      <c r="W490" s="171" t="s">
        <v>79</v>
      </c>
      <c r="Y490" s="171">
        <v>27</v>
      </c>
      <c r="Z490" s="460" t="s">
        <v>98</v>
      </c>
      <c r="AA490" s="171" t="s">
        <v>55</v>
      </c>
      <c r="AC490" s="505">
        <v>25</v>
      </c>
      <c r="AD490" s="505" t="s">
        <v>98</v>
      </c>
      <c r="AE490" s="505" t="s">
        <v>56</v>
      </c>
      <c r="AG490" s="171">
        <v>39</v>
      </c>
      <c r="AH490" s="171" t="s">
        <v>98</v>
      </c>
      <c r="AI490" s="171" t="s">
        <v>38</v>
      </c>
      <c r="AK490" s="299">
        <v>24</v>
      </c>
      <c r="AL490" s="503" t="s">
        <v>81</v>
      </c>
      <c r="AM490" s="299" t="s">
        <v>1340</v>
      </c>
      <c r="AO490" s="299" t="s">
        <v>1350</v>
      </c>
      <c r="AP490" s="503" t="s">
        <v>82</v>
      </c>
      <c r="AQ490" s="299" t="s">
        <v>79</v>
      </c>
    </row>
    <row r="491" spans="1:43" ht="15" customHeight="1" x14ac:dyDescent="0.25">
      <c r="A491">
        <v>21</v>
      </c>
      <c r="B491" t="s">
        <v>97</v>
      </c>
      <c r="C491" t="s">
        <v>122</v>
      </c>
      <c r="E491" s="72">
        <v>19</v>
      </c>
      <c r="F491" t="s">
        <v>97</v>
      </c>
      <c r="G491" t="s">
        <v>122</v>
      </c>
      <c r="I491" s="171">
        <v>40</v>
      </c>
      <c r="J491" s="171" t="s">
        <v>98</v>
      </c>
      <c r="K491" s="171" t="s">
        <v>56</v>
      </c>
      <c r="M491" s="171">
        <v>42</v>
      </c>
      <c r="N491" s="171" t="s">
        <v>98</v>
      </c>
      <c r="O491" s="171" t="s">
        <v>55</v>
      </c>
      <c r="Q491" s="399">
        <v>21</v>
      </c>
      <c r="R491" s="396" t="s">
        <v>98</v>
      </c>
      <c r="S491" s="397" t="s">
        <v>55</v>
      </c>
      <c r="U491" s="171" t="s">
        <v>1090</v>
      </c>
      <c r="V491" s="171" t="s">
        <v>97</v>
      </c>
      <c r="W491" s="171" t="s">
        <v>79</v>
      </c>
      <c r="Y491" s="171">
        <v>28</v>
      </c>
      <c r="Z491" s="460" t="s">
        <v>98</v>
      </c>
      <c r="AA491" s="171" t="s">
        <v>55</v>
      </c>
      <c r="AC491" s="505">
        <v>38</v>
      </c>
      <c r="AD491" s="505" t="s">
        <v>98</v>
      </c>
      <c r="AE491" s="505" t="s">
        <v>56</v>
      </c>
      <c r="AG491" s="171">
        <v>23</v>
      </c>
      <c r="AH491" s="171" t="s">
        <v>98</v>
      </c>
      <c r="AI491" s="171" t="s">
        <v>38</v>
      </c>
      <c r="AK491" s="299">
        <v>16</v>
      </c>
      <c r="AL491" s="503" t="s">
        <v>81</v>
      </c>
      <c r="AM491" s="299" t="s">
        <v>1340</v>
      </c>
      <c r="AO491" s="299" t="s">
        <v>1350</v>
      </c>
      <c r="AP491" s="503" t="s">
        <v>81</v>
      </c>
      <c r="AQ491" s="299" t="s">
        <v>79</v>
      </c>
    </row>
    <row r="492" spans="1:43" ht="15" customHeight="1" x14ac:dyDescent="0.25">
      <c r="A492">
        <v>48</v>
      </c>
      <c r="B492" t="s">
        <v>97</v>
      </c>
      <c r="C492" t="s">
        <v>122</v>
      </c>
      <c r="E492" s="72">
        <v>19</v>
      </c>
      <c r="F492" t="s">
        <v>97</v>
      </c>
      <c r="G492" t="s">
        <v>122</v>
      </c>
      <c r="I492" s="171">
        <v>29</v>
      </c>
      <c r="J492" s="171" t="s">
        <v>98</v>
      </c>
      <c r="K492" s="171" t="s">
        <v>56</v>
      </c>
      <c r="M492" s="171">
        <v>22</v>
      </c>
      <c r="N492" s="171" t="s">
        <v>98</v>
      </c>
      <c r="O492" s="171" t="s">
        <v>55</v>
      </c>
      <c r="Q492" s="399">
        <v>19</v>
      </c>
      <c r="R492" s="396" t="s">
        <v>98</v>
      </c>
      <c r="S492" s="397" t="s">
        <v>55</v>
      </c>
      <c r="U492" s="171" t="s">
        <v>694</v>
      </c>
      <c r="V492" s="171" t="s">
        <v>98</v>
      </c>
      <c r="W492" s="171" t="s">
        <v>79</v>
      </c>
      <c r="Y492" s="171">
        <v>23</v>
      </c>
      <c r="Z492" s="460" t="s">
        <v>98</v>
      </c>
      <c r="AA492" s="171" t="s">
        <v>55</v>
      </c>
      <c r="AC492" s="505">
        <v>30</v>
      </c>
      <c r="AD492" s="505" t="s">
        <v>98</v>
      </c>
      <c r="AE492" s="505" t="s">
        <v>56</v>
      </c>
      <c r="AG492" s="171">
        <v>32</v>
      </c>
      <c r="AH492" s="171" t="s">
        <v>98</v>
      </c>
      <c r="AI492" s="171" t="s">
        <v>38</v>
      </c>
      <c r="AK492" s="299">
        <v>23</v>
      </c>
      <c r="AL492" s="503" t="s">
        <v>81</v>
      </c>
      <c r="AM492" s="299" t="s">
        <v>1340</v>
      </c>
      <c r="AO492" s="299" t="s">
        <v>1350</v>
      </c>
      <c r="AP492" s="503" t="s">
        <v>82</v>
      </c>
      <c r="AQ492" s="299" t="s">
        <v>79</v>
      </c>
    </row>
    <row r="493" spans="1:43" ht="15" customHeight="1" x14ac:dyDescent="0.25">
      <c r="A493">
        <v>35</v>
      </c>
      <c r="B493" t="s">
        <v>97</v>
      </c>
      <c r="C493" t="s">
        <v>122</v>
      </c>
      <c r="E493" s="72">
        <v>19</v>
      </c>
      <c r="F493" t="s">
        <v>98</v>
      </c>
      <c r="G493" t="s">
        <v>123</v>
      </c>
      <c r="I493" s="171">
        <v>33</v>
      </c>
      <c r="J493" s="171" t="s">
        <v>98</v>
      </c>
      <c r="K493" s="171" t="s">
        <v>56</v>
      </c>
      <c r="M493" s="171">
        <v>32</v>
      </c>
      <c r="N493" s="171" t="s">
        <v>98</v>
      </c>
      <c r="O493" s="171" t="s">
        <v>55</v>
      </c>
      <c r="Q493" s="399">
        <v>22</v>
      </c>
      <c r="R493" s="396" t="s">
        <v>98</v>
      </c>
      <c r="S493" s="397" t="s">
        <v>55</v>
      </c>
      <c r="U493" s="171" t="s">
        <v>694</v>
      </c>
      <c r="V493" s="171" t="s">
        <v>97</v>
      </c>
      <c r="W493" s="171" t="s">
        <v>79</v>
      </c>
      <c r="Y493" s="171">
        <v>47</v>
      </c>
      <c r="Z493" s="460" t="s">
        <v>98</v>
      </c>
      <c r="AA493" s="171" t="s">
        <v>55</v>
      </c>
      <c r="AC493" s="505">
        <v>22</v>
      </c>
      <c r="AD493" s="505" t="s">
        <v>98</v>
      </c>
      <c r="AE493" s="505" t="s">
        <v>56</v>
      </c>
      <c r="AG493" s="171">
        <v>44</v>
      </c>
      <c r="AH493" s="171" t="s">
        <v>98</v>
      </c>
      <c r="AI493" s="171" t="s">
        <v>38</v>
      </c>
      <c r="AK493" s="299">
        <v>30</v>
      </c>
      <c r="AL493" s="503" t="s">
        <v>81</v>
      </c>
      <c r="AM493" s="299" t="s">
        <v>1340</v>
      </c>
      <c r="AO493" s="299" t="s">
        <v>1373</v>
      </c>
      <c r="AP493" s="503" t="s">
        <v>82</v>
      </c>
      <c r="AQ493" s="299" t="s">
        <v>79</v>
      </c>
    </row>
    <row r="494" spans="1:43" ht="15" customHeight="1" x14ac:dyDescent="0.25">
      <c r="A494">
        <v>71</v>
      </c>
      <c r="B494" t="s">
        <v>97</v>
      </c>
      <c r="C494" t="s">
        <v>122</v>
      </c>
      <c r="E494" s="72">
        <v>19</v>
      </c>
      <c r="F494" t="s">
        <v>98</v>
      </c>
      <c r="G494" t="s">
        <v>123</v>
      </c>
      <c r="I494" s="171">
        <v>23</v>
      </c>
      <c r="J494" s="171" t="s">
        <v>98</v>
      </c>
      <c r="K494" s="171" t="s">
        <v>56</v>
      </c>
      <c r="M494" s="171">
        <v>38</v>
      </c>
      <c r="N494" s="171" t="s">
        <v>98</v>
      </c>
      <c r="O494" s="171" t="s">
        <v>55</v>
      </c>
      <c r="Q494" s="399">
        <v>20</v>
      </c>
      <c r="R494" s="396" t="s">
        <v>98</v>
      </c>
      <c r="S494" s="397" t="s">
        <v>55</v>
      </c>
      <c r="U494" s="171" t="s">
        <v>694</v>
      </c>
      <c r="V494" s="171" t="s">
        <v>97</v>
      </c>
      <c r="W494" s="171" t="s">
        <v>79</v>
      </c>
      <c r="Y494" s="171">
        <v>37</v>
      </c>
      <c r="Z494" s="460" t="s">
        <v>98</v>
      </c>
      <c r="AA494" s="171" t="s">
        <v>55</v>
      </c>
      <c r="AC494" s="505">
        <v>34</v>
      </c>
      <c r="AD494" s="505" t="s">
        <v>98</v>
      </c>
      <c r="AE494" s="505" t="s">
        <v>56</v>
      </c>
      <c r="AG494" s="171">
        <v>30</v>
      </c>
      <c r="AH494" s="171" t="s">
        <v>98</v>
      </c>
      <c r="AI494" s="171" t="s">
        <v>38</v>
      </c>
      <c r="AK494" s="299">
        <v>35</v>
      </c>
      <c r="AL494" s="503" t="s">
        <v>81</v>
      </c>
      <c r="AM494" s="299" t="s">
        <v>1340</v>
      </c>
      <c r="AO494" s="299" t="s">
        <v>1350</v>
      </c>
      <c r="AP494" s="503" t="s">
        <v>82</v>
      </c>
      <c r="AQ494" s="299" t="s">
        <v>79</v>
      </c>
    </row>
    <row r="495" spans="1:43" ht="15" customHeight="1" x14ac:dyDescent="0.25">
      <c r="A495">
        <v>69</v>
      </c>
      <c r="B495" t="s">
        <v>97</v>
      </c>
      <c r="C495" t="s">
        <v>122</v>
      </c>
      <c r="E495" s="72">
        <v>19</v>
      </c>
      <c r="F495" t="s">
        <v>98</v>
      </c>
      <c r="G495" t="s">
        <v>123</v>
      </c>
      <c r="I495" s="171">
        <v>29</v>
      </c>
      <c r="J495" s="171" t="s">
        <v>98</v>
      </c>
      <c r="K495" s="171" t="s">
        <v>56</v>
      </c>
      <c r="M495" s="171">
        <v>36</v>
      </c>
      <c r="N495" s="171" t="s">
        <v>98</v>
      </c>
      <c r="O495" s="171" t="s">
        <v>55</v>
      </c>
      <c r="Q495" s="399">
        <v>27</v>
      </c>
      <c r="R495" s="396" t="s">
        <v>98</v>
      </c>
      <c r="S495" s="397" t="s">
        <v>55</v>
      </c>
      <c r="U495" s="171" t="s">
        <v>694</v>
      </c>
      <c r="V495" s="171" t="s">
        <v>98</v>
      </c>
      <c r="W495" s="171" t="s">
        <v>79</v>
      </c>
      <c r="Y495" s="171">
        <v>23</v>
      </c>
      <c r="Z495" s="460" t="s">
        <v>98</v>
      </c>
      <c r="AA495" s="171" t="s">
        <v>55</v>
      </c>
      <c r="AC495" s="505">
        <v>16</v>
      </c>
      <c r="AD495" s="505" t="s">
        <v>98</v>
      </c>
      <c r="AE495" s="505" t="s">
        <v>56</v>
      </c>
      <c r="AG495" s="171">
        <v>30</v>
      </c>
      <c r="AH495" s="171" t="s">
        <v>98</v>
      </c>
      <c r="AI495" s="171" t="s">
        <v>38</v>
      </c>
      <c r="AK495" s="299">
        <v>17</v>
      </c>
      <c r="AL495" s="503" t="s">
        <v>81</v>
      </c>
      <c r="AM495" s="299" t="s">
        <v>1340</v>
      </c>
      <c r="AO495" s="299" t="s">
        <v>1353</v>
      </c>
      <c r="AP495" s="503" t="s">
        <v>82</v>
      </c>
      <c r="AQ495" s="299" t="s">
        <v>79</v>
      </c>
    </row>
    <row r="496" spans="1:43" ht="15" customHeight="1" x14ac:dyDescent="0.25">
      <c r="A496">
        <v>11</v>
      </c>
      <c r="B496" t="s">
        <v>98</v>
      </c>
      <c r="C496" t="s">
        <v>134</v>
      </c>
      <c r="E496" s="72">
        <v>19</v>
      </c>
      <c r="F496" t="s">
        <v>98</v>
      </c>
      <c r="G496" t="s">
        <v>123</v>
      </c>
      <c r="I496" s="171">
        <v>39</v>
      </c>
      <c r="J496" s="171" t="s">
        <v>98</v>
      </c>
      <c r="K496" s="171" t="s">
        <v>56</v>
      </c>
      <c r="M496" s="171">
        <v>27</v>
      </c>
      <c r="N496" s="171" t="s">
        <v>98</v>
      </c>
      <c r="O496" s="171" t="s">
        <v>55</v>
      </c>
      <c r="Q496" s="399">
        <v>18</v>
      </c>
      <c r="R496" s="396" t="s">
        <v>98</v>
      </c>
      <c r="S496" s="397" t="s">
        <v>55</v>
      </c>
      <c r="U496" s="171" t="s">
        <v>694</v>
      </c>
      <c r="V496" s="171" t="s">
        <v>97</v>
      </c>
      <c r="W496" s="171" t="s">
        <v>79</v>
      </c>
      <c r="Y496" s="171">
        <v>20</v>
      </c>
      <c r="Z496" s="460" t="s">
        <v>98</v>
      </c>
      <c r="AA496" s="171" t="s">
        <v>55</v>
      </c>
      <c r="AC496" s="505">
        <v>27</v>
      </c>
      <c r="AD496" s="505" t="s">
        <v>98</v>
      </c>
      <c r="AE496" s="505" t="s">
        <v>56</v>
      </c>
      <c r="AG496" s="171">
        <v>18</v>
      </c>
      <c r="AH496" s="171" t="s">
        <v>98</v>
      </c>
      <c r="AI496" s="171" t="s">
        <v>38</v>
      </c>
      <c r="AK496" s="299">
        <v>25</v>
      </c>
      <c r="AL496" s="503" t="s">
        <v>81</v>
      </c>
      <c r="AM496" s="299" t="s">
        <v>1340</v>
      </c>
      <c r="AO496" s="299" t="s">
        <v>1350</v>
      </c>
      <c r="AP496" s="503" t="s">
        <v>82</v>
      </c>
      <c r="AQ496" s="299" t="s">
        <v>79</v>
      </c>
    </row>
    <row r="497" spans="1:43" ht="15" customHeight="1" x14ac:dyDescent="0.25">
      <c r="A497">
        <v>7</v>
      </c>
      <c r="B497" t="s">
        <v>97</v>
      </c>
      <c r="C497" t="s">
        <v>134</v>
      </c>
      <c r="E497" s="72">
        <v>19</v>
      </c>
      <c r="F497" t="s">
        <v>98</v>
      </c>
      <c r="G497" t="s">
        <v>123</v>
      </c>
      <c r="I497" s="171">
        <v>19</v>
      </c>
      <c r="J497" s="171" t="s">
        <v>98</v>
      </c>
      <c r="K497" s="171" t="s">
        <v>56</v>
      </c>
      <c r="M497" s="171">
        <v>37</v>
      </c>
      <c r="N497" s="171" t="s">
        <v>98</v>
      </c>
      <c r="O497" s="171" t="s">
        <v>55</v>
      </c>
      <c r="Q497" s="399">
        <v>22</v>
      </c>
      <c r="R497" s="396" t="s">
        <v>98</v>
      </c>
      <c r="S497" s="397" t="s">
        <v>55</v>
      </c>
      <c r="U497" s="171" t="s">
        <v>694</v>
      </c>
      <c r="V497" s="171" t="s">
        <v>98</v>
      </c>
      <c r="W497" s="171" t="s">
        <v>79</v>
      </c>
      <c r="Y497" s="171">
        <v>19</v>
      </c>
      <c r="Z497" s="460" t="s">
        <v>98</v>
      </c>
      <c r="AA497" s="171" t="s">
        <v>55</v>
      </c>
      <c r="AC497" s="505">
        <v>38</v>
      </c>
      <c r="AD497" s="505" t="s">
        <v>98</v>
      </c>
      <c r="AE497" s="505" t="s">
        <v>56</v>
      </c>
      <c r="AG497" s="171">
        <v>28</v>
      </c>
      <c r="AH497" s="171" t="s">
        <v>98</v>
      </c>
      <c r="AI497" s="171" t="s">
        <v>38</v>
      </c>
      <c r="AK497" s="299">
        <v>3</v>
      </c>
      <c r="AL497" s="503" t="s">
        <v>82</v>
      </c>
      <c r="AM497" s="299" t="s">
        <v>134</v>
      </c>
      <c r="AO497" s="299" t="s">
        <v>1350</v>
      </c>
      <c r="AP497" s="503" t="s">
        <v>82</v>
      </c>
      <c r="AQ497" s="299" t="s">
        <v>79</v>
      </c>
    </row>
    <row r="498" spans="1:43" ht="15" customHeight="1" x14ac:dyDescent="0.25">
      <c r="A498">
        <v>9</v>
      </c>
      <c r="B498" t="s">
        <v>97</v>
      </c>
      <c r="C498" t="s">
        <v>134</v>
      </c>
      <c r="E498" s="72">
        <v>18</v>
      </c>
      <c r="F498" t="s">
        <v>97</v>
      </c>
      <c r="G498" t="s">
        <v>688</v>
      </c>
      <c r="I498" s="171">
        <v>36</v>
      </c>
      <c r="J498" s="171" t="s">
        <v>98</v>
      </c>
      <c r="K498" s="171" t="s">
        <v>56</v>
      </c>
      <c r="M498" s="171">
        <v>23</v>
      </c>
      <c r="N498" s="171" t="s">
        <v>98</v>
      </c>
      <c r="O498" s="171" t="s">
        <v>55</v>
      </c>
      <c r="Q498" s="399">
        <v>27</v>
      </c>
      <c r="R498" s="396" t="s">
        <v>98</v>
      </c>
      <c r="S498" s="397" t="s">
        <v>55</v>
      </c>
      <c r="U498" s="171" t="s">
        <v>694</v>
      </c>
      <c r="V498" s="171" t="s">
        <v>98</v>
      </c>
      <c r="W498" s="171" t="s">
        <v>79</v>
      </c>
      <c r="Y498" s="171">
        <v>19</v>
      </c>
      <c r="Z498" s="460" t="s">
        <v>98</v>
      </c>
      <c r="AA498" s="171" t="s">
        <v>55</v>
      </c>
      <c r="AC498" s="505">
        <v>35</v>
      </c>
      <c r="AD498" s="505" t="s">
        <v>98</v>
      </c>
      <c r="AE498" s="505" t="s">
        <v>56</v>
      </c>
      <c r="AG498" s="171">
        <v>34</v>
      </c>
      <c r="AH498" s="171" t="s">
        <v>98</v>
      </c>
      <c r="AI498" s="171" t="s">
        <v>38</v>
      </c>
      <c r="AK498" s="299">
        <v>8</v>
      </c>
      <c r="AL498" s="299" t="s">
        <v>81</v>
      </c>
      <c r="AM498" s="299" t="s">
        <v>134</v>
      </c>
      <c r="AO498" s="299" t="s">
        <v>1350</v>
      </c>
      <c r="AP498" s="299" t="s">
        <v>81</v>
      </c>
      <c r="AQ498" s="299" t="s">
        <v>79</v>
      </c>
    </row>
    <row r="499" spans="1:43" ht="15" customHeight="1" x14ac:dyDescent="0.25">
      <c r="A499">
        <v>1</v>
      </c>
      <c r="B499" t="s">
        <v>97</v>
      </c>
      <c r="C499" t="s">
        <v>134</v>
      </c>
      <c r="E499" s="72">
        <v>18</v>
      </c>
      <c r="F499" t="s">
        <v>98</v>
      </c>
      <c r="G499" t="s">
        <v>55</v>
      </c>
      <c r="I499" s="171">
        <v>23</v>
      </c>
      <c r="J499" s="171" t="s">
        <v>98</v>
      </c>
      <c r="K499" s="171" t="s">
        <v>56</v>
      </c>
      <c r="M499" s="171">
        <v>26</v>
      </c>
      <c r="N499" s="171" t="s">
        <v>98</v>
      </c>
      <c r="O499" s="171" t="s">
        <v>55</v>
      </c>
      <c r="Q499" s="399">
        <v>31</v>
      </c>
      <c r="R499" s="396" t="s">
        <v>98</v>
      </c>
      <c r="S499" s="397" t="s">
        <v>55</v>
      </c>
      <c r="U499" s="171" t="s">
        <v>712</v>
      </c>
      <c r="V499" s="171" t="s">
        <v>98</v>
      </c>
      <c r="W499" s="171" t="s">
        <v>79</v>
      </c>
      <c r="Y499" s="171">
        <v>28</v>
      </c>
      <c r="Z499" s="460" t="s">
        <v>98</v>
      </c>
      <c r="AA499" s="171" t="s">
        <v>55</v>
      </c>
      <c r="AC499" s="505">
        <v>43</v>
      </c>
      <c r="AD499" s="505" t="s">
        <v>98</v>
      </c>
      <c r="AE499" s="505" t="s">
        <v>56</v>
      </c>
      <c r="AG499" s="171">
        <v>34</v>
      </c>
      <c r="AH499" s="171" t="s">
        <v>98</v>
      </c>
      <c r="AI499" s="171" t="s">
        <v>38</v>
      </c>
      <c r="AK499" s="299">
        <v>8</v>
      </c>
      <c r="AL499" s="299" t="s">
        <v>82</v>
      </c>
      <c r="AM499" s="299" t="s">
        <v>134</v>
      </c>
      <c r="AO499" s="299" t="s">
        <v>1350</v>
      </c>
      <c r="AP499" s="299" t="s">
        <v>82</v>
      </c>
      <c r="AQ499" s="299" t="s">
        <v>79</v>
      </c>
    </row>
    <row r="500" spans="1:43" ht="15" customHeight="1" x14ac:dyDescent="0.25">
      <c r="A500" t="s">
        <v>689</v>
      </c>
      <c r="B500" t="s">
        <v>97</v>
      </c>
      <c r="C500" t="s">
        <v>134</v>
      </c>
      <c r="E500" s="72">
        <v>18</v>
      </c>
      <c r="F500" t="s">
        <v>98</v>
      </c>
      <c r="G500" t="s">
        <v>55</v>
      </c>
      <c r="I500" s="171">
        <v>33</v>
      </c>
      <c r="J500" s="171" t="s">
        <v>98</v>
      </c>
      <c r="K500" s="171" t="s">
        <v>56</v>
      </c>
      <c r="M500" s="171">
        <v>19</v>
      </c>
      <c r="N500" s="171" t="s">
        <v>98</v>
      </c>
      <c r="O500" s="171" t="s">
        <v>55</v>
      </c>
      <c r="Q500" s="399">
        <v>37</v>
      </c>
      <c r="R500" s="396" t="s">
        <v>98</v>
      </c>
      <c r="S500" s="397" t="s">
        <v>55</v>
      </c>
      <c r="U500" s="171" t="s">
        <v>694</v>
      </c>
      <c r="V500" s="171" t="s">
        <v>97</v>
      </c>
      <c r="W500" s="171" t="s">
        <v>79</v>
      </c>
      <c r="Y500" s="171">
        <v>32</v>
      </c>
      <c r="Z500" s="460" t="s">
        <v>98</v>
      </c>
      <c r="AA500" s="171" t="s">
        <v>55</v>
      </c>
      <c r="AC500" s="505">
        <v>19</v>
      </c>
      <c r="AD500" s="505" t="s">
        <v>98</v>
      </c>
      <c r="AE500" s="505" t="s">
        <v>56</v>
      </c>
      <c r="AG500" s="171">
        <v>33</v>
      </c>
      <c r="AH500" s="171" t="s">
        <v>98</v>
      </c>
      <c r="AI500" s="171" t="s">
        <v>38</v>
      </c>
      <c r="AK500" s="299">
        <v>8</v>
      </c>
      <c r="AL500" s="299" t="s">
        <v>82</v>
      </c>
      <c r="AM500" s="299" t="s">
        <v>134</v>
      </c>
      <c r="AO500" s="299" t="s">
        <v>1350</v>
      </c>
      <c r="AP500" s="299" t="s">
        <v>82</v>
      </c>
      <c r="AQ500" s="299" t="s">
        <v>79</v>
      </c>
    </row>
    <row r="501" spans="1:43" ht="15" customHeight="1" x14ac:dyDescent="0.25">
      <c r="A501" t="s">
        <v>705</v>
      </c>
      <c r="B501" t="s">
        <v>97</v>
      </c>
      <c r="C501" t="s">
        <v>134</v>
      </c>
      <c r="E501" s="72">
        <v>18</v>
      </c>
      <c r="F501" t="s">
        <v>98</v>
      </c>
      <c r="G501" t="s">
        <v>55</v>
      </c>
      <c r="I501" s="171">
        <v>22</v>
      </c>
      <c r="J501" s="171" t="s">
        <v>98</v>
      </c>
      <c r="K501" s="171" t="s">
        <v>56</v>
      </c>
      <c r="M501" s="171">
        <v>24</v>
      </c>
      <c r="N501" s="171" t="s">
        <v>98</v>
      </c>
      <c r="O501" s="171" t="s">
        <v>55</v>
      </c>
      <c r="Q501" s="399">
        <v>24</v>
      </c>
      <c r="R501" s="396" t="s">
        <v>98</v>
      </c>
      <c r="S501" s="397" t="s">
        <v>55</v>
      </c>
      <c r="U501" s="171" t="s">
        <v>694</v>
      </c>
      <c r="V501" s="171" t="s">
        <v>97</v>
      </c>
      <c r="W501" s="171" t="s">
        <v>79</v>
      </c>
      <c r="Y501" s="460">
        <v>22</v>
      </c>
      <c r="Z501" s="460" t="s">
        <v>98</v>
      </c>
      <c r="AA501" s="460" t="s">
        <v>55</v>
      </c>
      <c r="AC501" s="505">
        <v>29</v>
      </c>
      <c r="AD501" s="505" t="s">
        <v>98</v>
      </c>
      <c r="AE501" s="505" t="s">
        <v>56</v>
      </c>
      <c r="AG501" s="171">
        <v>24</v>
      </c>
      <c r="AH501" s="171" t="s">
        <v>98</v>
      </c>
      <c r="AI501" s="171" t="s">
        <v>38</v>
      </c>
      <c r="AK501" s="299" t="s">
        <v>1341</v>
      </c>
      <c r="AL501" s="299" t="s">
        <v>81</v>
      </c>
      <c r="AM501" s="299" t="s">
        <v>134</v>
      </c>
      <c r="AO501" s="299" t="s">
        <v>1350</v>
      </c>
      <c r="AP501" s="299" t="s">
        <v>81</v>
      </c>
      <c r="AQ501" s="299" t="s">
        <v>79</v>
      </c>
    </row>
    <row r="502" spans="1:43" ht="15" customHeight="1" x14ac:dyDescent="0.25">
      <c r="A502">
        <v>3</v>
      </c>
      <c r="B502" t="s">
        <v>97</v>
      </c>
      <c r="C502" t="s">
        <v>134</v>
      </c>
      <c r="E502" s="72">
        <v>18</v>
      </c>
      <c r="F502" t="s">
        <v>98</v>
      </c>
      <c r="G502" t="s">
        <v>55</v>
      </c>
      <c r="I502" s="171">
        <v>24</v>
      </c>
      <c r="J502" s="171" t="s">
        <v>98</v>
      </c>
      <c r="K502" s="171" t="s">
        <v>56</v>
      </c>
      <c r="M502" s="171">
        <v>27</v>
      </c>
      <c r="N502" s="171" t="s">
        <v>98</v>
      </c>
      <c r="O502" s="171" t="s">
        <v>55</v>
      </c>
      <c r="Q502" s="399">
        <v>37</v>
      </c>
      <c r="R502" s="396" t="s">
        <v>98</v>
      </c>
      <c r="S502" s="397" t="s">
        <v>55</v>
      </c>
      <c r="U502" s="171" t="s">
        <v>694</v>
      </c>
      <c r="V502" s="171" t="s">
        <v>98</v>
      </c>
      <c r="W502" s="171" t="s">
        <v>79</v>
      </c>
      <c r="Y502" s="171" t="s">
        <v>694</v>
      </c>
      <c r="Z502" s="171" t="s">
        <v>98</v>
      </c>
      <c r="AA502" s="171" t="s">
        <v>79</v>
      </c>
      <c r="AC502" s="505">
        <v>30</v>
      </c>
      <c r="AD502" s="505" t="s">
        <v>98</v>
      </c>
      <c r="AE502" s="505" t="s">
        <v>56</v>
      </c>
      <c r="AG502" s="171">
        <v>21</v>
      </c>
      <c r="AH502" s="171" t="s">
        <v>98</v>
      </c>
      <c r="AI502" s="171" t="s">
        <v>38</v>
      </c>
      <c r="AK502" s="299">
        <v>1</v>
      </c>
      <c r="AL502" s="299" t="s">
        <v>81</v>
      </c>
      <c r="AM502" s="299" t="s">
        <v>134</v>
      </c>
      <c r="AO502" s="299">
        <v>17</v>
      </c>
      <c r="AP502" s="299" t="s">
        <v>82</v>
      </c>
      <c r="AQ502" s="299" t="s">
        <v>688</v>
      </c>
    </row>
    <row r="503" spans="1:43" ht="15" customHeight="1" x14ac:dyDescent="0.25">
      <c r="A503">
        <v>1</v>
      </c>
      <c r="B503" t="s">
        <v>97</v>
      </c>
      <c r="C503" t="s">
        <v>134</v>
      </c>
      <c r="E503" s="72">
        <v>18</v>
      </c>
      <c r="F503" t="s">
        <v>98</v>
      </c>
      <c r="G503" t="s">
        <v>56</v>
      </c>
      <c r="I503" s="171">
        <v>16</v>
      </c>
      <c r="J503" s="171" t="s">
        <v>98</v>
      </c>
      <c r="K503" s="171" t="s">
        <v>56</v>
      </c>
      <c r="M503" s="171">
        <v>40</v>
      </c>
      <c r="N503" s="171" t="s">
        <v>98</v>
      </c>
      <c r="O503" s="171" t="s">
        <v>55</v>
      </c>
      <c r="Q503" s="399">
        <v>41</v>
      </c>
      <c r="R503" s="396" t="s">
        <v>98</v>
      </c>
      <c r="S503" s="397" t="s">
        <v>55</v>
      </c>
      <c r="U503" s="171" t="s">
        <v>696</v>
      </c>
      <c r="V503" s="171" t="s">
        <v>97</v>
      </c>
      <c r="W503" s="171" t="s">
        <v>79</v>
      </c>
      <c r="Y503" s="171" t="s">
        <v>694</v>
      </c>
      <c r="Z503" s="171" t="s">
        <v>98</v>
      </c>
      <c r="AA503" s="171" t="s">
        <v>79</v>
      </c>
      <c r="AC503" s="505">
        <v>25</v>
      </c>
      <c r="AD503" s="505" t="s">
        <v>98</v>
      </c>
      <c r="AE503" s="505" t="s">
        <v>56</v>
      </c>
      <c r="AG503" s="171">
        <v>39</v>
      </c>
      <c r="AH503" s="171" t="s">
        <v>98</v>
      </c>
      <c r="AI503" s="171" t="s">
        <v>38</v>
      </c>
      <c r="AK503" s="299">
        <v>5</v>
      </c>
      <c r="AL503" s="299" t="s">
        <v>81</v>
      </c>
      <c r="AM503" s="299" t="s">
        <v>134</v>
      </c>
      <c r="AO503" s="299">
        <v>28</v>
      </c>
      <c r="AP503" s="299" t="s">
        <v>82</v>
      </c>
      <c r="AQ503" s="299" t="s">
        <v>688</v>
      </c>
    </row>
    <row r="504" spans="1:43" ht="15" customHeight="1" x14ac:dyDescent="0.25">
      <c r="A504">
        <v>1</v>
      </c>
      <c r="B504" t="s">
        <v>97</v>
      </c>
      <c r="C504" t="s">
        <v>134</v>
      </c>
      <c r="E504" s="72">
        <v>18</v>
      </c>
      <c r="F504" t="s">
        <v>98</v>
      </c>
      <c r="G504" t="s">
        <v>38</v>
      </c>
      <c r="I504" s="171">
        <v>35</v>
      </c>
      <c r="J504" s="171" t="s">
        <v>98</v>
      </c>
      <c r="K504" s="171" t="s">
        <v>56</v>
      </c>
      <c r="M504" s="171">
        <v>46</v>
      </c>
      <c r="N504" s="171" t="s">
        <v>98</v>
      </c>
      <c r="O504" s="171" t="s">
        <v>55</v>
      </c>
      <c r="Q504" s="399">
        <v>33</v>
      </c>
      <c r="R504" s="396" t="s">
        <v>98</v>
      </c>
      <c r="S504" s="397" t="s">
        <v>55</v>
      </c>
      <c r="U504" s="171" t="s">
        <v>697</v>
      </c>
      <c r="V504" s="171" t="s">
        <v>97</v>
      </c>
      <c r="W504" s="171" t="s">
        <v>79</v>
      </c>
      <c r="Y504" s="171" t="s">
        <v>694</v>
      </c>
      <c r="Z504" s="171" t="s">
        <v>98</v>
      </c>
      <c r="AA504" s="171" t="s">
        <v>79</v>
      </c>
      <c r="AC504" s="505">
        <v>22</v>
      </c>
      <c r="AD504" s="505" t="s">
        <v>98</v>
      </c>
      <c r="AE504" s="505" t="s">
        <v>56</v>
      </c>
      <c r="AG504" s="171">
        <v>24</v>
      </c>
      <c r="AH504" s="171" t="s">
        <v>98</v>
      </c>
      <c r="AI504" s="171" t="s">
        <v>38</v>
      </c>
      <c r="AK504" s="299">
        <v>2</v>
      </c>
      <c r="AL504" s="299" t="s">
        <v>82</v>
      </c>
      <c r="AM504" s="299" t="s">
        <v>134</v>
      </c>
      <c r="AO504" s="299">
        <v>33</v>
      </c>
      <c r="AP504" s="299" t="s">
        <v>82</v>
      </c>
      <c r="AQ504" s="299" t="s">
        <v>688</v>
      </c>
    </row>
    <row r="505" spans="1:43" ht="15" customHeight="1" x14ac:dyDescent="0.25">
      <c r="A505" t="s">
        <v>704</v>
      </c>
      <c r="B505" t="s">
        <v>97</v>
      </c>
      <c r="C505" t="s">
        <v>134</v>
      </c>
      <c r="E505" s="72">
        <v>18</v>
      </c>
      <c r="F505" t="s">
        <v>97</v>
      </c>
      <c r="G505" t="s">
        <v>122</v>
      </c>
      <c r="I505" s="171">
        <v>17</v>
      </c>
      <c r="J505" s="171" t="s">
        <v>98</v>
      </c>
      <c r="K505" s="171" t="s">
        <v>56</v>
      </c>
      <c r="M505" s="171">
        <v>27</v>
      </c>
      <c r="N505" s="171" t="s">
        <v>98</v>
      </c>
      <c r="O505" s="171" t="s">
        <v>55</v>
      </c>
      <c r="Q505" s="399">
        <v>24</v>
      </c>
      <c r="R505" s="396" t="s">
        <v>98</v>
      </c>
      <c r="S505" s="397" t="s">
        <v>55</v>
      </c>
      <c r="U505" s="171" t="s">
        <v>712</v>
      </c>
      <c r="V505" s="171" t="s">
        <v>97</v>
      </c>
      <c r="W505" s="171" t="s">
        <v>79</v>
      </c>
      <c r="Y505" s="171" t="s">
        <v>694</v>
      </c>
      <c r="Z505" s="171" t="s">
        <v>97</v>
      </c>
      <c r="AA505" s="171" t="s">
        <v>79</v>
      </c>
      <c r="AC505" s="505">
        <v>33</v>
      </c>
      <c r="AD505" s="505" t="s">
        <v>98</v>
      </c>
      <c r="AE505" s="505" t="s">
        <v>56</v>
      </c>
      <c r="AG505" s="171">
        <v>49</v>
      </c>
      <c r="AH505" s="171" t="s">
        <v>98</v>
      </c>
      <c r="AI505" s="171" t="s">
        <v>38</v>
      </c>
      <c r="AK505" s="299">
        <v>9</v>
      </c>
      <c r="AL505" s="299" t="s">
        <v>82</v>
      </c>
      <c r="AM505" s="299" t="s">
        <v>134</v>
      </c>
      <c r="AO505" s="299">
        <v>37</v>
      </c>
      <c r="AP505" s="299" t="s">
        <v>81</v>
      </c>
      <c r="AQ505" s="299" t="s">
        <v>688</v>
      </c>
    </row>
    <row r="506" spans="1:43" ht="15" customHeight="1" x14ac:dyDescent="0.25">
      <c r="A506">
        <v>11</v>
      </c>
      <c r="B506" t="s">
        <v>98</v>
      </c>
      <c r="C506" t="s">
        <v>134</v>
      </c>
      <c r="E506" s="72">
        <v>18</v>
      </c>
      <c r="F506" t="s">
        <v>97</v>
      </c>
      <c r="G506" t="s">
        <v>122</v>
      </c>
      <c r="I506" s="171">
        <v>31</v>
      </c>
      <c r="J506" s="171" t="s">
        <v>98</v>
      </c>
      <c r="K506" s="171" t="s">
        <v>56</v>
      </c>
      <c r="M506" s="171">
        <v>31</v>
      </c>
      <c r="N506" s="171" t="s">
        <v>98</v>
      </c>
      <c r="O506" s="171" t="s">
        <v>55</v>
      </c>
      <c r="Q506" s="399">
        <v>37</v>
      </c>
      <c r="R506" s="396" t="s">
        <v>98</v>
      </c>
      <c r="S506" s="397" t="s">
        <v>55</v>
      </c>
      <c r="U506" s="171" t="s">
        <v>697</v>
      </c>
      <c r="V506" s="171" t="s">
        <v>98</v>
      </c>
      <c r="W506" s="171" t="s">
        <v>79</v>
      </c>
      <c r="Y506" s="171" t="s">
        <v>696</v>
      </c>
      <c r="Z506" s="171" t="s">
        <v>98</v>
      </c>
      <c r="AA506" s="171" t="s">
        <v>79</v>
      </c>
      <c r="AC506" s="505">
        <v>27</v>
      </c>
      <c r="AD506" s="505" t="s">
        <v>98</v>
      </c>
      <c r="AE506" s="505" t="s">
        <v>56</v>
      </c>
      <c r="AG506" s="171">
        <v>42</v>
      </c>
      <c r="AH506" s="171" t="s">
        <v>98</v>
      </c>
      <c r="AI506" s="171" t="s">
        <v>38</v>
      </c>
      <c r="AK506" s="299">
        <v>2</v>
      </c>
      <c r="AL506" s="299" t="s">
        <v>82</v>
      </c>
      <c r="AM506" s="299" t="s">
        <v>134</v>
      </c>
      <c r="AO506" s="299">
        <v>2</v>
      </c>
      <c r="AP506" s="299" t="s">
        <v>81</v>
      </c>
      <c r="AQ506" s="299" t="s">
        <v>688</v>
      </c>
    </row>
    <row r="507" spans="1:43" ht="15" customHeight="1" x14ac:dyDescent="0.25">
      <c r="A507">
        <v>3</v>
      </c>
      <c r="B507" t="s">
        <v>98</v>
      </c>
      <c r="C507" t="s">
        <v>134</v>
      </c>
      <c r="E507" s="72">
        <v>18</v>
      </c>
      <c r="F507" t="s">
        <v>97</v>
      </c>
      <c r="G507" t="s">
        <v>122</v>
      </c>
      <c r="I507" s="171">
        <v>28</v>
      </c>
      <c r="J507" s="171" t="s">
        <v>98</v>
      </c>
      <c r="K507" s="171" t="s">
        <v>56</v>
      </c>
      <c r="M507" s="171">
        <v>31</v>
      </c>
      <c r="N507" s="171" t="s">
        <v>98</v>
      </c>
      <c r="O507" s="171" t="s">
        <v>55</v>
      </c>
      <c r="Q507" s="399">
        <v>16</v>
      </c>
      <c r="R507" s="396" t="s">
        <v>98</v>
      </c>
      <c r="S507" s="397" t="s">
        <v>55</v>
      </c>
      <c r="U507" s="171" t="s">
        <v>960</v>
      </c>
      <c r="V507" s="171" t="s">
        <v>98</v>
      </c>
      <c r="W507" s="171" t="s">
        <v>79</v>
      </c>
      <c r="Y507" s="171" t="s">
        <v>694</v>
      </c>
      <c r="Z507" s="171" t="s">
        <v>97</v>
      </c>
      <c r="AA507" s="171" t="s">
        <v>79</v>
      </c>
      <c r="AC507" s="505">
        <v>28</v>
      </c>
      <c r="AD507" s="505" t="s">
        <v>98</v>
      </c>
      <c r="AE507" s="505" t="s">
        <v>56</v>
      </c>
      <c r="AG507" s="171">
        <v>47</v>
      </c>
      <c r="AH507" s="171" t="s">
        <v>98</v>
      </c>
      <c r="AI507" s="171" t="s">
        <v>38</v>
      </c>
      <c r="AK507" s="299">
        <v>2</v>
      </c>
      <c r="AL507" s="299" t="s">
        <v>81</v>
      </c>
      <c r="AM507" s="299" t="s">
        <v>134</v>
      </c>
      <c r="AO507" s="299">
        <v>52</v>
      </c>
      <c r="AP507" s="299" t="s">
        <v>82</v>
      </c>
      <c r="AQ507" s="299" t="s">
        <v>688</v>
      </c>
    </row>
    <row r="508" spans="1:43" ht="15" customHeight="1" x14ac:dyDescent="0.25">
      <c r="A508">
        <v>2</v>
      </c>
      <c r="B508" t="s">
        <v>97</v>
      </c>
      <c r="C508" t="s">
        <v>134</v>
      </c>
      <c r="E508" s="72">
        <v>18</v>
      </c>
      <c r="F508" t="s">
        <v>97</v>
      </c>
      <c r="G508" t="s">
        <v>122</v>
      </c>
      <c r="I508" s="171">
        <v>23</v>
      </c>
      <c r="J508" s="171" t="s">
        <v>98</v>
      </c>
      <c r="K508" s="171" t="s">
        <v>56</v>
      </c>
      <c r="M508" s="171">
        <v>27</v>
      </c>
      <c r="N508" s="171" t="s">
        <v>98</v>
      </c>
      <c r="O508" s="171" t="s">
        <v>55</v>
      </c>
      <c r="Q508" s="399">
        <v>31</v>
      </c>
      <c r="R508" s="396" t="s">
        <v>98</v>
      </c>
      <c r="S508" s="397" t="s">
        <v>55</v>
      </c>
      <c r="U508" s="171" t="s">
        <v>956</v>
      </c>
      <c r="V508" s="171" t="s">
        <v>98</v>
      </c>
      <c r="W508" s="171" t="s">
        <v>79</v>
      </c>
      <c r="Y508" s="171" t="s">
        <v>694</v>
      </c>
      <c r="Z508" s="171" t="s">
        <v>98</v>
      </c>
      <c r="AA508" s="171" t="s">
        <v>79</v>
      </c>
      <c r="AC508" s="505">
        <v>27</v>
      </c>
      <c r="AD508" s="505" t="s">
        <v>98</v>
      </c>
      <c r="AE508" s="505" t="s">
        <v>56</v>
      </c>
      <c r="AG508" s="171">
        <v>15</v>
      </c>
      <c r="AH508" s="171" t="s">
        <v>98</v>
      </c>
      <c r="AI508" s="171" t="s">
        <v>38</v>
      </c>
      <c r="AK508" s="299" t="s">
        <v>1341</v>
      </c>
      <c r="AL508" s="299" t="s">
        <v>81</v>
      </c>
      <c r="AM508" s="299" t="s">
        <v>134</v>
      </c>
      <c r="AO508" s="299">
        <v>32</v>
      </c>
      <c r="AP508" s="299" t="s">
        <v>82</v>
      </c>
      <c r="AQ508" s="299" t="s">
        <v>688</v>
      </c>
    </row>
    <row r="509" spans="1:43" ht="15" customHeight="1" x14ac:dyDescent="0.25">
      <c r="A509" t="s">
        <v>690</v>
      </c>
      <c r="B509" t="s">
        <v>98</v>
      </c>
      <c r="C509" t="s">
        <v>134</v>
      </c>
      <c r="E509" s="72">
        <v>17</v>
      </c>
      <c r="F509" t="s">
        <v>97</v>
      </c>
      <c r="G509" t="s">
        <v>688</v>
      </c>
      <c r="I509" s="171">
        <v>32</v>
      </c>
      <c r="J509" s="171" t="s">
        <v>98</v>
      </c>
      <c r="K509" s="171" t="s">
        <v>56</v>
      </c>
      <c r="M509" s="171">
        <v>33</v>
      </c>
      <c r="N509" s="171" t="s">
        <v>98</v>
      </c>
      <c r="O509" s="171" t="s">
        <v>55</v>
      </c>
      <c r="Q509" s="399">
        <v>29</v>
      </c>
      <c r="R509" s="396" t="s">
        <v>98</v>
      </c>
      <c r="S509" s="397" t="s">
        <v>55</v>
      </c>
      <c r="U509" s="171" t="s">
        <v>695</v>
      </c>
      <c r="V509" s="171" t="s">
        <v>98</v>
      </c>
      <c r="W509" s="171" t="s">
        <v>79</v>
      </c>
      <c r="Y509" s="171" t="s">
        <v>694</v>
      </c>
      <c r="Z509" s="171" t="s">
        <v>98</v>
      </c>
      <c r="AA509" s="171" t="s">
        <v>79</v>
      </c>
      <c r="AC509" s="505">
        <v>26</v>
      </c>
      <c r="AD509" s="505" t="s">
        <v>98</v>
      </c>
      <c r="AE509" s="505" t="s">
        <v>56</v>
      </c>
      <c r="AG509" s="171">
        <v>34</v>
      </c>
      <c r="AH509" s="171" t="s">
        <v>98</v>
      </c>
      <c r="AI509" s="171" t="s">
        <v>38</v>
      </c>
      <c r="AK509" s="299">
        <v>1</v>
      </c>
      <c r="AL509" s="299" t="s">
        <v>82</v>
      </c>
      <c r="AM509" s="299" t="s">
        <v>134</v>
      </c>
      <c r="AO509" s="299">
        <v>40</v>
      </c>
      <c r="AP509" s="299" t="s">
        <v>82</v>
      </c>
      <c r="AQ509" s="299" t="s">
        <v>688</v>
      </c>
    </row>
    <row r="510" spans="1:43" ht="15" customHeight="1" x14ac:dyDescent="0.25">
      <c r="A510">
        <v>1</v>
      </c>
      <c r="B510" t="s">
        <v>98</v>
      </c>
      <c r="C510" t="s">
        <v>134</v>
      </c>
      <c r="E510" s="72">
        <v>17</v>
      </c>
      <c r="F510" t="s">
        <v>97</v>
      </c>
      <c r="G510" t="s">
        <v>688</v>
      </c>
      <c r="I510" s="171">
        <v>29</v>
      </c>
      <c r="J510" s="171" t="s">
        <v>98</v>
      </c>
      <c r="K510" s="171" t="s">
        <v>56</v>
      </c>
      <c r="M510" s="171">
        <v>28</v>
      </c>
      <c r="N510" s="171" t="s">
        <v>98</v>
      </c>
      <c r="O510" s="171" t="s">
        <v>55</v>
      </c>
      <c r="Q510" s="399">
        <v>38</v>
      </c>
      <c r="R510" s="396" t="s">
        <v>98</v>
      </c>
      <c r="S510" s="397" t="s">
        <v>55</v>
      </c>
      <c r="U510" s="171" t="s">
        <v>694</v>
      </c>
      <c r="V510" s="171" t="s">
        <v>98</v>
      </c>
      <c r="W510" s="171" t="s">
        <v>79</v>
      </c>
      <c r="Y510" s="171" t="s">
        <v>694</v>
      </c>
      <c r="Z510" s="171" t="s">
        <v>98</v>
      </c>
      <c r="AA510" s="171" t="s">
        <v>79</v>
      </c>
      <c r="AC510" s="505">
        <v>33</v>
      </c>
      <c r="AD510" s="505" t="s">
        <v>98</v>
      </c>
      <c r="AE510" s="505" t="s">
        <v>56</v>
      </c>
      <c r="AG510" s="171">
        <v>37</v>
      </c>
      <c r="AH510" s="171" t="s">
        <v>98</v>
      </c>
      <c r="AI510" s="171" t="s">
        <v>38</v>
      </c>
      <c r="AK510" s="299">
        <v>3</v>
      </c>
      <c r="AL510" s="299" t="s">
        <v>82</v>
      </c>
      <c r="AM510" s="299" t="s">
        <v>134</v>
      </c>
      <c r="AO510" s="299">
        <v>24</v>
      </c>
      <c r="AP510" s="299" t="s">
        <v>82</v>
      </c>
      <c r="AQ510" s="299" t="s">
        <v>688</v>
      </c>
    </row>
    <row r="511" spans="1:43" ht="15" customHeight="1" x14ac:dyDescent="0.25">
      <c r="A511">
        <v>9</v>
      </c>
      <c r="B511" t="s">
        <v>97</v>
      </c>
      <c r="C511" t="s">
        <v>134</v>
      </c>
      <c r="E511" s="72">
        <v>17</v>
      </c>
      <c r="F511" t="s">
        <v>98</v>
      </c>
      <c r="G511" t="s">
        <v>688</v>
      </c>
      <c r="I511" s="171">
        <v>33</v>
      </c>
      <c r="J511" s="171" t="s">
        <v>98</v>
      </c>
      <c r="K511" s="171" t="s">
        <v>56</v>
      </c>
      <c r="M511" s="171">
        <v>33</v>
      </c>
      <c r="N511" s="171" t="s">
        <v>98</v>
      </c>
      <c r="O511" s="171" t="s">
        <v>55</v>
      </c>
      <c r="Q511" s="399">
        <v>24</v>
      </c>
      <c r="R511" s="396" t="s">
        <v>98</v>
      </c>
      <c r="S511" s="397" t="s">
        <v>55</v>
      </c>
      <c r="U511" s="171" t="s">
        <v>696</v>
      </c>
      <c r="V511" s="171" t="s">
        <v>97</v>
      </c>
      <c r="W511" s="171" t="s">
        <v>79</v>
      </c>
      <c r="Y511" s="171" t="s">
        <v>694</v>
      </c>
      <c r="Z511" s="171" t="s">
        <v>97</v>
      </c>
      <c r="AA511" s="171" t="s">
        <v>79</v>
      </c>
      <c r="AC511" s="505">
        <v>16</v>
      </c>
      <c r="AD511" s="505" t="s">
        <v>98</v>
      </c>
      <c r="AE511" s="505" t="s">
        <v>56</v>
      </c>
      <c r="AG511" s="171">
        <v>39</v>
      </c>
      <c r="AH511" s="171" t="s">
        <v>98</v>
      </c>
      <c r="AI511" s="171" t="s">
        <v>56</v>
      </c>
      <c r="AK511" s="299">
        <v>6</v>
      </c>
      <c r="AL511" s="299" t="s">
        <v>81</v>
      </c>
      <c r="AM511" s="299" t="s">
        <v>134</v>
      </c>
      <c r="AO511" s="299">
        <v>31</v>
      </c>
      <c r="AP511" s="299" t="s">
        <v>82</v>
      </c>
      <c r="AQ511" s="299" t="s">
        <v>688</v>
      </c>
    </row>
    <row r="512" spans="1:43" ht="15" customHeight="1" x14ac:dyDescent="0.25">
      <c r="A512">
        <v>1</v>
      </c>
      <c r="B512" t="s">
        <v>97</v>
      </c>
      <c r="C512" t="s">
        <v>134</v>
      </c>
      <c r="E512" s="72">
        <v>17</v>
      </c>
      <c r="F512" t="s">
        <v>97</v>
      </c>
      <c r="G512" t="s">
        <v>688</v>
      </c>
      <c r="I512" s="171">
        <v>15</v>
      </c>
      <c r="J512" s="171" t="s">
        <v>98</v>
      </c>
      <c r="K512" s="171" t="s">
        <v>56</v>
      </c>
      <c r="M512" s="171">
        <v>45</v>
      </c>
      <c r="N512" s="171" t="s">
        <v>98</v>
      </c>
      <c r="O512" s="171" t="s">
        <v>55</v>
      </c>
      <c r="Q512" s="399">
        <v>35</v>
      </c>
      <c r="R512" s="396" t="s">
        <v>98</v>
      </c>
      <c r="S512" s="397" t="s">
        <v>55</v>
      </c>
      <c r="U512" s="171" t="s">
        <v>684</v>
      </c>
      <c r="V512" s="171" t="s">
        <v>98</v>
      </c>
      <c r="W512" s="171" t="s">
        <v>79</v>
      </c>
      <c r="Y512" s="171" t="s">
        <v>694</v>
      </c>
      <c r="Z512" s="171" t="s">
        <v>98</v>
      </c>
      <c r="AA512" s="171" t="s">
        <v>79</v>
      </c>
      <c r="AC512" s="505">
        <v>44</v>
      </c>
      <c r="AD512" s="505" t="s">
        <v>98</v>
      </c>
      <c r="AE512" s="505" t="s">
        <v>56</v>
      </c>
      <c r="AG512" s="171">
        <v>31</v>
      </c>
      <c r="AH512" s="171" t="s">
        <v>98</v>
      </c>
      <c r="AI512" s="171" t="s">
        <v>56</v>
      </c>
      <c r="AK512" s="299">
        <v>11</v>
      </c>
      <c r="AL512" s="299" t="s">
        <v>81</v>
      </c>
      <c r="AM512" s="299" t="s">
        <v>134</v>
      </c>
      <c r="AO512" s="299">
        <v>41</v>
      </c>
      <c r="AP512" s="299" t="s">
        <v>81</v>
      </c>
      <c r="AQ512" s="299" t="s">
        <v>688</v>
      </c>
    </row>
    <row r="513" spans="1:43" ht="15" customHeight="1" x14ac:dyDescent="0.25">
      <c r="A513">
        <v>1</v>
      </c>
      <c r="B513" t="s">
        <v>98</v>
      </c>
      <c r="C513" t="s">
        <v>134</v>
      </c>
      <c r="E513" s="72">
        <v>17</v>
      </c>
      <c r="F513" t="s">
        <v>98</v>
      </c>
      <c r="G513" t="s">
        <v>56</v>
      </c>
      <c r="I513" s="171">
        <v>32</v>
      </c>
      <c r="J513" s="171" t="s">
        <v>98</v>
      </c>
      <c r="K513" s="171" t="s">
        <v>56</v>
      </c>
      <c r="M513" s="171">
        <v>27</v>
      </c>
      <c r="N513" s="171" t="s">
        <v>98</v>
      </c>
      <c r="O513" s="171" t="s">
        <v>55</v>
      </c>
      <c r="Q513" s="399">
        <v>23</v>
      </c>
      <c r="R513" s="396" t="s">
        <v>98</v>
      </c>
      <c r="S513" s="397" t="s">
        <v>55</v>
      </c>
      <c r="U513" s="171" t="s">
        <v>1089</v>
      </c>
      <c r="V513" s="171" t="s">
        <v>98</v>
      </c>
      <c r="W513" s="171" t="s">
        <v>79</v>
      </c>
      <c r="Y513" s="171" t="s">
        <v>694</v>
      </c>
      <c r="Z513" s="171" t="s">
        <v>97</v>
      </c>
      <c r="AA513" s="171" t="s">
        <v>79</v>
      </c>
      <c r="AC513" s="505">
        <v>34</v>
      </c>
      <c r="AD513" s="505" t="s">
        <v>98</v>
      </c>
      <c r="AE513" s="505" t="s">
        <v>56</v>
      </c>
      <c r="AG513" s="171">
        <v>39</v>
      </c>
      <c r="AH513" s="171" t="s">
        <v>98</v>
      </c>
      <c r="AI513" s="171" t="s">
        <v>56</v>
      </c>
      <c r="AK513" s="299">
        <v>1</v>
      </c>
      <c r="AL513" s="299" t="s">
        <v>82</v>
      </c>
      <c r="AM513" s="299" t="s">
        <v>134</v>
      </c>
      <c r="AO513" s="299">
        <v>19</v>
      </c>
      <c r="AP513" s="299" t="s">
        <v>82</v>
      </c>
      <c r="AQ513" s="299" t="s">
        <v>688</v>
      </c>
    </row>
    <row r="514" spans="1:43" ht="15" customHeight="1" x14ac:dyDescent="0.25">
      <c r="A514">
        <v>2</v>
      </c>
      <c r="B514" t="s">
        <v>97</v>
      </c>
      <c r="C514" t="s">
        <v>134</v>
      </c>
      <c r="E514" s="72">
        <v>17</v>
      </c>
      <c r="F514" t="s">
        <v>98</v>
      </c>
      <c r="G514" t="s">
        <v>38</v>
      </c>
      <c r="I514" s="171">
        <v>32</v>
      </c>
      <c r="J514" s="171" t="s">
        <v>98</v>
      </c>
      <c r="K514" s="171" t="s">
        <v>56</v>
      </c>
      <c r="M514" s="171">
        <v>35</v>
      </c>
      <c r="N514" s="171" t="s">
        <v>98</v>
      </c>
      <c r="O514" s="171" t="s">
        <v>55</v>
      </c>
      <c r="Q514" s="399">
        <v>27</v>
      </c>
      <c r="R514" s="396" t="s">
        <v>98</v>
      </c>
      <c r="S514" s="397" t="s">
        <v>55</v>
      </c>
      <c r="U514" s="171" t="s">
        <v>694</v>
      </c>
      <c r="V514" s="171" t="s">
        <v>98</v>
      </c>
      <c r="W514" s="171" t="s">
        <v>79</v>
      </c>
      <c r="Y514" s="171" t="s">
        <v>694</v>
      </c>
      <c r="Z514" s="171" t="s">
        <v>98</v>
      </c>
      <c r="AA514" s="171" t="s">
        <v>79</v>
      </c>
      <c r="AC514" s="505">
        <v>39</v>
      </c>
      <c r="AD514" s="505" t="s">
        <v>98</v>
      </c>
      <c r="AE514" s="505" t="s">
        <v>56</v>
      </c>
      <c r="AG514" s="171">
        <v>33</v>
      </c>
      <c r="AH514" s="171" t="s">
        <v>98</v>
      </c>
      <c r="AI514" s="171" t="s">
        <v>56</v>
      </c>
      <c r="AK514" s="299">
        <v>1</v>
      </c>
      <c r="AL514" s="299" t="s">
        <v>81</v>
      </c>
      <c r="AM514" s="299" t="s">
        <v>134</v>
      </c>
      <c r="AO514" s="299">
        <v>69</v>
      </c>
      <c r="AP514" s="299" t="s">
        <v>82</v>
      </c>
      <c r="AQ514" s="299" t="s">
        <v>688</v>
      </c>
    </row>
    <row r="515" spans="1:43" ht="15" customHeight="1" x14ac:dyDescent="0.25">
      <c r="A515" t="s">
        <v>691</v>
      </c>
      <c r="B515" t="s">
        <v>98</v>
      </c>
      <c r="C515" t="s">
        <v>134</v>
      </c>
      <c r="E515" s="72">
        <v>17</v>
      </c>
      <c r="F515" t="s">
        <v>98</v>
      </c>
      <c r="G515" t="s">
        <v>38</v>
      </c>
      <c r="I515" s="171">
        <v>14</v>
      </c>
      <c r="J515" s="171" t="s">
        <v>98</v>
      </c>
      <c r="K515" s="171" t="s">
        <v>56</v>
      </c>
      <c r="M515" s="171">
        <v>42</v>
      </c>
      <c r="N515" s="171" t="s">
        <v>98</v>
      </c>
      <c r="O515" s="171" t="s">
        <v>56</v>
      </c>
      <c r="Q515" s="399">
        <v>37</v>
      </c>
      <c r="R515" s="396" t="s">
        <v>98</v>
      </c>
      <c r="S515" s="397" t="s">
        <v>55</v>
      </c>
      <c r="U515" s="171" t="s">
        <v>712</v>
      </c>
      <c r="V515" s="171" t="s">
        <v>98</v>
      </c>
      <c r="W515" s="171" t="s">
        <v>79</v>
      </c>
      <c r="Y515" s="171" t="s">
        <v>694</v>
      </c>
      <c r="Z515" s="171" t="s">
        <v>97</v>
      </c>
      <c r="AA515" s="171" t="s">
        <v>79</v>
      </c>
      <c r="AC515" s="505">
        <v>33</v>
      </c>
      <c r="AD515" s="505" t="s">
        <v>98</v>
      </c>
      <c r="AE515" s="505" t="s">
        <v>56</v>
      </c>
      <c r="AG515" s="171">
        <v>21</v>
      </c>
      <c r="AH515" s="171" t="s">
        <v>98</v>
      </c>
      <c r="AI515" s="171" t="s">
        <v>56</v>
      </c>
      <c r="AK515" s="299">
        <v>10</v>
      </c>
      <c r="AL515" s="299" t="s">
        <v>82</v>
      </c>
      <c r="AM515" s="299" t="s">
        <v>134</v>
      </c>
      <c r="AO515" s="299">
        <v>100</v>
      </c>
      <c r="AP515" s="299" t="s">
        <v>81</v>
      </c>
      <c r="AQ515" s="299" t="s">
        <v>688</v>
      </c>
    </row>
    <row r="516" spans="1:43" ht="15" customHeight="1" x14ac:dyDescent="0.25">
      <c r="A516">
        <v>3</v>
      </c>
      <c r="B516" t="s">
        <v>98</v>
      </c>
      <c r="C516" t="s">
        <v>134</v>
      </c>
      <c r="E516" s="72">
        <v>17</v>
      </c>
      <c r="F516" t="s">
        <v>97</v>
      </c>
      <c r="G516" t="s">
        <v>122</v>
      </c>
      <c r="I516" s="171">
        <v>20</v>
      </c>
      <c r="J516" s="171" t="s">
        <v>98</v>
      </c>
      <c r="K516" s="171" t="s">
        <v>56</v>
      </c>
      <c r="M516" s="171">
        <v>23</v>
      </c>
      <c r="N516" s="171" t="s">
        <v>98</v>
      </c>
      <c r="O516" s="171" t="s">
        <v>56</v>
      </c>
      <c r="Q516" s="399">
        <v>19</v>
      </c>
      <c r="R516" s="396" t="s">
        <v>98</v>
      </c>
      <c r="S516" s="397" t="s">
        <v>55</v>
      </c>
      <c r="U516" s="171" t="s">
        <v>694</v>
      </c>
      <c r="V516" s="171" t="s">
        <v>98</v>
      </c>
      <c r="W516" s="171" t="s">
        <v>79</v>
      </c>
      <c r="Y516" s="171" t="s">
        <v>697</v>
      </c>
      <c r="Z516" s="171" t="s">
        <v>97</v>
      </c>
      <c r="AA516" s="171" t="s">
        <v>79</v>
      </c>
      <c r="AC516" s="505">
        <v>18</v>
      </c>
      <c r="AD516" s="505" t="s">
        <v>98</v>
      </c>
      <c r="AE516" s="505" t="s">
        <v>56</v>
      </c>
      <c r="AG516" s="171">
        <v>33</v>
      </c>
      <c r="AH516" s="171" t="s">
        <v>98</v>
      </c>
      <c r="AI516" s="171" t="s">
        <v>56</v>
      </c>
      <c r="AK516" s="299">
        <v>6</v>
      </c>
      <c r="AL516" s="299" t="s">
        <v>81</v>
      </c>
      <c r="AM516" s="299" t="s">
        <v>134</v>
      </c>
      <c r="AO516" s="299">
        <v>58</v>
      </c>
      <c r="AP516" s="299" t="s">
        <v>81</v>
      </c>
      <c r="AQ516" s="299" t="s">
        <v>688</v>
      </c>
    </row>
    <row r="517" spans="1:43" ht="15" customHeight="1" x14ac:dyDescent="0.25">
      <c r="A517">
        <v>1</v>
      </c>
      <c r="B517" t="s">
        <v>97</v>
      </c>
      <c r="C517" t="s">
        <v>134</v>
      </c>
      <c r="E517" s="72">
        <v>17</v>
      </c>
      <c r="F517" t="s">
        <v>98</v>
      </c>
      <c r="G517" t="s">
        <v>123</v>
      </c>
      <c r="I517" s="171">
        <v>23</v>
      </c>
      <c r="J517" s="171" t="s">
        <v>98</v>
      </c>
      <c r="K517" s="171" t="s">
        <v>56</v>
      </c>
      <c r="M517" s="171">
        <v>35</v>
      </c>
      <c r="N517" s="171" t="s">
        <v>98</v>
      </c>
      <c r="O517" s="171" t="s">
        <v>56</v>
      </c>
      <c r="Q517" s="399">
        <v>31</v>
      </c>
      <c r="R517" s="396" t="s">
        <v>98</v>
      </c>
      <c r="S517" s="397" t="s">
        <v>55</v>
      </c>
      <c r="U517" s="171" t="s">
        <v>694</v>
      </c>
      <c r="V517" s="171" t="s">
        <v>97</v>
      </c>
      <c r="W517" s="171" t="s">
        <v>79</v>
      </c>
      <c r="Y517" s="171" t="s">
        <v>712</v>
      </c>
      <c r="Z517" s="171" t="s">
        <v>97</v>
      </c>
      <c r="AA517" s="171" t="s">
        <v>79</v>
      </c>
      <c r="AC517" s="505">
        <v>27</v>
      </c>
      <c r="AD517" s="505" t="s">
        <v>98</v>
      </c>
      <c r="AE517" s="505" t="s">
        <v>56</v>
      </c>
      <c r="AG517" s="171">
        <v>29</v>
      </c>
      <c r="AH517" s="171" t="s">
        <v>98</v>
      </c>
      <c r="AI517" s="171" t="s">
        <v>56</v>
      </c>
      <c r="AK517" s="299" t="s">
        <v>1341</v>
      </c>
      <c r="AL517" s="299" t="s">
        <v>82</v>
      </c>
      <c r="AM517" s="299" t="s">
        <v>134</v>
      </c>
      <c r="AO517" s="299">
        <v>49</v>
      </c>
      <c r="AP517" s="299" t="s">
        <v>82</v>
      </c>
      <c r="AQ517" s="299" t="s">
        <v>688</v>
      </c>
    </row>
    <row r="518" spans="1:43" ht="15" customHeight="1" x14ac:dyDescent="0.25">
      <c r="A518">
        <v>11</v>
      </c>
      <c r="B518" t="s">
        <v>98</v>
      </c>
      <c r="C518" t="s">
        <v>134</v>
      </c>
      <c r="E518" s="72">
        <v>16</v>
      </c>
      <c r="F518" t="s">
        <v>98</v>
      </c>
      <c r="G518" t="s">
        <v>55</v>
      </c>
      <c r="I518" s="171">
        <v>30</v>
      </c>
      <c r="J518" s="171" t="s">
        <v>98</v>
      </c>
      <c r="K518" s="171" t="s">
        <v>56</v>
      </c>
      <c r="M518" s="171">
        <v>35</v>
      </c>
      <c r="N518" s="171" t="s">
        <v>98</v>
      </c>
      <c r="O518" s="171" t="s">
        <v>56</v>
      </c>
      <c r="Q518" s="399">
        <v>35</v>
      </c>
      <c r="R518" s="396" t="s">
        <v>98</v>
      </c>
      <c r="S518" s="397" t="s">
        <v>55</v>
      </c>
      <c r="U518" s="171" t="s">
        <v>694</v>
      </c>
      <c r="V518" s="171" t="s">
        <v>97</v>
      </c>
      <c r="W518" s="171" t="s">
        <v>79</v>
      </c>
      <c r="Y518" s="171" t="s">
        <v>684</v>
      </c>
      <c r="Z518" s="171" t="s">
        <v>98</v>
      </c>
      <c r="AA518" s="171" t="s">
        <v>79</v>
      </c>
      <c r="AC518" s="505">
        <v>18</v>
      </c>
      <c r="AD518" s="505" t="s">
        <v>98</v>
      </c>
      <c r="AE518" s="505" t="s">
        <v>56</v>
      </c>
      <c r="AG518" s="171">
        <v>20</v>
      </c>
      <c r="AH518" s="171" t="s">
        <v>98</v>
      </c>
      <c r="AI518" s="171" t="s">
        <v>56</v>
      </c>
      <c r="AK518" s="299" t="s">
        <v>1342</v>
      </c>
      <c r="AL518" s="299" t="s">
        <v>82</v>
      </c>
      <c r="AM518" s="299" t="s">
        <v>134</v>
      </c>
      <c r="AO518" s="299">
        <v>63</v>
      </c>
      <c r="AP518" s="299" t="s">
        <v>81</v>
      </c>
      <c r="AQ518" s="299" t="s">
        <v>688</v>
      </c>
    </row>
    <row r="519" spans="1:43" ht="15" customHeight="1" x14ac:dyDescent="0.25">
      <c r="A519">
        <v>2</v>
      </c>
      <c r="B519" t="s">
        <v>97</v>
      </c>
      <c r="C519" t="s">
        <v>134</v>
      </c>
      <c r="E519" s="72">
        <v>16</v>
      </c>
      <c r="F519" t="s">
        <v>98</v>
      </c>
      <c r="G519" t="s">
        <v>56</v>
      </c>
      <c r="I519" s="171">
        <v>27</v>
      </c>
      <c r="J519" s="171" t="s">
        <v>98</v>
      </c>
      <c r="K519" s="171" t="s">
        <v>56</v>
      </c>
      <c r="M519" s="171">
        <v>13</v>
      </c>
      <c r="N519" s="171" t="s">
        <v>98</v>
      </c>
      <c r="O519" s="171" t="s">
        <v>56</v>
      </c>
      <c r="Q519" s="399">
        <v>34</v>
      </c>
      <c r="R519" s="396" t="s">
        <v>98</v>
      </c>
      <c r="S519" s="397" t="s">
        <v>55</v>
      </c>
      <c r="U519" s="171" t="s">
        <v>712</v>
      </c>
      <c r="V519" s="171" t="s">
        <v>97</v>
      </c>
      <c r="W519" s="171" t="s">
        <v>79</v>
      </c>
      <c r="Y519" s="171" t="s">
        <v>694</v>
      </c>
      <c r="Z519" s="171" t="s">
        <v>98</v>
      </c>
      <c r="AA519" s="171" t="s">
        <v>79</v>
      </c>
      <c r="AC519" s="505">
        <v>31</v>
      </c>
      <c r="AD519" s="505" t="s">
        <v>98</v>
      </c>
      <c r="AE519" s="505" t="s">
        <v>56</v>
      </c>
      <c r="AG519" s="505">
        <v>37</v>
      </c>
      <c r="AH519" s="505" t="s">
        <v>98</v>
      </c>
      <c r="AI519" s="171" t="s">
        <v>56</v>
      </c>
      <c r="AK519" s="503">
        <v>7</v>
      </c>
      <c r="AL519" s="503" t="s">
        <v>82</v>
      </c>
      <c r="AM519" s="299" t="s">
        <v>134</v>
      </c>
      <c r="AO519" s="503">
        <v>49</v>
      </c>
      <c r="AP519" s="503" t="s">
        <v>82</v>
      </c>
      <c r="AQ519" s="299" t="s">
        <v>688</v>
      </c>
    </row>
    <row r="520" spans="1:43" ht="15" customHeight="1" x14ac:dyDescent="0.25">
      <c r="A520">
        <v>11</v>
      </c>
      <c r="B520" t="s">
        <v>97</v>
      </c>
      <c r="C520" t="s">
        <v>134</v>
      </c>
      <c r="E520" s="72">
        <v>16</v>
      </c>
      <c r="F520" t="s">
        <v>98</v>
      </c>
      <c r="G520" t="s">
        <v>56</v>
      </c>
      <c r="I520" s="171">
        <v>39</v>
      </c>
      <c r="J520" s="171" t="s">
        <v>98</v>
      </c>
      <c r="K520" s="171" t="s">
        <v>56</v>
      </c>
      <c r="M520" s="171">
        <v>23</v>
      </c>
      <c r="N520" s="171" t="s">
        <v>98</v>
      </c>
      <c r="O520" s="171" t="s">
        <v>56</v>
      </c>
      <c r="Q520" s="399">
        <v>28</v>
      </c>
      <c r="R520" s="396" t="s">
        <v>98</v>
      </c>
      <c r="S520" s="397" t="s">
        <v>55</v>
      </c>
      <c r="U520" s="171" t="s">
        <v>694</v>
      </c>
      <c r="V520" s="171" t="s">
        <v>98</v>
      </c>
      <c r="W520" s="171" t="s">
        <v>79</v>
      </c>
      <c r="Y520" s="171" t="s">
        <v>696</v>
      </c>
      <c r="Z520" s="171" t="s">
        <v>98</v>
      </c>
      <c r="AA520" s="171" t="s">
        <v>79</v>
      </c>
      <c r="AC520" s="505">
        <v>40</v>
      </c>
      <c r="AD520" s="505" t="s">
        <v>98</v>
      </c>
      <c r="AE520" s="505" t="s">
        <v>56</v>
      </c>
      <c r="AG520" s="171">
        <v>37</v>
      </c>
      <c r="AH520" s="171" t="s">
        <v>98</v>
      </c>
      <c r="AI520" s="171" t="s">
        <v>56</v>
      </c>
      <c r="AK520" s="299" t="s">
        <v>1343</v>
      </c>
      <c r="AL520" s="299" t="s">
        <v>82</v>
      </c>
      <c r="AM520" s="299" t="s">
        <v>134</v>
      </c>
      <c r="AO520" s="299">
        <v>88</v>
      </c>
      <c r="AP520" s="299" t="s">
        <v>81</v>
      </c>
      <c r="AQ520" s="299" t="s">
        <v>688</v>
      </c>
    </row>
    <row r="521" spans="1:43" ht="15" customHeight="1" x14ac:dyDescent="0.25">
      <c r="A521" t="s">
        <v>692</v>
      </c>
      <c r="B521" t="s">
        <v>97</v>
      </c>
      <c r="C521" t="s">
        <v>134</v>
      </c>
      <c r="E521" s="72">
        <v>16</v>
      </c>
      <c r="F521" t="s">
        <v>98</v>
      </c>
      <c r="G521" t="s">
        <v>38</v>
      </c>
      <c r="I521" s="171">
        <v>29</v>
      </c>
      <c r="J521" s="171" t="s">
        <v>98</v>
      </c>
      <c r="K521" s="171" t="s">
        <v>56</v>
      </c>
      <c r="M521" s="171">
        <v>31</v>
      </c>
      <c r="N521" s="171" t="s">
        <v>98</v>
      </c>
      <c r="O521" s="171" t="s">
        <v>56</v>
      </c>
      <c r="Q521" s="399">
        <v>19</v>
      </c>
      <c r="R521" s="396" t="s">
        <v>98</v>
      </c>
      <c r="S521" s="397" t="s">
        <v>55</v>
      </c>
      <c r="U521" s="171" t="s">
        <v>694</v>
      </c>
      <c r="V521" s="171" t="s">
        <v>97</v>
      </c>
      <c r="W521" s="171" t="s">
        <v>79</v>
      </c>
      <c r="Y521" s="171" t="s">
        <v>694</v>
      </c>
      <c r="Z521" s="171" t="s">
        <v>98</v>
      </c>
      <c r="AA521" s="171" t="s">
        <v>79</v>
      </c>
      <c r="AC521" s="505">
        <v>20</v>
      </c>
      <c r="AD521" s="505" t="s">
        <v>98</v>
      </c>
      <c r="AE521" s="505" t="s">
        <v>55</v>
      </c>
      <c r="AG521" s="171">
        <v>25</v>
      </c>
      <c r="AH521" s="171" t="s">
        <v>98</v>
      </c>
      <c r="AI521" s="171" t="s">
        <v>56</v>
      </c>
      <c r="AK521" s="299">
        <v>7</v>
      </c>
      <c r="AL521" s="299" t="s">
        <v>81</v>
      </c>
      <c r="AM521" s="299" t="s">
        <v>134</v>
      </c>
      <c r="AO521" s="299">
        <v>78</v>
      </c>
      <c r="AP521" s="299" t="s">
        <v>81</v>
      </c>
      <c r="AQ521" s="299" t="s">
        <v>688</v>
      </c>
    </row>
    <row r="522" spans="1:43" ht="15" customHeight="1" x14ac:dyDescent="0.25">
      <c r="A522" t="s">
        <v>693</v>
      </c>
      <c r="B522" t="s">
        <v>97</v>
      </c>
      <c r="C522" t="s">
        <v>134</v>
      </c>
      <c r="E522" s="72">
        <v>16</v>
      </c>
      <c r="F522" t="s">
        <v>98</v>
      </c>
      <c r="G522" t="s">
        <v>38</v>
      </c>
      <c r="I522" s="171">
        <v>24</v>
      </c>
      <c r="J522" s="171" t="s">
        <v>98</v>
      </c>
      <c r="K522" s="171" t="s">
        <v>56</v>
      </c>
      <c r="M522" s="171">
        <v>29</v>
      </c>
      <c r="N522" s="171" t="s">
        <v>98</v>
      </c>
      <c r="O522" s="171" t="s">
        <v>56</v>
      </c>
      <c r="Q522" s="399">
        <v>30</v>
      </c>
      <c r="R522" s="396" t="s">
        <v>98</v>
      </c>
      <c r="S522" s="397" t="s">
        <v>55</v>
      </c>
      <c r="U522" s="171" t="s">
        <v>694</v>
      </c>
      <c r="V522" s="171" t="s">
        <v>98</v>
      </c>
      <c r="W522" s="171" t="s">
        <v>79</v>
      </c>
      <c r="Y522" s="171" t="s">
        <v>694</v>
      </c>
      <c r="Z522" s="171" t="s">
        <v>98</v>
      </c>
      <c r="AA522" s="171" t="s">
        <v>79</v>
      </c>
      <c r="AC522" s="505">
        <v>30</v>
      </c>
      <c r="AD522" s="505" t="s">
        <v>98</v>
      </c>
      <c r="AE522" s="505" t="s">
        <v>55</v>
      </c>
      <c r="AG522" s="171">
        <v>33</v>
      </c>
      <c r="AH522" s="171" t="s">
        <v>98</v>
      </c>
      <c r="AI522" s="171" t="s">
        <v>56</v>
      </c>
      <c r="AK522" s="299">
        <v>1</v>
      </c>
      <c r="AL522" s="299" t="s">
        <v>81</v>
      </c>
      <c r="AM522" s="299" t="s">
        <v>134</v>
      </c>
      <c r="AO522" s="299">
        <v>35</v>
      </c>
      <c r="AP522" s="299" t="s">
        <v>82</v>
      </c>
      <c r="AQ522" s="299" t="s">
        <v>688</v>
      </c>
    </row>
    <row r="523" spans="1:43" ht="15" customHeight="1" x14ac:dyDescent="0.25">
      <c r="A523">
        <v>4</v>
      </c>
      <c r="B523" t="s">
        <v>97</v>
      </c>
      <c r="C523" t="s">
        <v>134</v>
      </c>
      <c r="E523" s="72">
        <v>16</v>
      </c>
      <c r="F523" t="s">
        <v>98</v>
      </c>
      <c r="G523" t="s">
        <v>38</v>
      </c>
      <c r="I523" s="171">
        <v>35</v>
      </c>
      <c r="J523" s="171" t="s">
        <v>98</v>
      </c>
      <c r="K523" s="171" t="s">
        <v>56</v>
      </c>
      <c r="M523" s="171">
        <v>27</v>
      </c>
      <c r="N523" s="171" t="s">
        <v>98</v>
      </c>
      <c r="O523" s="171" t="s">
        <v>56</v>
      </c>
      <c r="Q523" s="399">
        <v>29</v>
      </c>
      <c r="R523" s="396" t="s">
        <v>98</v>
      </c>
      <c r="S523" s="397" t="s">
        <v>55</v>
      </c>
      <c r="U523" s="171" t="s">
        <v>694</v>
      </c>
      <c r="V523" s="171" t="s">
        <v>97</v>
      </c>
      <c r="W523" s="171" t="s">
        <v>79</v>
      </c>
      <c r="Y523" s="171" t="s">
        <v>694</v>
      </c>
      <c r="Z523" s="171" t="s">
        <v>98</v>
      </c>
      <c r="AA523" s="171" t="s">
        <v>79</v>
      </c>
      <c r="AC523" s="505">
        <v>30</v>
      </c>
      <c r="AD523" s="505" t="s">
        <v>98</v>
      </c>
      <c r="AE523" s="505" t="s">
        <v>55</v>
      </c>
      <c r="AG523" s="171">
        <v>32</v>
      </c>
      <c r="AH523" s="171" t="s">
        <v>98</v>
      </c>
      <c r="AI523" s="171" t="s">
        <v>56</v>
      </c>
      <c r="AK523" s="299">
        <v>1</v>
      </c>
      <c r="AL523" s="299" t="s">
        <v>82</v>
      </c>
      <c r="AM523" s="299" t="s">
        <v>134</v>
      </c>
      <c r="AO523" s="299">
        <v>5</v>
      </c>
      <c r="AP523" s="299" t="s">
        <v>82</v>
      </c>
      <c r="AQ523" s="299" t="s">
        <v>688</v>
      </c>
    </row>
    <row r="524" spans="1:43" ht="15" customHeight="1" x14ac:dyDescent="0.25">
      <c r="A524">
        <v>1</v>
      </c>
      <c r="B524" t="s">
        <v>97</v>
      </c>
      <c r="C524" t="s">
        <v>134</v>
      </c>
      <c r="E524" s="72">
        <v>16</v>
      </c>
      <c r="F524" t="s">
        <v>97</v>
      </c>
      <c r="G524" t="s">
        <v>122</v>
      </c>
      <c r="I524" s="171">
        <v>36</v>
      </c>
      <c r="J524" s="171" t="s">
        <v>98</v>
      </c>
      <c r="K524" s="171" t="s">
        <v>56</v>
      </c>
      <c r="M524" s="171">
        <v>28</v>
      </c>
      <c r="N524" s="171" t="s">
        <v>98</v>
      </c>
      <c r="O524" s="171" t="s">
        <v>56</v>
      </c>
      <c r="Q524" s="399">
        <v>41</v>
      </c>
      <c r="R524" s="396" t="s">
        <v>98</v>
      </c>
      <c r="S524" s="397" t="s">
        <v>55</v>
      </c>
      <c r="U524" s="171" t="s">
        <v>694</v>
      </c>
      <c r="V524" s="171" t="s">
        <v>97</v>
      </c>
      <c r="W524" s="171" t="s">
        <v>79</v>
      </c>
      <c r="Y524" s="171" t="s">
        <v>694</v>
      </c>
      <c r="Z524" s="171" t="s">
        <v>98</v>
      </c>
      <c r="AA524" s="171" t="s">
        <v>79</v>
      </c>
      <c r="AC524" s="505">
        <v>30</v>
      </c>
      <c r="AD524" s="505" t="s">
        <v>98</v>
      </c>
      <c r="AE524" s="505" t="s">
        <v>55</v>
      </c>
      <c r="AG524" s="171">
        <v>26</v>
      </c>
      <c r="AH524" s="171" t="s">
        <v>98</v>
      </c>
      <c r="AI524" s="171" t="s">
        <v>56</v>
      </c>
      <c r="AK524" s="299">
        <v>5</v>
      </c>
      <c r="AL524" s="299" t="s">
        <v>81</v>
      </c>
      <c r="AM524" s="299" t="s">
        <v>134</v>
      </c>
      <c r="AO524" s="299">
        <v>42</v>
      </c>
      <c r="AP524" s="299" t="s">
        <v>82</v>
      </c>
      <c r="AQ524" s="299" t="s">
        <v>688</v>
      </c>
    </row>
    <row r="525" spans="1:43" ht="15" customHeight="1" x14ac:dyDescent="0.25">
      <c r="A525">
        <v>5</v>
      </c>
      <c r="B525" t="s">
        <v>97</v>
      </c>
      <c r="C525" t="s">
        <v>134</v>
      </c>
      <c r="E525" s="72">
        <v>15</v>
      </c>
      <c r="F525" t="s">
        <v>97</v>
      </c>
      <c r="G525" t="s">
        <v>688</v>
      </c>
      <c r="I525" s="171">
        <v>26</v>
      </c>
      <c r="J525" s="171" t="s">
        <v>98</v>
      </c>
      <c r="K525" s="171" t="s">
        <v>56</v>
      </c>
      <c r="M525" s="171">
        <v>44</v>
      </c>
      <c r="N525" s="171" t="s">
        <v>98</v>
      </c>
      <c r="O525" s="171" t="s">
        <v>56</v>
      </c>
      <c r="Q525" s="399">
        <v>17</v>
      </c>
      <c r="R525" s="396" t="s">
        <v>98</v>
      </c>
      <c r="S525" s="397" t="s">
        <v>55</v>
      </c>
      <c r="U525" s="171" t="s">
        <v>703</v>
      </c>
      <c r="V525" s="171" t="s">
        <v>98</v>
      </c>
      <c r="W525" s="171" t="s">
        <v>79</v>
      </c>
      <c r="Y525" s="171" t="s">
        <v>694</v>
      </c>
      <c r="Z525" s="171" t="s">
        <v>97</v>
      </c>
      <c r="AA525" s="171" t="s">
        <v>79</v>
      </c>
      <c r="AC525" s="505">
        <v>25</v>
      </c>
      <c r="AD525" s="505" t="s">
        <v>98</v>
      </c>
      <c r="AE525" s="505" t="s">
        <v>55</v>
      </c>
      <c r="AG525" s="171">
        <v>30</v>
      </c>
      <c r="AH525" s="171" t="s">
        <v>98</v>
      </c>
      <c r="AI525" s="171" t="s">
        <v>56</v>
      </c>
      <c r="AK525" s="299">
        <v>5</v>
      </c>
      <c r="AL525" s="299" t="s">
        <v>81</v>
      </c>
      <c r="AM525" s="299" t="s">
        <v>134</v>
      </c>
      <c r="AO525" s="299">
        <v>1</v>
      </c>
      <c r="AP525" s="299" t="s">
        <v>81</v>
      </c>
      <c r="AQ525" s="299" t="s">
        <v>688</v>
      </c>
    </row>
    <row r="526" spans="1:43" ht="15" customHeight="1" x14ac:dyDescent="0.25">
      <c r="A526">
        <v>10</v>
      </c>
      <c r="B526" t="s">
        <v>97</v>
      </c>
      <c r="C526" t="s">
        <v>134</v>
      </c>
      <c r="E526" s="72">
        <v>15</v>
      </c>
      <c r="F526" t="s">
        <v>98</v>
      </c>
      <c r="G526" t="s">
        <v>55</v>
      </c>
      <c r="I526" s="171">
        <v>33</v>
      </c>
      <c r="J526" s="171" t="s">
        <v>98</v>
      </c>
      <c r="K526" s="171" t="s">
        <v>56</v>
      </c>
      <c r="M526" s="171">
        <v>22</v>
      </c>
      <c r="N526" s="171" t="s">
        <v>98</v>
      </c>
      <c r="O526" s="171" t="s">
        <v>56</v>
      </c>
      <c r="Q526" s="399">
        <v>24</v>
      </c>
      <c r="R526" s="396" t="s">
        <v>98</v>
      </c>
      <c r="S526" s="397" t="s">
        <v>55</v>
      </c>
      <c r="U526" s="171" t="s">
        <v>703</v>
      </c>
      <c r="V526" s="171" t="s">
        <v>97</v>
      </c>
      <c r="W526" s="171" t="s">
        <v>79</v>
      </c>
      <c r="Y526" s="171" t="s">
        <v>694</v>
      </c>
      <c r="Z526" s="171" t="s">
        <v>97</v>
      </c>
      <c r="AA526" s="171" t="s">
        <v>79</v>
      </c>
      <c r="AC526" s="505">
        <v>20</v>
      </c>
      <c r="AD526" s="505" t="s">
        <v>98</v>
      </c>
      <c r="AE526" s="505" t="s">
        <v>55</v>
      </c>
      <c r="AG526" s="171">
        <v>24</v>
      </c>
      <c r="AH526" s="171" t="s">
        <v>98</v>
      </c>
      <c r="AI526" s="171" t="s">
        <v>56</v>
      </c>
      <c r="AK526" s="299">
        <v>5</v>
      </c>
      <c r="AL526" s="299" t="s">
        <v>82</v>
      </c>
      <c r="AM526" s="299" t="s">
        <v>134</v>
      </c>
      <c r="AO526" s="299">
        <v>16</v>
      </c>
      <c r="AP526" s="299" t="s">
        <v>81</v>
      </c>
      <c r="AQ526" s="299" t="s">
        <v>688</v>
      </c>
    </row>
    <row r="527" spans="1:43" ht="15" customHeight="1" x14ac:dyDescent="0.25">
      <c r="A527">
        <v>3</v>
      </c>
      <c r="B527" t="s">
        <v>98</v>
      </c>
      <c r="C527" t="s">
        <v>134</v>
      </c>
      <c r="E527" s="72">
        <v>15</v>
      </c>
      <c r="F527" t="s">
        <v>98</v>
      </c>
      <c r="G527" t="s">
        <v>55</v>
      </c>
      <c r="I527" s="171" t="s">
        <v>694</v>
      </c>
      <c r="J527" s="171" t="s">
        <v>97</v>
      </c>
      <c r="K527" s="171" t="s">
        <v>79</v>
      </c>
      <c r="M527" s="171">
        <v>25</v>
      </c>
      <c r="N527" s="171" t="s">
        <v>98</v>
      </c>
      <c r="O527" s="171" t="s">
        <v>56</v>
      </c>
      <c r="Q527" s="399">
        <v>19</v>
      </c>
      <c r="R527" s="396" t="s">
        <v>98</v>
      </c>
      <c r="S527" s="397" t="s">
        <v>55</v>
      </c>
      <c r="U527" s="171" t="s">
        <v>694</v>
      </c>
      <c r="V527" s="171" t="s">
        <v>97</v>
      </c>
      <c r="W527" s="171" t="s">
        <v>79</v>
      </c>
      <c r="Y527" s="171" t="s">
        <v>712</v>
      </c>
      <c r="Z527" s="171" t="s">
        <v>97</v>
      </c>
      <c r="AA527" s="171" t="s">
        <v>79</v>
      </c>
      <c r="AC527" s="505">
        <v>21</v>
      </c>
      <c r="AD527" s="505" t="s">
        <v>98</v>
      </c>
      <c r="AE527" s="505" t="s">
        <v>55</v>
      </c>
      <c r="AG527" s="171">
        <v>30</v>
      </c>
      <c r="AH527" s="171" t="s">
        <v>98</v>
      </c>
      <c r="AI527" s="171" t="s">
        <v>56</v>
      </c>
      <c r="AK527" s="299">
        <v>3</v>
      </c>
      <c r="AL527" s="299" t="s">
        <v>81</v>
      </c>
      <c r="AM527" s="299" t="s">
        <v>134</v>
      </c>
      <c r="AO527" s="299">
        <v>69</v>
      </c>
      <c r="AP527" s="299" t="s">
        <v>82</v>
      </c>
      <c r="AQ527" s="299" t="s">
        <v>688</v>
      </c>
    </row>
    <row r="528" spans="1:43" ht="15" customHeight="1" x14ac:dyDescent="0.25">
      <c r="A528">
        <v>3</v>
      </c>
      <c r="B528" t="s">
        <v>98</v>
      </c>
      <c r="C528" t="s">
        <v>134</v>
      </c>
      <c r="E528" s="72">
        <v>15</v>
      </c>
      <c r="F528" t="s">
        <v>98</v>
      </c>
      <c r="G528" t="s">
        <v>55</v>
      </c>
      <c r="I528" s="171" t="s">
        <v>694</v>
      </c>
      <c r="J528" s="171" t="s">
        <v>97</v>
      </c>
      <c r="K528" s="171" t="s">
        <v>79</v>
      </c>
      <c r="M528" s="171">
        <v>30</v>
      </c>
      <c r="N528" s="171" t="s">
        <v>98</v>
      </c>
      <c r="O528" s="171" t="s">
        <v>56</v>
      </c>
      <c r="Q528" s="399">
        <v>26</v>
      </c>
      <c r="R528" s="396" t="s">
        <v>98</v>
      </c>
      <c r="S528" s="397" t="s">
        <v>55</v>
      </c>
      <c r="U528" s="171" t="s">
        <v>712</v>
      </c>
      <c r="V528" s="171" t="s">
        <v>98</v>
      </c>
      <c r="W528" s="171" t="s">
        <v>79</v>
      </c>
      <c r="Y528" s="171" t="s">
        <v>698</v>
      </c>
      <c r="Z528" s="171" t="s">
        <v>97</v>
      </c>
      <c r="AA528" s="171" t="s">
        <v>79</v>
      </c>
      <c r="AC528" s="505">
        <v>19</v>
      </c>
      <c r="AD528" s="505" t="s">
        <v>98</v>
      </c>
      <c r="AE528" s="505" t="s">
        <v>55</v>
      </c>
      <c r="AG528" s="171">
        <v>23</v>
      </c>
      <c r="AH528" s="171" t="s">
        <v>98</v>
      </c>
      <c r="AI528" s="171" t="s">
        <v>56</v>
      </c>
      <c r="AK528" s="299">
        <v>1</v>
      </c>
      <c r="AL528" s="299" t="s">
        <v>82</v>
      </c>
      <c r="AM528" s="299" t="s">
        <v>134</v>
      </c>
      <c r="AO528" s="299">
        <v>49</v>
      </c>
      <c r="AP528" s="299" t="s">
        <v>81</v>
      </c>
      <c r="AQ528" s="299" t="s">
        <v>688</v>
      </c>
    </row>
    <row r="529" spans="1:43" ht="15" customHeight="1" x14ac:dyDescent="0.25">
      <c r="A529" t="s">
        <v>692</v>
      </c>
      <c r="B529" t="s">
        <v>97</v>
      </c>
      <c r="C529" t="s">
        <v>134</v>
      </c>
      <c r="E529" s="72">
        <v>15</v>
      </c>
      <c r="F529" t="s">
        <v>98</v>
      </c>
      <c r="G529" t="s">
        <v>56</v>
      </c>
      <c r="I529" s="171" t="s">
        <v>694</v>
      </c>
      <c r="J529" s="171" t="s">
        <v>97</v>
      </c>
      <c r="K529" s="171" t="s">
        <v>79</v>
      </c>
      <c r="M529" s="171">
        <v>33</v>
      </c>
      <c r="N529" s="171" t="s">
        <v>98</v>
      </c>
      <c r="O529" s="171" t="s">
        <v>56</v>
      </c>
      <c r="Q529" s="399">
        <v>29</v>
      </c>
      <c r="R529" s="396" t="s">
        <v>98</v>
      </c>
      <c r="S529" s="397" t="s">
        <v>55</v>
      </c>
      <c r="U529" s="171" t="s">
        <v>694</v>
      </c>
      <c r="V529" s="171" t="s">
        <v>97</v>
      </c>
      <c r="W529" s="171" t="s">
        <v>79</v>
      </c>
      <c r="Y529" s="171" t="s">
        <v>697</v>
      </c>
      <c r="Z529" s="171" t="s">
        <v>98</v>
      </c>
      <c r="AA529" s="171" t="s">
        <v>79</v>
      </c>
      <c r="AC529" s="505">
        <v>26</v>
      </c>
      <c r="AD529" s="505" t="s">
        <v>98</v>
      </c>
      <c r="AE529" s="505" t="s">
        <v>55</v>
      </c>
      <c r="AG529" s="171">
        <v>20</v>
      </c>
      <c r="AH529" s="171" t="s">
        <v>98</v>
      </c>
      <c r="AI529" s="171" t="s">
        <v>56</v>
      </c>
      <c r="AK529" s="299">
        <v>2</v>
      </c>
      <c r="AL529" s="299" t="s">
        <v>81</v>
      </c>
      <c r="AM529" s="299" t="s">
        <v>134</v>
      </c>
      <c r="AO529" s="299">
        <v>10</v>
      </c>
      <c r="AP529" s="299" t="s">
        <v>82</v>
      </c>
      <c r="AQ529" s="299" t="s">
        <v>688</v>
      </c>
    </row>
    <row r="530" spans="1:43" ht="15" customHeight="1" x14ac:dyDescent="0.25">
      <c r="A530">
        <v>1</v>
      </c>
      <c r="B530" t="s">
        <v>97</v>
      </c>
      <c r="C530" t="s">
        <v>134</v>
      </c>
      <c r="E530" s="72">
        <v>14</v>
      </c>
      <c r="F530" t="s">
        <v>97</v>
      </c>
      <c r="G530" t="s">
        <v>122</v>
      </c>
      <c r="I530" s="171" t="s">
        <v>694</v>
      </c>
      <c r="J530" s="171" t="s">
        <v>97</v>
      </c>
      <c r="K530" s="171" t="s">
        <v>79</v>
      </c>
      <c r="M530" s="171">
        <v>28</v>
      </c>
      <c r="N530" s="171" t="s">
        <v>98</v>
      </c>
      <c r="O530" s="171" t="s">
        <v>56</v>
      </c>
      <c r="Q530" s="399">
        <v>27</v>
      </c>
      <c r="R530" s="396" t="s">
        <v>98</v>
      </c>
      <c r="S530" s="397" t="s">
        <v>55</v>
      </c>
      <c r="U530" s="171" t="s">
        <v>694</v>
      </c>
      <c r="V530" s="171" t="s">
        <v>97</v>
      </c>
      <c r="W530" s="171" t="s">
        <v>79</v>
      </c>
      <c r="Y530" s="171" t="s">
        <v>698</v>
      </c>
      <c r="Z530" s="171" t="s">
        <v>98</v>
      </c>
      <c r="AA530" s="171" t="s">
        <v>79</v>
      </c>
      <c r="AC530" s="505">
        <v>22</v>
      </c>
      <c r="AD530" s="505" t="s">
        <v>98</v>
      </c>
      <c r="AE530" s="505" t="s">
        <v>55</v>
      </c>
      <c r="AG530" s="171">
        <v>40</v>
      </c>
      <c r="AH530" s="171" t="s">
        <v>98</v>
      </c>
      <c r="AI530" s="171" t="s">
        <v>56</v>
      </c>
      <c r="AK530" s="299">
        <v>5</v>
      </c>
      <c r="AL530" s="299" t="s">
        <v>82</v>
      </c>
      <c r="AM530" s="299" t="s">
        <v>134</v>
      </c>
      <c r="AO530" s="299">
        <v>70</v>
      </c>
      <c r="AP530" s="299" t="s">
        <v>81</v>
      </c>
      <c r="AQ530" s="299" t="s">
        <v>688</v>
      </c>
    </row>
    <row r="531" spans="1:43" ht="15" customHeight="1" x14ac:dyDescent="0.25">
      <c r="A531">
        <v>3</v>
      </c>
      <c r="B531" t="s">
        <v>97</v>
      </c>
      <c r="C531" t="s">
        <v>134</v>
      </c>
      <c r="E531" s="72">
        <v>14</v>
      </c>
      <c r="F531" t="s">
        <v>98</v>
      </c>
      <c r="G531" t="s">
        <v>123</v>
      </c>
      <c r="I531" s="171" t="s">
        <v>694</v>
      </c>
      <c r="J531" s="171" t="s">
        <v>97</v>
      </c>
      <c r="K531" s="171" t="s">
        <v>79</v>
      </c>
      <c r="M531" s="171">
        <v>36</v>
      </c>
      <c r="N531" s="171" t="s">
        <v>98</v>
      </c>
      <c r="O531" s="171" t="s">
        <v>56</v>
      </c>
      <c r="Q531" s="399">
        <v>19</v>
      </c>
      <c r="R531" s="396" t="s">
        <v>98</v>
      </c>
      <c r="S531" s="397" t="s">
        <v>55</v>
      </c>
      <c r="U531" s="171" t="s">
        <v>694</v>
      </c>
      <c r="V531" s="171" t="s">
        <v>97</v>
      </c>
      <c r="W531" s="171" t="s">
        <v>79</v>
      </c>
      <c r="Y531" s="171" t="s">
        <v>695</v>
      </c>
      <c r="Z531" s="171" t="s">
        <v>97</v>
      </c>
      <c r="AA531" s="171" t="s">
        <v>79</v>
      </c>
      <c r="AC531" s="505">
        <v>25</v>
      </c>
      <c r="AD531" s="505" t="s">
        <v>98</v>
      </c>
      <c r="AE531" s="505" t="s">
        <v>55</v>
      </c>
      <c r="AG531" s="171">
        <v>27</v>
      </c>
      <c r="AH531" s="171" t="s">
        <v>98</v>
      </c>
      <c r="AI531" s="171" t="s">
        <v>56</v>
      </c>
      <c r="AK531" s="299" t="s">
        <v>1343</v>
      </c>
      <c r="AL531" s="299" t="s">
        <v>81</v>
      </c>
      <c r="AM531" s="299" t="s">
        <v>134</v>
      </c>
      <c r="AO531" s="299">
        <v>44</v>
      </c>
      <c r="AP531" s="299" t="s">
        <v>81</v>
      </c>
      <c r="AQ531" s="299" t="s">
        <v>688</v>
      </c>
    </row>
    <row r="532" spans="1:43" ht="15" customHeight="1" x14ac:dyDescent="0.25">
      <c r="A532">
        <v>5</v>
      </c>
      <c r="B532" t="s">
        <v>97</v>
      </c>
      <c r="C532" t="s">
        <v>134</v>
      </c>
      <c r="E532" s="72">
        <v>13</v>
      </c>
      <c r="F532" t="s">
        <v>98</v>
      </c>
      <c r="G532" t="s">
        <v>123</v>
      </c>
      <c r="I532" s="171" t="s">
        <v>698</v>
      </c>
      <c r="J532" s="171" t="s">
        <v>97</v>
      </c>
      <c r="K532" s="171" t="s">
        <v>79</v>
      </c>
      <c r="M532" s="171">
        <v>31</v>
      </c>
      <c r="N532" s="171" t="s">
        <v>98</v>
      </c>
      <c r="O532" s="171" t="s">
        <v>56</v>
      </c>
      <c r="Q532" s="399">
        <v>37</v>
      </c>
      <c r="R532" s="396" t="s">
        <v>98</v>
      </c>
      <c r="S532" s="397" t="s">
        <v>55</v>
      </c>
      <c r="U532" s="171" t="s">
        <v>694</v>
      </c>
      <c r="V532" s="171" t="s">
        <v>98</v>
      </c>
      <c r="W532" s="171" t="s">
        <v>79</v>
      </c>
      <c r="Y532" s="171" t="s">
        <v>694</v>
      </c>
      <c r="Z532" s="171" t="s">
        <v>98</v>
      </c>
      <c r="AA532" s="171" t="s">
        <v>79</v>
      </c>
      <c r="AC532" s="505">
        <v>16</v>
      </c>
      <c r="AD532" s="505" t="s">
        <v>98</v>
      </c>
      <c r="AE532" s="505" t="s">
        <v>55</v>
      </c>
      <c r="AG532" s="171">
        <v>17</v>
      </c>
      <c r="AH532" s="171" t="s">
        <v>98</v>
      </c>
      <c r="AI532" s="171" t="s">
        <v>56</v>
      </c>
      <c r="AK532" s="299">
        <v>1</v>
      </c>
      <c r="AL532" s="299" t="s">
        <v>81</v>
      </c>
      <c r="AM532" s="299" t="s">
        <v>134</v>
      </c>
      <c r="AO532" s="299">
        <v>19</v>
      </c>
      <c r="AP532" s="299" t="s">
        <v>82</v>
      </c>
      <c r="AQ532" s="299" t="s">
        <v>688</v>
      </c>
    </row>
    <row r="533" spans="1:43" ht="15" customHeight="1" x14ac:dyDescent="0.25">
      <c r="A533" t="s">
        <v>691</v>
      </c>
      <c r="B533" t="s">
        <v>97</v>
      </c>
      <c r="C533" t="s">
        <v>134</v>
      </c>
      <c r="E533" s="72">
        <v>12</v>
      </c>
      <c r="F533" t="s">
        <v>97</v>
      </c>
      <c r="G533" t="s">
        <v>688</v>
      </c>
      <c r="I533" s="171" t="s">
        <v>694</v>
      </c>
      <c r="J533" s="171" t="s">
        <v>97</v>
      </c>
      <c r="K533" s="171" t="s">
        <v>79</v>
      </c>
      <c r="M533" s="171">
        <v>31</v>
      </c>
      <c r="N533" s="171" t="s">
        <v>98</v>
      </c>
      <c r="O533" s="171" t="s">
        <v>56</v>
      </c>
      <c r="Q533" s="399">
        <v>19</v>
      </c>
      <c r="R533" s="396" t="s">
        <v>98</v>
      </c>
      <c r="S533" s="397" t="s">
        <v>55</v>
      </c>
      <c r="U533" s="171" t="s">
        <v>694</v>
      </c>
      <c r="V533" s="171" t="s">
        <v>97</v>
      </c>
      <c r="W533" s="171" t="s">
        <v>79</v>
      </c>
      <c r="Y533" s="171" t="s">
        <v>694</v>
      </c>
      <c r="Z533" s="171" t="s">
        <v>97</v>
      </c>
      <c r="AA533" s="171" t="s">
        <v>79</v>
      </c>
      <c r="AC533" s="505">
        <v>22</v>
      </c>
      <c r="AD533" s="505" t="s">
        <v>98</v>
      </c>
      <c r="AE533" s="505" t="s">
        <v>55</v>
      </c>
      <c r="AG533" s="171">
        <v>19</v>
      </c>
      <c r="AH533" s="171" t="s">
        <v>98</v>
      </c>
      <c r="AI533" s="171" t="s">
        <v>56</v>
      </c>
      <c r="AK533" s="299">
        <v>7</v>
      </c>
      <c r="AL533" s="299" t="s">
        <v>82</v>
      </c>
      <c r="AM533" s="299" t="s">
        <v>134</v>
      </c>
      <c r="AO533" s="299">
        <v>43</v>
      </c>
      <c r="AP533" s="299" t="s">
        <v>82</v>
      </c>
      <c r="AQ533" s="299" t="s">
        <v>688</v>
      </c>
    </row>
    <row r="534" spans="1:43" ht="15" customHeight="1" x14ac:dyDescent="0.25">
      <c r="A534" t="s">
        <v>691</v>
      </c>
      <c r="B534" t="s">
        <v>97</v>
      </c>
      <c r="C534" t="s">
        <v>134</v>
      </c>
      <c r="E534" s="72">
        <v>11</v>
      </c>
      <c r="F534" t="s">
        <v>97</v>
      </c>
      <c r="G534" t="s">
        <v>688</v>
      </c>
      <c r="I534" s="171" t="s">
        <v>694</v>
      </c>
      <c r="J534" s="171" t="s">
        <v>98</v>
      </c>
      <c r="K534" s="171" t="s">
        <v>79</v>
      </c>
      <c r="M534" s="171">
        <v>40</v>
      </c>
      <c r="N534" s="171" t="s">
        <v>98</v>
      </c>
      <c r="O534" s="171" t="s">
        <v>56</v>
      </c>
      <c r="Q534" s="399">
        <v>36</v>
      </c>
      <c r="R534" s="396" t="s">
        <v>98</v>
      </c>
      <c r="S534" s="397" t="s">
        <v>55</v>
      </c>
      <c r="U534" s="171" t="s">
        <v>694</v>
      </c>
      <c r="V534" s="171" t="s">
        <v>98</v>
      </c>
      <c r="W534" s="171" t="s">
        <v>79</v>
      </c>
      <c r="Y534" s="171" t="s">
        <v>698</v>
      </c>
      <c r="Z534" s="171" t="s">
        <v>97</v>
      </c>
      <c r="AA534" s="171" t="s">
        <v>79</v>
      </c>
      <c r="AC534" s="505">
        <v>38</v>
      </c>
      <c r="AD534" s="505" t="s">
        <v>98</v>
      </c>
      <c r="AE534" s="505" t="s">
        <v>55</v>
      </c>
      <c r="AG534" s="171">
        <v>15</v>
      </c>
      <c r="AH534" s="171" t="s">
        <v>98</v>
      </c>
      <c r="AI534" s="171" t="s">
        <v>56</v>
      </c>
      <c r="AK534" s="299" t="s">
        <v>1344</v>
      </c>
      <c r="AL534" s="299" t="s">
        <v>82</v>
      </c>
      <c r="AM534" s="299" t="s">
        <v>134</v>
      </c>
      <c r="AO534" s="299">
        <v>33</v>
      </c>
      <c r="AP534" s="299" t="s">
        <v>81</v>
      </c>
      <c r="AQ534" s="299" t="s">
        <v>688</v>
      </c>
    </row>
    <row r="535" spans="1:43" ht="15" customHeight="1" x14ac:dyDescent="0.25">
      <c r="A535">
        <v>7</v>
      </c>
      <c r="B535" t="s">
        <v>98</v>
      </c>
      <c r="C535" t="s">
        <v>134</v>
      </c>
      <c r="E535" s="72">
        <v>11</v>
      </c>
      <c r="F535" t="s">
        <v>98</v>
      </c>
      <c r="G535" t="s">
        <v>688</v>
      </c>
      <c r="I535" s="171" t="s">
        <v>694</v>
      </c>
      <c r="J535" s="171" t="s">
        <v>98</v>
      </c>
      <c r="K535" s="171" t="s">
        <v>79</v>
      </c>
      <c r="M535" s="171">
        <v>21</v>
      </c>
      <c r="N535" s="171" t="s">
        <v>98</v>
      </c>
      <c r="O535" s="171" t="s">
        <v>56</v>
      </c>
      <c r="Q535" s="399">
        <v>21</v>
      </c>
      <c r="R535" s="396" t="s">
        <v>98</v>
      </c>
      <c r="S535" s="397" t="s">
        <v>55</v>
      </c>
      <c r="U535" s="171" t="s">
        <v>694</v>
      </c>
      <c r="V535" s="171" t="s">
        <v>98</v>
      </c>
      <c r="W535" s="171" t="s">
        <v>79</v>
      </c>
      <c r="Y535" s="171" t="s">
        <v>694</v>
      </c>
      <c r="Z535" s="171" t="s">
        <v>98</v>
      </c>
      <c r="AA535" s="171" t="s">
        <v>79</v>
      </c>
      <c r="AC535" s="505">
        <v>37</v>
      </c>
      <c r="AD535" s="505" t="s">
        <v>98</v>
      </c>
      <c r="AE535" s="505" t="s">
        <v>55</v>
      </c>
      <c r="AG535" s="171">
        <v>17</v>
      </c>
      <c r="AH535" s="171" t="s">
        <v>98</v>
      </c>
      <c r="AI535" s="171" t="s">
        <v>56</v>
      </c>
      <c r="AK535" s="299">
        <v>4</v>
      </c>
      <c r="AL535" s="299" t="s">
        <v>82</v>
      </c>
      <c r="AM535" s="299" t="s">
        <v>134</v>
      </c>
      <c r="AO535" s="299">
        <v>2</v>
      </c>
      <c r="AP535" s="299" t="s">
        <v>82</v>
      </c>
      <c r="AQ535" s="299" t="s">
        <v>688</v>
      </c>
    </row>
    <row r="536" spans="1:43" ht="15" customHeight="1" x14ac:dyDescent="0.25">
      <c r="A536">
        <v>3</v>
      </c>
      <c r="B536" t="s">
        <v>97</v>
      </c>
      <c r="C536" t="s">
        <v>134</v>
      </c>
      <c r="E536" s="72">
        <v>11</v>
      </c>
      <c r="F536" t="s">
        <v>98</v>
      </c>
      <c r="G536" t="s">
        <v>134</v>
      </c>
      <c r="I536" s="171" t="s">
        <v>694</v>
      </c>
      <c r="J536" s="171" t="s">
        <v>98</v>
      </c>
      <c r="K536" s="171" t="s">
        <v>79</v>
      </c>
      <c r="M536" s="171">
        <v>21</v>
      </c>
      <c r="N536" s="171" t="s">
        <v>98</v>
      </c>
      <c r="O536" s="171" t="s">
        <v>56</v>
      </c>
      <c r="Q536" s="399">
        <v>26</v>
      </c>
      <c r="R536" s="396" t="s">
        <v>98</v>
      </c>
      <c r="S536" s="397" t="s">
        <v>55</v>
      </c>
      <c r="U536"/>
      <c r="V536"/>
      <c r="W536"/>
      <c r="Y536" s="171" t="s">
        <v>694</v>
      </c>
      <c r="Z536" s="171" t="s">
        <v>98</v>
      </c>
      <c r="AA536" s="171" t="s">
        <v>79</v>
      </c>
      <c r="AC536" s="505">
        <v>24</v>
      </c>
      <c r="AD536" s="505" t="s">
        <v>98</v>
      </c>
      <c r="AE536" s="505" t="s">
        <v>55</v>
      </c>
      <c r="AG536" s="171">
        <v>36</v>
      </c>
      <c r="AH536" s="171" t="s">
        <v>98</v>
      </c>
      <c r="AI536" s="171" t="s">
        <v>56</v>
      </c>
      <c r="AK536" s="299">
        <v>1</v>
      </c>
      <c r="AL536" s="299" t="s">
        <v>82</v>
      </c>
      <c r="AM536" s="299" t="s">
        <v>134</v>
      </c>
      <c r="AO536" s="299">
        <v>91</v>
      </c>
      <c r="AP536" s="299" t="s">
        <v>81</v>
      </c>
      <c r="AQ536" s="299" t="s">
        <v>688</v>
      </c>
    </row>
    <row r="537" spans="1:43" ht="15" customHeight="1" x14ac:dyDescent="0.25">
      <c r="A537">
        <v>7</v>
      </c>
      <c r="B537" t="s">
        <v>98</v>
      </c>
      <c r="C537" t="s">
        <v>134</v>
      </c>
      <c r="E537" s="72">
        <v>11</v>
      </c>
      <c r="F537" t="s">
        <v>97</v>
      </c>
      <c r="G537" t="s">
        <v>134</v>
      </c>
      <c r="I537" s="171" t="s">
        <v>684</v>
      </c>
      <c r="J537" s="171" t="s">
        <v>97</v>
      </c>
      <c r="K537" s="171" t="s">
        <v>79</v>
      </c>
      <c r="M537" s="171">
        <v>16</v>
      </c>
      <c r="N537" s="171" t="s">
        <v>98</v>
      </c>
      <c r="O537" s="171" t="s">
        <v>56</v>
      </c>
      <c r="Q537" s="399">
        <v>24</v>
      </c>
      <c r="R537" s="396" t="s">
        <v>98</v>
      </c>
      <c r="S537" s="397" t="s">
        <v>55</v>
      </c>
      <c r="U537"/>
      <c r="V537"/>
      <c r="W537"/>
      <c r="Y537" s="171" t="s">
        <v>695</v>
      </c>
      <c r="Z537" s="171" t="s">
        <v>98</v>
      </c>
      <c r="AA537" s="171" t="s">
        <v>79</v>
      </c>
      <c r="AC537" s="505">
        <v>23</v>
      </c>
      <c r="AD537" s="505" t="s">
        <v>98</v>
      </c>
      <c r="AE537" s="505" t="s">
        <v>55</v>
      </c>
      <c r="AG537" s="171">
        <v>32</v>
      </c>
      <c r="AH537" s="171" t="s">
        <v>98</v>
      </c>
      <c r="AI537" s="171" t="s">
        <v>56</v>
      </c>
      <c r="AK537" s="299">
        <v>6</v>
      </c>
      <c r="AL537" s="299" t="s">
        <v>82</v>
      </c>
      <c r="AM537" s="299" t="s">
        <v>134</v>
      </c>
      <c r="AO537" s="299">
        <v>52</v>
      </c>
      <c r="AP537" s="299" t="s">
        <v>82</v>
      </c>
      <c r="AQ537" s="299" t="s">
        <v>688</v>
      </c>
    </row>
    <row r="538" spans="1:43" ht="15" customHeight="1" x14ac:dyDescent="0.25">
      <c r="A538" t="s">
        <v>689</v>
      </c>
      <c r="B538" t="s">
        <v>98</v>
      </c>
      <c r="C538" t="s">
        <v>134</v>
      </c>
      <c r="E538" s="72">
        <v>10</v>
      </c>
      <c r="F538" t="s">
        <v>98</v>
      </c>
      <c r="G538" t="s">
        <v>134</v>
      </c>
      <c r="I538" s="171" t="s">
        <v>694</v>
      </c>
      <c r="J538" s="171" t="s">
        <v>97</v>
      </c>
      <c r="K538" s="171" t="s">
        <v>79</v>
      </c>
      <c r="M538" s="171">
        <v>36</v>
      </c>
      <c r="N538" s="171" t="s">
        <v>98</v>
      </c>
      <c r="O538" s="171" t="s">
        <v>56</v>
      </c>
      <c r="Q538" s="399">
        <v>21</v>
      </c>
      <c r="R538" s="396" t="s">
        <v>98</v>
      </c>
      <c r="S538" s="397" t="s">
        <v>55</v>
      </c>
      <c r="U538"/>
      <c r="V538"/>
      <c r="W538"/>
      <c r="Y538" s="171" t="s">
        <v>694</v>
      </c>
      <c r="Z538" s="171" t="s">
        <v>97</v>
      </c>
      <c r="AA538" s="171" t="s">
        <v>79</v>
      </c>
      <c r="AC538" s="505">
        <v>26</v>
      </c>
      <c r="AD538" s="505" t="s">
        <v>98</v>
      </c>
      <c r="AE538" s="505" t="s">
        <v>55</v>
      </c>
      <c r="AG538" s="171">
        <v>29</v>
      </c>
      <c r="AH538" s="171" t="s">
        <v>98</v>
      </c>
      <c r="AI538" s="171" t="s">
        <v>56</v>
      </c>
      <c r="AK538" s="299">
        <v>3</v>
      </c>
      <c r="AL538" s="299" t="s">
        <v>81</v>
      </c>
      <c r="AM538" s="299" t="s">
        <v>134</v>
      </c>
      <c r="AO538" s="299">
        <v>2</v>
      </c>
      <c r="AP538" s="299" t="s">
        <v>81</v>
      </c>
      <c r="AQ538" s="299" t="s">
        <v>688</v>
      </c>
    </row>
    <row r="539" spans="1:43" ht="15" customHeight="1" x14ac:dyDescent="0.25">
      <c r="A539" t="s">
        <v>689</v>
      </c>
      <c r="B539" t="s">
        <v>97</v>
      </c>
      <c r="C539" t="s">
        <v>134</v>
      </c>
      <c r="E539" s="72">
        <v>9</v>
      </c>
      <c r="F539" t="s">
        <v>97</v>
      </c>
      <c r="G539" t="s">
        <v>134</v>
      </c>
      <c r="I539" s="171" t="s">
        <v>694</v>
      </c>
      <c r="J539" s="171" t="s">
        <v>97</v>
      </c>
      <c r="K539" s="171" t="s">
        <v>79</v>
      </c>
      <c r="M539" s="171">
        <v>17</v>
      </c>
      <c r="N539" s="171" t="s">
        <v>98</v>
      </c>
      <c r="O539" s="171" t="s">
        <v>56</v>
      </c>
      <c r="Q539" s="399">
        <v>29</v>
      </c>
      <c r="R539" s="396" t="s">
        <v>98</v>
      </c>
      <c r="S539" s="397" t="s">
        <v>55</v>
      </c>
      <c r="U539"/>
      <c r="V539"/>
      <c r="W539"/>
      <c r="Y539" s="171" t="s">
        <v>712</v>
      </c>
      <c r="Z539" s="171" t="s">
        <v>97</v>
      </c>
      <c r="AA539" s="171" t="s">
        <v>79</v>
      </c>
      <c r="AC539" s="505">
        <v>22</v>
      </c>
      <c r="AD539" s="505" t="s">
        <v>98</v>
      </c>
      <c r="AE539" s="505" t="s">
        <v>55</v>
      </c>
      <c r="AG539" s="171">
        <v>23</v>
      </c>
      <c r="AH539" s="171" t="s">
        <v>98</v>
      </c>
      <c r="AI539" s="171" t="s">
        <v>56</v>
      </c>
      <c r="AK539" s="299">
        <v>7</v>
      </c>
      <c r="AL539" s="299" t="s">
        <v>82</v>
      </c>
      <c r="AM539" s="299" t="s">
        <v>134</v>
      </c>
      <c r="AO539" s="299">
        <v>79</v>
      </c>
      <c r="AP539" s="299" t="s">
        <v>82</v>
      </c>
      <c r="AQ539" s="299" t="s">
        <v>688</v>
      </c>
    </row>
    <row r="540" spans="1:43" ht="15" customHeight="1" x14ac:dyDescent="0.25">
      <c r="A540">
        <v>1</v>
      </c>
      <c r="B540" t="s">
        <v>97</v>
      </c>
      <c r="C540" t="s">
        <v>134</v>
      </c>
      <c r="E540" s="72">
        <v>9</v>
      </c>
      <c r="F540" t="s">
        <v>98</v>
      </c>
      <c r="G540" t="s">
        <v>134</v>
      </c>
      <c r="I540" s="171" t="s">
        <v>694</v>
      </c>
      <c r="J540" s="171" t="s">
        <v>98</v>
      </c>
      <c r="K540" s="171" t="s">
        <v>79</v>
      </c>
      <c r="M540" s="171">
        <v>27</v>
      </c>
      <c r="N540" s="171" t="s">
        <v>98</v>
      </c>
      <c r="O540" s="171" t="s">
        <v>56</v>
      </c>
      <c r="Q540" s="154">
        <v>57</v>
      </c>
      <c r="R540" s="154" t="s">
        <v>97</v>
      </c>
      <c r="S540" s="397" t="s">
        <v>688</v>
      </c>
      <c r="U540"/>
      <c r="V540"/>
      <c r="W540"/>
      <c r="Y540" s="171" t="s">
        <v>694</v>
      </c>
      <c r="Z540" s="171" t="s">
        <v>98</v>
      </c>
      <c r="AA540" s="171" t="s">
        <v>79</v>
      </c>
      <c r="AC540" s="505">
        <v>39</v>
      </c>
      <c r="AD540" s="505" t="s">
        <v>98</v>
      </c>
      <c r="AE540" s="505" t="s">
        <v>55</v>
      </c>
      <c r="AG540" s="171">
        <v>31</v>
      </c>
      <c r="AH540" s="171" t="s">
        <v>98</v>
      </c>
      <c r="AI540" s="171" t="s">
        <v>56</v>
      </c>
      <c r="AK540" s="299" t="s">
        <v>1344</v>
      </c>
      <c r="AL540" s="299" t="s">
        <v>82</v>
      </c>
      <c r="AM540" s="299" t="s">
        <v>134</v>
      </c>
      <c r="AO540" s="299">
        <v>84</v>
      </c>
      <c r="AP540" s="299" t="s">
        <v>82</v>
      </c>
      <c r="AQ540" s="299" t="s">
        <v>688</v>
      </c>
    </row>
    <row r="541" spans="1:43" ht="15" customHeight="1" x14ac:dyDescent="0.25">
      <c r="A541">
        <v>5</v>
      </c>
      <c r="B541" t="s">
        <v>97</v>
      </c>
      <c r="C541" t="s">
        <v>134</v>
      </c>
      <c r="E541" s="72">
        <v>9</v>
      </c>
      <c r="F541" t="s">
        <v>98</v>
      </c>
      <c r="G541" t="s">
        <v>134</v>
      </c>
      <c r="I541" s="171" t="s">
        <v>694</v>
      </c>
      <c r="J541" s="171" t="s">
        <v>98</v>
      </c>
      <c r="K541" s="171" t="s">
        <v>79</v>
      </c>
      <c r="M541" s="171">
        <v>28</v>
      </c>
      <c r="N541" s="171" t="s">
        <v>98</v>
      </c>
      <c r="O541" s="171" t="s">
        <v>56</v>
      </c>
      <c r="Q541" s="298">
        <v>72</v>
      </c>
      <c r="R541" s="298" t="s">
        <v>98</v>
      </c>
      <c r="S541" s="397" t="s">
        <v>688</v>
      </c>
      <c r="U541"/>
      <c r="V541"/>
      <c r="W541"/>
      <c r="Y541" s="171" t="s">
        <v>694</v>
      </c>
      <c r="Z541" s="171" t="s">
        <v>98</v>
      </c>
      <c r="AA541" s="171" t="s">
        <v>79</v>
      </c>
      <c r="AC541" s="505">
        <v>29</v>
      </c>
      <c r="AD541" s="505" t="s">
        <v>98</v>
      </c>
      <c r="AE541" s="505" t="s">
        <v>55</v>
      </c>
      <c r="AG541" s="171">
        <v>40</v>
      </c>
      <c r="AH541" s="171" t="s">
        <v>98</v>
      </c>
      <c r="AI541" s="171" t="s">
        <v>56</v>
      </c>
      <c r="AK541" s="299" t="s">
        <v>1345</v>
      </c>
      <c r="AL541" s="299" t="s">
        <v>82</v>
      </c>
      <c r="AM541" s="299" t="s">
        <v>134</v>
      </c>
      <c r="AO541" s="299">
        <v>2</v>
      </c>
      <c r="AP541" s="299" t="s">
        <v>81</v>
      </c>
      <c r="AQ541" s="299" t="s">
        <v>688</v>
      </c>
    </row>
    <row r="542" spans="1:43" ht="15" customHeight="1" x14ac:dyDescent="0.25">
      <c r="A542" t="s">
        <v>689</v>
      </c>
      <c r="B542" t="s">
        <v>97</v>
      </c>
      <c r="C542" t="s">
        <v>134</v>
      </c>
      <c r="E542" s="72">
        <v>7</v>
      </c>
      <c r="F542" t="s">
        <v>98</v>
      </c>
      <c r="G542" t="s">
        <v>134</v>
      </c>
      <c r="I542" s="171" t="s">
        <v>714</v>
      </c>
      <c r="J542" s="171" t="s">
        <v>97</v>
      </c>
      <c r="K542" s="171" t="s">
        <v>79</v>
      </c>
      <c r="M542" s="171">
        <v>32</v>
      </c>
      <c r="N542" s="171" t="s">
        <v>98</v>
      </c>
      <c r="O542" s="171" t="s">
        <v>56</v>
      </c>
      <c r="Q542" s="298">
        <v>83</v>
      </c>
      <c r="R542" s="298" t="s">
        <v>97</v>
      </c>
      <c r="S542" s="397" t="s">
        <v>688</v>
      </c>
      <c r="U542"/>
      <c r="V542"/>
      <c r="W542"/>
      <c r="Y542" s="171" t="s">
        <v>694</v>
      </c>
      <c r="Z542" s="171" t="s">
        <v>97</v>
      </c>
      <c r="AA542" s="171" t="s">
        <v>79</v>
      </c>
      <c r="AC542" s="505">
        <v>28</v>
      </c>
      <c r="AD542" s="505" t="s">
        <v>98</v>
      </c>
      <c r="AE542" s="505" t="s">
        <v>55</v>
      </c>
      <c r="AG542" s="171">
        <v>26</v>
      </c>
      <c r="AH542" s="171" t="s">
        <v>98</v>
      </c>
      <c r="AI542" s="171" t="s">
        <v>56</v>
      </c>
      <c r="AK542" s="299">
        <v>3</v>
      </c>
      <c r="AL542" s="299" t="s">
        <v>82</v>
      </c>
      <c r="AM542" s="299" t="s">
        <v>134</v>
      </c>
      <c r="AO542" s="299">
        <v>48</v>
      </c>
      <c r="AP542" s="299" t="s">
        <v>82</v>
      </c>
      <c r="AQ542" s="299" t="s">
        <v>688</v>
      </c>
    </row>
    <row r="543" spans="1:43" ht="15" customHeight="1" x14ac:dyDescent="0.25">
      <c r="A543">
        <v>4</v>
      </c>
      <c r="B543" t="s">
        <v>97</v>
      </c>
      <c r="C543" t="s">
        <v>134</v>
      </c>
      <c r="E543" s="72">
        <v>7</v>
      </c>
      <c r="F543" t="s">
        <v>98</v>
      </c>
      <c r="G543" t="s">
        <v>134</v>
      </c>
      <c r="I543" s="171" t="s">
        <v>694</v>
      </c>
      <c r="J543" s="171" t="s">
        <v>97</v>
      </c>
      <c r="K543" s="171" t="s">
        <v>79</v>
      </c>
      <c r="M543" s="171">
        <v>31</v>
      </c>
      <c r="N543" s="171" t="s">
        <v>98</v>
      </c>
      <c r="O543" s="171" t="s">
        <v>56</v>
      </c>
      <c r="Q543" s="298">
        <v>51</v>
      </c>
      <c r="R543" s="298" t="s">
        <v>98</v>
      </c>
      <c r="S543" s="397" t="s">
        <v>688</v>
      </c>
      <c r="U543"/>
      <c r="V543"/>
      <c r="W543"/>
      <c r="Y543" s="171" t="s">
        <v>698</v>
      </c>
      <c r="Z543" s="171" t="s">
        <v>98</v>
      </c>
      <c r="AA543" s="171" t="s">
        <v>79</v>
      </c>
      <c r="AC543" s="505">
        <v>35</v>
      </c>
      <c r="AD543" s="505" t="s">
        <v>98</v>
      </c>
      <c r="AE543" s="505" t="s">
        <v>55</v>
      </c>
      <c r="AG543" s="171">
        <v>22</v>
      </c>
      <c r="AH543" s="171" t="s">
        <v>98</v>
      </c>
      <c r="AI543" s="171" t="s">
        <v>56</v>
      </c>
      <c r="AK543" s="299">
        <v>3</v>
      </c>
      <c r="AL543" s="299" t="s">
        <v>82</v>
      </c>
      <c r="AM543" s="299" t="s">
        <v>134</v>
      </c>
      <c r="AO543" s="299">
        <v>56</v>
      </c>
      <c r="AP543" s="299" t="s">
        <v>82</v>
      </c>
      <c r="AQ543" s="299" t="s">
        <v>688</v>
      </c>
    </row>
    <row r="544" spans="1:43" ht="15" customHeight="1" x14ac:dyDescent="0.25">
      <c r="A544">
        <v>1</v>
      </c>
      <c r="B544" t="s">
        <v>98</v>
      </c>
      <c r="C544" t="s">
        <v>134</v>
      </c>
      <c r="E544" s="72">
        <v>6</v>
      </c>
      <c r="F544" t="s">
        <v>97</v>
      </c>
      <c r="G544" t="s">
        <v>134</v>
      </c>
      <c r="I544" s="171" t="s">
        <v>694</v>
      </c>
      <c r="J544" s="171" t="s">
        <v>98</v>
      </c>
      <c r="K544" s="171" t="s">
        <v>79</v>
      </c>
      <c r="M544" s="171">
        <v>25</v>
      </c>
      <c r="N544" s="171" t="s">
        <v>98</v>
      </c>
      <c r="O544" s="171" t="s">
        <v>56</v>
      </c>
      <c r="Q544" s="298">
        <v>66</v>
      </c>
      <c r="R544" s="298" t="s">
        <v>98</v>
      </c>
      <c r="S544" s="397" t="s">
        <v>688</v>
      </c>
      <c r="U544"/>
      <c r="V544"/>
      <c r="W544"/>
      <c r="Y544" s="171" t="s">
        <v>694</v>
      </c>
      <c r="Z544" s="171" t="s">
        <v>98</v>
      </c>
      <c r="AA544" s="171" t="s">
        <v>79</v>
      </c>
      <c r="AC544" s="505">
        <v>37</v>
      </c>
      <c r="AD544" s="505" t="s">
        <v>98</v>
      </c>
      <c r="AE544" s="505" t="s">
        <v>55</v>
      </c>
      <c r="AG544" s="171">
        <v>27</v>
      </c>
      <c r="AH544" s="171" t="s">
        <v>98</v>
      </c>
      <c r="AI544" s="171" t="s">
        <v>56</v>
      </c>
      <c r="AK544" s="299">
        <v>5</v>
      </c>
      <c r="AL544" s="299" t="s">
        <v>81</v>
      </c>
      <c r="AM544" s="299" t="s">
        <v>134</v>
      </c>
      <c r="AO544" s="299">
        <v>41</v>
      </c>
      <c r="AP544" s="299" t="s">
        <v>81</v>
      </c>
      <c r="AQ544" s="299" t="s">
        <v>688</v>
      </c>
    </row>
    <row r="545" spans="1:43" ht="15" customHeight="1" x14ac:dyDescent="0.25">
      <c r="A545">
        <v>3</v>
      </c>
      <c r="B545" t="s">
        <v>97</v>
      </c>
      <c r="C545" t="s">
        <v>134</v>
      </c>
      <c r="E545" s="72">
        <v>6</v>
      </c>
      <c r="F545" t="s">
        <v>98</v>
      </c>
      <c r="G545" t="s">
        <v>134</v>
      </c>
      <c r="I545" s="171" t="s">
        <v>710</v>
      </c>
      <c r="J545" s="171" t="s">
        <v>97</v>
      </c>
      <c r="K545" s="171" t="s">
        <v>79</v>
      </c>
      <c r="M545" s="171">
        <v>46</v>
      </c>
      <c r="N545" s="171" t="s">
        <v>98</v>
      </c>
      <c r="O545" s="171" t="s">
        <v>56</v>
      </c>
      <c r="Q545" s="298">
        <v>64</v>
      </c>
      <c r="R545" s="298" t="s">
        <v>98</v>
      </c>
      <c r="S545" s="397" t="s">
        <v>688</v>
      </c>
      <c r="U545"/>
      <c r="V545"/>
      <c r="W545"/>
      <c r="Y545" s="171" t="s">
        <v>694</v>
      </c>
      <c r="Z545" s="171" t="s">
        <v>98</v>
      </c>
      <c r="AA545" s="171" t="s">
        <v>79</v>
      </c>
      <c r="AC545" s="505">
        <v>26</v>
      </c>
      <c r="AD545" s="505" t="s">
        <v>98</v>
      </c>
      <c r="AE545" s="505" t="s">
        <v>55</v>
      </c>
      <c r="AG545" s="171">
        <v>24</v>
      </c>
      <c r="AH545" s="171" t="s">
        <v>98</v>
      </c>
      <c r="AI545" s="171" t="s">
        <v>56</v>
      </c>
      <c r="AK545" s="299" t="s">
        <v>1346</v>
      </c>
      <c r="AL545" s="299" t="s">
        <v>82</v>
      </c>
      <c r="AM545" s="299" t="s">
        <v>134</v>
      </c>
      <c r="AO545" s="299">
        <v>20</v>
      </c>
      <c r="AP545" s="299" t="s">
        <v>81</v>
      </c>
      <c r="AQ545" s="299" t="s">
        <v>688</v>
      </c>
    </row>
    <row r="546" spans="1:43" ht="15" customHeight="1" x14ac:dyDescent="0.25">
      <c r="A546">
        <v>2</v>
      </c>
      <c r="B546" t="s">
        <v>98</v>
      </c>
      <c r="C546" t="s">
        <v>134</v>
      </c>
      <c r="E546" s="72">
        <v>5</v>
      </c>
      <c r="F546" t="s">
        <v>97</v>
      </c>
      <c r="G546" t="s">
        <v>688</v>
      </c>
      <c r="I546" s="171" t="s">
        <v>694</v>
      </c>
      <c r="J546" s="171" t="s">
        <v>97</v>
      </c>
      <c r="K546" s="171" t="s">
        <v>79</v>
      </c>
      <c r="M546" s="171">
        <v>17</v>
      </c>
      <c r="N546" s="171" t="s">
        <v>98</v>
      </c>
      <c r="O546" s="171" t="s">
        <v>56</v>
      </c>
      <c r="Q546" s="298">
        <v>10</v>
      </c>
      <c r="R546" s="298" t="s">
        <v>97</v>
      </c>
      <c r="S546" s="397" t="s">
        <v>688</v>
      </c>
      <c r="U546"/>
      <c r="V546"/>
      <c r="W546"/>
      <c r="Y546" s="171" t="s">
        <v>698</v>
      </c>
      <c r="Z546" s="171" t="s">
        <v>98</v>
      </c>
      <c r="AA546" s="171" t="s">
        <v>79</v>
      </c>
      <c r="AC546" s="505">
        <v>21</v>
      </c>
      <c r="AD546" s="505" t="s">
        <v>98</v>
      </c>
      <c r="AE546" s="505" t="s">
        <v>55</v>
      </c>
      <c r="AG546" s="171">
        <v>29</v>
      </c>
      <c r="AH546" s="171" t="s">
        <v>98</v>
      </c>
      <c r="AI546" s="171" t="s">
        <v>56</v>
      </c>
      <c r="AK546" s="299">
        <v>2</v>
      </c>
      <c r="AL546" s="299" t="s">
        <v>82</v>
      </c>
      <c r="AM546" s="299" t="s">
        <v>134</v>
      </c>
      <c r="AO546" s="299">
        <v>67</v>
      </c>
      <c r="AP546" s="299" t="s">
        <v>82</v>
      </c>
      <c r="AQ546" s="299" t="s">
        <v>688</v>
      </c>
    </row>
    <row r="547" spans="1:43" ht="15" customHeight="1" x14ac:dyDescent="0.25">
      <c r="A547">
        <v>4</v>
      </c>
      <c r="B547" t="s">
        <v>97</v>
      </c>
      <c r="C547" t="s">
        <v>134</v>
      </c>
      <c r="E547" s="72">
        <v>5</v>
      </c>
      <c r="F547" t="s">
        <v>98</v>
      </c>
      <c r="G547" t="s">
        <v>688</v>
      </c>
      <c r="I547" s="171" t="s">
        <v>684</v>
      </c>
      <c r="J547" s="171" t="s">
        <v>97</v>
      </c>
      <c r="K547" s="171" t="s">
        <v>79</v>
      </c>
      <c r="M547" s="171">
        <v>16</v>
      </c>
      <c r="N547" s="171" t="s">
        <v>98</v>
      </c>
      <c r="O547" s="171" t="s">
        <v>56</v>
      </c>
      <c r="Q547" s="298">
        <v>3</v>
      </c>
      <c r="R547" s="298" t="s">
        <v>97</v>
      </c>
      <c r="S547" s="397" t="s">
        <v>688</v>
      </c>
      <c r="U547"/>
      <c r="V547"/>
      <c r="W547"/>
      <c r="Y547" s="171" t="s">
        <v>694</v>
      </c>
      <c r="Z547" s="171" t="s">
        <v>98</v>
      </c>
      <c r="AA547" s="171" t="s">
        <v>79</v>
      </c>
      <c r="AC547" s="505">
        <v>25</v>
      </c>
      <c r="AD547" s="505" t="s">
        <v>98</v>
      </c>
      <c r="AE547" s="505" t="s">
        <v>55</v>
      </c>
      <c r="AG547" s="171">
        <v>19</v>
      </c>
      <c r="AH547" s="171" t="s">
        <v>98</v>
      </c>
      <c r="AI547" s="171" t="s">
        <v>56</v>
      </c>
      <c r="AK547" s="299" t="s">
        <v>1346</v>
      </c>
      <c r="AL547" s="299" t="s">
        <v>82</v>
      </c>
      <c r="AM547" s="299" t="s">
        <v>134</v>
      </c>
      <c r="AO547" s="299">
        <v>68</v>
      </c>
      <c r="AP547" s="299" t="s">
        <v>82</v>
      </c>
      <c r="AQ547" s="299" t="s">
        <v>688</v>
      </c>
    </row>
    <row r="548" spans="1:43" ht="15" customHeight="1" x14ac:dyDescent="0.25">
      <c r="A548">
        <v>10</v>
      </c>
      <c r="B548" t="s">
        <v>97</v>
      </c>
      <c r="C548" t="s">
        <v>134</v>
      </c>
      <c r="E548" s="72">
        <v>5</v>
      </c>
      <c r="F548" t="s">
        <v>98</v>
      </c>
      <c r="G548" t="s">
        <v>134</v>
      </c>
      <c r="I548" s="171" t="s">
        <v>694</v>
      </c>
      <c r="J548" s="171" t="s">
        <v>97</v>
      </c>
      <c r="K548" s="171" t="s">
        <v>79</v>
      </c>
      <c r="M548" s="171">
        <v>21</v>
      </c>
      <c r="N548" s="171" t="s">
        <v>98</v>
      </c>
      <c r="O548" s="171" t="s">
        <v>56</v>
      </c>
      <c r="Q548" s="298">
        <v>23</v>
      </c>
      <c r="R548" s="298" t="s">
        <v>98</v>
      </c>
      <c r="S548" s="397" t="s">
        <v>688</v>
      </c>
      <c r="U548"/>
      <c r="V548"/>
      <c r="W548"/>
      <c r="Y548" s="171" t="s">
        <v>694</v>
      </c>
      <c r="Z548" s="171" t="s">
        <v>97</v>
      </c>
      <c r="AA548" s="171" t="s">
        <v>79</v>
      </c>
      <c r="AC548" s="505">
        <v>28</v>
      </c>
      <c r="AD548" s="505" t="s">
        <v>98</v>
      </c>
      <c r="AE548" s="505" t="s">
        <v>55</v>
      </c>
      <c r="AG548" s="171">
        <v>35</v>
      </c>
      <c r="AH548" s="171" t="s">
        <v>98</v>
      </c>
      <c r="AI548" s="171" t="s">
        <v>56</v>
      </c>
      <c r="AK548" s="299">
        <v>6</v>
      </c>
      <c r="AL548" s="299" t="s">
        <v>81</v>
      </c>
      <c r="AM548" s="299" t="s">
        <v>134</v>
      </c>
      <c r="AO548" s="299">
        <v>50</v>
      </c>
      <c r="AP548" s="299" t="s">
        <v>81</v>
      </c>
      <c r="AQ548" s="299" t="s">
        <v>688</v>
      </c>
    </row>
    <row r="549" spans="1:43" ht="15" customHeight="1" x14ac:dyDescent="0.25">
      <c r="A549">
        <v>1</v>
      </c>
      <c r="B549" t="s">
        <v>97</v>
      </c>
      <c r="C549" t="s">
        <v>134</v>
      </c>
      <c r="E549" s="72">
        <v>5</v>
      </c>
      <c r="F549" t="s">
        <v>97</v>
      </c>
      <c r="G549" t="s">
        <v>134</v>
      </c>
      <c r="I549" s="171" t="s">
        <v>694</v>
      </c>
      <c r="J549" s="171" t="s">
        <v>98</v>
      </c>
      <c r="K549" s="171" t="s">
        <v>79</v>
      </c>
      <c r="M549" s="171">
        <v>34</v>
      </c>
      <c r="N549" s="171" t="s">
        <v>98</v>
      </c>
      <c r="O549" s="171" t="s">
        <v>56</v>
      </c>
      <c r="Q549" s="298">
        <v>24</v>
      </c>
      <c r="R549" s="298" t="s">
        <v>97</v>
      </c>
      <c r="S549" s="397" t="s">
        <v>688</v>
      </c>
      <c r="U549"/>
      <c r="V549"/>
      <c r="W549"/>
      <c r="Y549" s="171" t="s">
        <v>701</v>
      </c>
      <c r="Z549" s="171" t="s">
        <v>97</v>
      </c>
      <c r="AA549" s="171" t="s">
        <v>79</v>
      </c>
      <c r="AC549" s="505">
        <v>34</v>
      </c>
      <c r="AD549" s="505" t="s">
        <v>98</v>
      </c>
      <c r="AE549" s="505" t="s">
        <v>55</v>
      </c>
      <c r="AG549" s="171">
        <v>35</v>
      </c>
      <c r="AH549" s="171" t="s">
        <v>98</v>
      </c>
      <c r="AI549" s="171" t="s">
        <v>56</v>
      </c>
      <c r="AK549" s="299" t="s">
        <v>1344</v>
      </c>
      <c r="AL549" s="299" t="s">
        <v>81</v>
      </c>
      <c r="AM549" s="299" t="s">
        <v>134</v>
      </c>
      <c r="AO549" s="299">
        <v>38</v>
      </c>
      <c r="AP549" s="299" t="s">
        <v>82</v>
      </c>
      <c r="AQ549" s="299" t="s">
        <v>688</v>
      </c>
    </row>
    <row r="550" spans="1:43" ht="15" customHeight="1" x14ac:dyDescent="0.25">
      <c r="A550">
        <v>2</v>
      </c>
      <c r="B550" t="s">
        <v>97</v>
      </c>
      <c r="C550" t="s">
        <v>134</v>
      </c>
      <c r="E550" s="72">
        <v>5</v>
      </c>
      <c r="F550" t="s">
        <v>97</v>
      </c>
      <c r="G550" t="s">
        <v>134</v>
      </c>
      <c r="I550" s="171" t="s">
        <v>694</v>
      </c>
      <c r="J550" s="171" t="s">
        <v>97</v>
      </c>
      <c r="K550" s="171" t="s">
        <v>79</v>
      </c>
      <c r="M550" s="171">
        <v>18</v>
      </c>
      <c r="N550" s="171" t="s">
        <v>98</v>
      </c>
      <c r="O550" s="171" t="s">
        <v>56</v>
      </c>
      <c r="Q550" s="298">
        <v>32</v>
      </c>
      <c r="R550" s="298" t="s">
        <v>98</v>
      </c>
      <c r="S550" s="397" t="s">
        <v>688</v>
      </c>
      <c r="U550"/>
      <c r="V550"/>
      <c r="W550"/>
      <c r="Y550" s="171" t="s">
        <v>694</v>
      </c>
      <c r="Z550" s="171" t="s">
        <v>97</v>
      </c>
      <c r="AA550" s="171" t="s">
        <v>79</v>
      </c>
      <c r="AC550" s="505">
        <v>32</v>
      </c>
      <c r="AD550" s="505" t="s">
        <v>98</v>
      </c>
      <c r="AE550" s="505" t="s">
        <v>55</v>
      </c>
      <c r="AG550" s="171">
        <v>25</v>
      </c>
      <c r="AH550" s="171" t="s">
        <v>98</v>
      </c>
      <c r="AI550" s="171" t="s">
        <v>56</v>
      </c>
      <c r="AK550" s="299">
        <v>7</v>
      </c>
      <c r="AL550" s="299" t="s">
        <v>82</v>
      </c>
      <c r="AM550" s="299" t="s">
        <v>134</v>
      </c>
      <c r="AO550" s="299">
        <v>37</v>
      </c>
      <c r="AP550" s="299" t="s">
        <v>81</v>
      </c>
      <c r="AQ550" s="299" t="s">
        <v>688</v>
      </c>
    </row>
    <row r="551" spans="1:43" ht="15" customHeight="1" x14ac:dyDescent="0.25">
      <c r="A551">
        <v>5</v>
      </c>
      <c r="B551" t="s">
        <v>98</v>
      </c>
      <c r="C551" t="s">
        <v>134</v>
      </c>
      <c r="E551" s="72">
        <v>4</v>
      </c>
      <c r="F551" t="s">
        <v>97</v>
      </c>
      <c r="G551" t="s">
        <v>688</v>
      </c>
      <c r="I551" s="171" t="s">
        <v>712</v>
      </c>
      <c r="J551" s="171" t="s">
        <v>98</v>
      </c>
      <c r="K551" s="171" t="s">
        <v>79</v>
      </c>
      <c r="M551" s="171">
        <v>38</v>
      </c>
      <c r="N551" s="171" t="s">
        <v>98</v>
      </c>
      <c r="O551" s="171" t="s">
        <v>56</v>
      </c>
      <c r="Q551" s="298">
        <v>43</v>
      </c>
      <c r="R551" s="298" t="s">
        <v>97</v>
      </c>
      <c r="S551" s="397" t="s">
        <v>688</v>
      </c>
      <c r="U551"/>
      <c r="V551"/>
      <c r="W551"/>
      <c r="Y551" s="171" t="s">
        <v>694</v>
      </c>
      <c r="Z551" s="171" t="s">
        <v>97</v>
      </c>
      <c r="AA551" s="171" t="s">
        <v>79</v>
      </c>
      <c r="AC551" s="505">
        <v>44</v>
      </c>
      <c r="AD551" s="505" t="s">
        <v>98</v>
      </c>
      <c r="AE551" s="505" t="s">
        <v>55</v>
      </c>
      <c r="AG551" s="171">
        <v>16</v>
      </c>
      <c r="AH551" s="171" t="s">
        <v>98</v>
      </c>
      <c r="AI551" s="171" t="s">
        <v>56</v>
      </c>
      <c r="AK551" s="299">
        <v>6</v>
      </c>
      <c r="AL551" s="299" t="s">
        <v>82</v>
      </c>
      <c r="AM551" s="299" t="s">
        <v>134</v>
      </c>
      <c r="AO551" s="299">
        <v>47</v>
      </c>
      <c r="AP551" s="299" t="s">
        <v>82</v>
      </c>
      <c r="AQ551" s="299" t="s">
        <v>688</v>
      </c>
    </row>
    <row r="552" spans="1:43" ht="15" customHeight="1" x14ac:dyDescent="0.25">
      <c r="A552">
        <v>1</v>
      </c>
      <c r="B552" t="s">
        <v>98</v>
      </c>
      <c r="C552" t="s">
        <v>134</v>
      </c>
      <c r="E552" s="72">
        <v>4</v>
      </c>
      <c r="F552" t="s">
        <v>97</v>
      </c>
      <c r="G552" t="s">
        <v>134</v>
      </c>
      <c r="I552" s="171" t="s">
        <v>694</v>
      </c>
      <c r="J552" s="171" t="s">
        <v>97</v>
      </c>
      <c r="K552" s="171" t="s">
        <v>79</v>
      </c>
      <c r="M552" s="171">
        <v>31</v>
      </c>
      <c r="N552" s="171" t="s">
        <v>98</v>
      </c>
      <c r="O552" s="171" t="s">
        <v>56</v>
      </c>
      <c r="Q552" s="298">
        <v>82</v>
      </c>
      <c r="R552" s="298" t="s">
        <v>97</v>
      </c>
      <c r="S552" s="397" t="s">
        <v>688</v>
      </c>
      <c r="U552"/>
      <c r="V552"/>
      <c r="W552"/>
      <c r="Y552" s="171" t="s">
        <v>694</v>
      </c>
      <c r="Z552" s="171" t="s">
        <v>98</v>
      </c>
      <c r="AA552" s="171" t="s">
        <v>79</v>
      </c>
      <c r="AC552" s="505">
        <v>24</v>
      </c>
      <c r="AD552" s="505" t="s">
        <v>98</v>
      </c>
      <c r="AE552" s="505" t="s">
        <v>55</v>
      </c>
      <c r="AG552" s="171">
        <v>34</v>
      </c>
      <c r="AH552" s="171" t="s">
        <v>98</v>
      </c>
      <c r="AI552" s="171" t="s">
        <v>56</v>
      </c>
      <c r="AK552" s="299">
        <v>7</v>
      </c>
      <c r="AL552" s="299" t="s">
        <v>82</v>
      </c>
      <c r="AM552" s="299" t="s">
        <v>134</v>
      </c>
      <c r="AO552" s="299">
        <v>65</v>
      </c>
      <c r="AP552" s="299" t="s">
        <v>82</v>
      </c>
      <c r="AQ552" s="299" t="s">
        <v>688</v>
      </c>
    </row>
    <row r="553" spans="1:43" ht="15" customHeight="1" x14ac:dyDescent="0.25">
      <c r="A553" t="s">
        <v>706</v>
      </c>
      <c r="B553" t="s">
        <v>97</v>
      </c>
      <c r="C553" t="s">
        <v>134</v>
      </c>
      <c r="E553" s="72">
        <v>4</v>
      </c>
      <c r="F553" t="s">
        <v>98</v>
      </c>
      <c r="G553" t="s">
        <v>134</v>
      </c>
      <c r="I553" s="171" t="s">
        <v>684</v>
      </c>
      <c r="J553" s="171" t="s">
        <v>98</v>
      </c>
      <c r="K553" s="171" t="s">
        <v>79</v>
      </c>
      <c r="M553" s="171">
        <v>14</v>
      </c>
      <c r="N553" s="171" t="s">
        <v>98</v>
      </c>
      <c r="O553" s="171" t="s">
        <v>56</v>
      </c>
      <c r="Q553" s="298">
        <v>60</v>
      </c>
      <c r="R553" s="298" t="s">
        <v>98</v>
      </c>
      <c r="S553" s="397" t="s">
        <v>688</v>
      </c>
      <c r="U553"/>
      <c r="V553"/>
      <c r="W553"/>
      <c r="Y553" s="171" t="s">
        <v>694</v>
      </c>
      <c r="Z553" s="171" t="s">
        <v>98</v>
      </c>
      <c r="AA553" s="171" t="s">
        <v>79</v>
      </c>
      <c r="AC553" s="505">
        <v>26</v>
      </c>
      <c r="AD553" s="505" t="s">
        <v>98</v>
      </c>
      <c r="AE553" s="505" t="s">
        <v>55</v>
      </c>
      <c r="AG553" s="171">
        <v>40</v>
      </c>
      <c r="AH553" s="171" t="s">
        <v>98</v>
      </c>
      <c r="AI553" s="171" t="s">
        <v>56</v>
      </c>
      <c r="AK553" s="299">
        <v>4</v>
      </c>
      <c r="AL553" s="299" t="s">
        <v>81</v>
      </c>
      <c r="AM553" s="299" t="s">
        <v>134</v>
      </c>
      <c r="AO553" s="299">
        <v>32</v>
      </c>
      <c r="AP553" s="299" t="s">
        <v>82</v>
      </c>
      <c r="AQ553" s="299" t="s">
        <v>688</v>
      </c>
    </row>
    <row r="554" spans="1:43" ht="15" customHeight="1" x14ac:dyDescent="0.25">
      <c r="A554" t="s">
        <v>691</v>
      </c>
      <c r="B554" t="s">
        <v>97</v>
      </c>
      <c r="C554" t="s">
        <v>134</v>
      </c>
      <c r="E554" s="72">
        <v>4</v>
      </c>
      <c r="F554" t="s">
        <v>98</v>
      </c>
      <c r="G554" t="s">
        <v>134</v>
      </c>
      <c r="I554" s="171" t="s">
        <v>860</v>
      </c>
      <c r="J554" s="171" t="s">
        <v>98</v>
      </c>
      <c r="K554" s="171" t="s">
        <v>79</v>
      </c>
      <c r="M554" s="171">
        <v>39</v>
      </c>
      <c r="N554" s="171" t="s">
        <v>98</v>
      </c>
      <c r="O554" s="171" t="s">
        <v>56</v>
      </c>
      <c r="Q554" s="298">
        <v>34</v>
      </c>
      <c r="R554" s="298" t="s">
        <v>98</v>
      </c>
      <c r="S554" s="397" t="s">
        <v>688</v>
      </c>
      <c r="U554"/>
      <c r="V554"/>
      <c r="W554"/>
      <c r="Y554" s="171" t="s">
        <v>694</v>
      </c>
      <c r="Z554" s="171" t="s">
        <v>97</v>
      </c>
      <c r="AA554" s="171" t="s">
        <v>79</v>
      </c>
      <c r="AC554" s="505">
        <v>16</v>
      </c>
      <c r="AD554" s="505" t="s">
        <v>98</v>
      </c>
      <c r="AE554" s="505" t="s">
        <v>55</v>
      </c>
      <c r="AG554" s="171">
        <v>33</v>
      </c>
      <c r="AH554" s="171" t="s">
        <v>98</v>
      </c>
      <c r="AI554" s="171" t="s">
        <v>56</v>
      </c>
      <c r="AK554" s="299" t="s">
        <v>1347</v>
      </c>
      <c r="AL554" s="299" t="s">
        <v>82</v>
      </c>
      <c r="AM554" s="299" t="s">
        <v>134</v>
      </c>
      <c r="AO554" s="299">
        <v>46</v>
      </c>
      <c r="AP554" s="299" t="s">
        <v>82</v>
      </c>
      <c r="AQ554" s="299" t="s">
        <v>688</v>
      </c>
    </row>
    <row r="555" spans="1:43" ht="15" customHeight="1" x14ac:dyDescent="0.25">
      <c r="A555">
        <v>1</v>
      </c>
      <c r="B555" t="s">
        <v>98</v>
      </c>
      <c r="C555" t="s">
        <v>134</v>
      </c>
      <c r="E555" s="72">
        <v>4</v>
      </c>
      <c r="F555" t="s">
        <v>98</v>
      </c>
      <c r="G555" t="s">
        <v>134</v>
      </c>
      <c r="I555" s="171" t="s">
        <v>694</v>
      </c>
      <c r="J555" s="171" t="s">
        <v>98</v>
      </c>
      <c r="K555" s="171" t="s">
        <v>79</v>
      </c>
      <c r="M555" s="171">
        <v>39</v>
      </c>
      <c r="N555" s="171" t="s">
        <v>98</v>
      </c>
      <c r="O555" s="171" t="s">
        <v>56</v>
      </c>
      <c r="Q555" s="298">
        <v>55</v>
      </c>
      <c r="R555" s="298" t="s">
        <v>97</v>
      </c>
      <c r="S555" s="397" t="s">
        <v>688</v>
      </c>
      <c r="U555"/>
      <c r="V555"/>
      <c r="W555"/>
      <c r="Y555" s="171">
        <v>40</v>
      </c>
      <c r="Z555" s="171" t="s">
        <v>97</v>
      </c>
      <c r="AA555" s="171" t="s">
        <v>688</v>
      </c>
      <c r="AC555" s="505">
        <v>21</v>
      </c>
      <c r="AD555" s="505" t="s">
        <v>98</v>
      </c>
      <c r="AE555" s="505" t="s">
        <v>55</v>
      </c>
      <c r="AG555" s="171">
        <v>36</v>
      </c>
      <c r="AH555" s="171" t="s">
        <v>98</v>
      </c>
      <c r="AI555" s="171" t="s">
        <v>56</v>
      </c>
      <c r="AK555" s="299">
        <v>4</v>
      </c>
      <c r="AL555" s="299" t="s">
        <v>82</v>
      </c>
      <c r="AM555" s="299" t="s">
        <v>134</v>
      </c>
      <c r="AO555" s="299">
        <v>20</v>
      </c>
      <c r="AP555" s="299" t="s">
        <v>82</v>
      </c>
      <c r="AQ555" s="299" t="s">
        <v>688</v>
      </c>
    </row>
    <row r="556" spans="1:43" ht="15" customHeight="1" x14ac:dyDescent="0.25">
      <c r="A556">
        <v>2</v>
      </c>
      <c r="B556" t="s">
        <v>98</v>
      </c>
      <c r="C556" t="s">
        <v>134</v>
      </c>
      <c r="E556" s="72">
        <v>4</v>
      </c>
      <c r="F556" t="s">
        <v>97</v>
      </c>
      <c r="G556" t="s">
        <v>134</v>
      </c>
      <c r="I556" s="171" t="s">
        <v>694</v>
      </c>
      <c r="J556" s="171" t="s">
        <v>98</v>
      </c>
      <c r="K556" s="171" t="s">
        <v>79</v>
      </c>
      <c r="M556" s="171">
        <v>35</v>
      </c>
      <c r="N556" s="171" t="s">
        <v>98</v>
      </c>
      <c r="O556" s="171" t="s">
        <v>56</v>
      </c>
      <c r="Q556" s="298">
        <v>39</v>
      </c>
      <c r="R556" s="298" t="s">
        <v>97</v>
      </c>
      <c r="S556" s="397" t="s">
        <v>688</v>
      </c>
      <c r="U556"/>
      <c r="V556"/>
      <c r="W556"/>
      <c r="Y556" s="171">
        <v>62</v>
      </c>
      <c r="Z556" s="171" t="s">
        <v>97</v>
      </c>
      <c r="AA556" s="171" t="s">
        <v>688</v>
      </c>
      <c r="AC556" s="505">
        <v>42</v>
      </c>
      <c r="AD556" s="505" t="s">
        <v>98</v>
      </c>
      <c r="AE556" s="505" t="s">
        <v>55</v>
      </c>
      <c r="AG556" s="171">
        <v>20</v>
      </c>
      <c r="AH556" s="171" t="s">
        <v>98</v>
      </c>
      <c r="AI556" s="171" t="s">
        <v>56</v>
      </c>
      <c r="AK556" s="299" t="s">
        <v>1341</v>
      </c>
      <c r="AL556" s="299" t="s">
        <v>82</v>
      </c>
      <c r="AM556" s="299" t="s">
        <v>134</v>
      </c>
      <c r="AO556" s="299">
        <v>60</v>
      </c>
      <c r="AP556" s="299" t="s">
        <v>81</v>
      </c>
      <c r="AQ556" s="299" t="s">
        <v>688</v>
      </c>
    </row>
    <row r="557" spans="1:43" ht="15" customHeight="1" x14ac:dyDescent="0.25">
      <c r="A557">
        <v>10</v>
      </c>
      <c r="B557" t="s">
        <v>97</v>
      </c>
      <c r="C557" t="s">
        <v>134</v>
      </c>
      <c r="E557" s="72">
        <v>4</v>
      </c>
      <c r="F557" t="s">
        <v>98</v>
      </c>
      <c r="G557" t="s">
        <v>134</v>
      </c>
      <c r="I557" s="171" t="s">
        <v>694</v>
      </c>
      <c r="J557" s="171" t="s">
        <v>98</v>
      </c>
      <c r="K557" s="171" t="s">
        <v>79</v>
      </c>
      <c r="M557" s="171">
        <v>40</v>
      </c>
      <c r="N557" s="171" t="s">
        <v>98</v>
      </c>
      <c r="O557" s="171" t="s">
        <v>56</v>
      </c>
      <c r="Q557" s="298">
        <v>37</v>
      </c>
      <c r="R557" s="298" t="s">
        <v>98</v>
      </c>
      <c r="S557" s="397" t="s">
        <v>688</v>
      </c>
      <c r="U557"/>
      <c r="V557"/>
      <c r="W557"/>
      <c r="Y557" s="171">
        <v>54</v>
      </c>
      <c r="Z557" s="171" t="s">
        <v>98</v>
      </c>
      <c r="AA557" s="171" t="s">
        <v>688</v>
      </c>
      <c r="AC557" s="505">
        <v>22</v>
      </c>
      <c r="AD557" s="505" t="s">
        <v>98</v>
      </c>
      <c r="AE557" s="505" t="s">
        <v>55</v>
      </c>
      <c r="AG557" s="171">
        <v>29</v>
      </c>
      <c r="AH557" s="171" t="s">
        <v>98</v>
      </c>
      <c r="AI557" s="171" t="s">
        <v>56</v>
      </c>
      <c r="AK557" s="299">
        <v>3</v>
      </c>
      <c r="AL557" s="299" t="s">
        <v>82</v>
      </c>
      <c r="AM557" s="299" t="s">
        <v>134</v>
      </c>
      <c r="AO557" s="299">
        <v>21</v>
      </c>
      <c r="AP557" s="299" t="s">
        <v>82</v>
      </c>
      <c r="AQ557" s="299" t="s">
        <v>688</v>
      </c>
    </row>
    <row r="558" spans="1:43" ht="15" customHeight="1" x14ac:dyDescent="0.25">
      <c r="A558" t="s">
        <v>693</v>
      </c>
      <c r="B558" t="s">
        <v>97</v>
      </c>
      <c r="C558" t="s">
        <v>134</v>
      </c>
      <c r="E558" s="72">
        <v>3</v>
      </c>
      <c r="F558" t="s">
        <v>98</v>
      </c>
      <c r="G558" t="s">
        <v>688</v>
      </c>
      <c r="I558" s="171" t="s">
        <v>698</v>
      </c>
      <c r="J558" s="171" t="s">
        <v>98</v>
      </c>
      <c r="K558" s="171" t="s">
        <v>79</v>
      </c>
      <c r="M558" s="171">
        <v>28</v>
      </c>
      <c r="N558" s="171" t="s">
        <v>98</v>
      </c>
      <c r="O558" s="171" t="s">
        <v>56</v>
      </c>
      <c r="Q558" s="298">
        <v>57</v>
      </c>
      <c r="R558" s="298" t="s">
        <v>98</v>
      </c>
      <c r="S558" s="397" t="s">
        <v>688</v>
      </c>
      <c r="U558"/>
      <c r="V558"/>
      <c r="W558"/>
      <c r="Y558" s="171">
        <v>40</v>
      </c>
      <c r="Z558" s="171" t="s">
        <v>98</v>
      </c>
      <c r="AA558" s="171" t="s">
        <v>688</v>
      </c>
      <c r="AC558" s="505">
        <v>24</v>
      </c>
      <c r="AD558" s="505" t="s">
        <v>98</v>
      </c>
      <c r="AE558" s="505" t="s">
        <v>55</v>
      </c>
      <c r="AG558" s="171">
        <v>23</v>
      </c>
      <c r="AH558" s="171" t="s">
        <v>98</v>
      </c>
      <c r="AI558" s="171" t="s">
        <v>56</v>
      </c>
      <c r="AK558" s="299">
        <v>2</v>
      </c>
      <c r="AL558" s="299" t="s">
        <v>82</v>
      </c>
      <c r="AM558" s="299" t="s">
        <v>134</v>
      </c>
      <c r="AO558" s="299">
        <v>57</v>
      </c>
      <c r="AP558" s="299" t="s">
        <v>82</v>
      </c>
      <c r="AQ558" s="299" t="s">
        <v>688</v>
      </c>
    </row>
    <row r="559" spans="1:43" ht="15" customHeight="1" x14ac:dyDescent="0.25">
      <c r="A559">
        <v>5</v>
      </c>
      <c r="B559" t="s">
        <v>97</v>
      </c>
      <c r="C559" t="s">
        <v>134</v>
      </c>
      <c r="E559" s="72">
        <v>3</v>
      </c>
      <c r="F559" t="s">
        <v>98</v>
      </c>
      <c r="G559" t="s">
        <v>134</v>
      </c>
      <c r="I559" s="171" t="s">
        <v>694</v>
      </c>
      <c r="J559" s="171" t="s">
        <v>97</v>
      </c>
      <c r="K559" s="171" t="s">
        <v>79</v>
      </c>
      <c r="M559" s="171">
        <v>27</v>
      </c>
      <c r="N559" s="171" t="s">
        <v>98</v>
      </c>
      <c r="O559" s="171" t="s">
        <v>56</v>
      </c>
      <c r="Q559" s="298">
        <v>45</v>
      </c>
      <c r="R559" s="298" t="s">
        <v>98</v>
      </c>
      <c r="S559" s="397" t="s">
        <v>688</v>
      </c>
      <c r="U559"/>
      <c r="V559"/>
      <c r="W559"/>
      <c r="Y559" s="171" t="s">
        <v>1103</v>
      </c>
      <c r="Z559" s="171" t="s">
        <v>97</v>
      </c>
      <c r="AA559" s="171" t="s">
        <v>688</v>
      </c>
      <c r="AC559" s="505">
        <v>23</v>
      </c>
      <c r="AD559" s="505" t="s">
        <v>98</v>
      </c>
      <c r="AE559" s="505" t="s">
        <v>55</v>
      </c>
      <c r="AG559" s="171">
        <v>33</v>
      </c>
      <c r="AH559" s="171" t="s">
        <v>98</v>
      </c>
      <c r="AI559" s="171" t="s">
        <v>56</v>
      </c>
      <c r="AK559" s="299">
        <v>5</v>
      </c>
      <c r="AL559" s="299" t="s">
        <v>82</v>
      </c>
      <c r="AM559" s="299" t="s">
        <v>134</v>
      </c>
      <c r="AO559" s="299">
        <v>88</v>
      </c>
      <c r="AP559" s="299" t="s">
        <v>82</v>
      </c>
      <c r="AQ559" s="299" t="s">
        <v>688</v>
      </c>
    </row>
    <row r="560" spans="1:43" ht="15" customHeight="1" x14ac:dyDescent="0.25">
      <c r="A560">
        <v>8</v>
      </c>
      <c r="B560" t="s">
        <v>97</v>
      </c>
      <c r="C560" t="s">
        <v>134</v>
      </c>
      <c r="E560" s="72">
        <v>3</v>
      </c>
      <c r="F560" t="s">
        <v>97</v>
      </c>
      <c r="G560" t="s">
        <v>134</v>
      </c>
      <c r="I560" s="171" t="s">
        <v>698</v>
      </c>
      <c r="J560" s="171" t="s">
        <v>98</v>
      </c>
      <c r="K560" s="171" t="s">
        <v>79</v>
      </c>
      <c r="M560" s="171">
        <v>17</v>
      </c>
      <c r="N560" s="171" t="s">
        <v>98</v>
      </c>
      <c r="O560" s="171" t="s">
        <v>56</v>
      </c>
      <c r="Q560" s="298">
        <v>17</v>
      </c>
      <c r="R560" s="298" t="s">
        <v>97</v>
      </c>
      <c r="S560" s="397" t="s">
        <v>688</v>
      </c>
      <c r="U560"/>
      <c r="V560"/>
      <c r="W560"/>
      <c r="Y560" s="171">
        <v>37</v>
      </c>
      <c r="Z560" s="171" t="s">
        <v>97</v>
      </c>
      <c r="AA560" s="171" t="s">
        <v>688</v>
      </c>
      <c r="AC560" s="505">
        <v>36</v>
      </c>
      <c r="AD560" s="505" t="s">
        <v>98</v>
      </c>
      <c r="AE560" s="505" t="s">
        <v>55</v>
      </c>
      <c r="AG560" s="171">
        <v>35</v>
      </c>
      <c r="AH560" s="171" t="s">
        <v>98</v>
      </c>
      <c r="AI560" s="171" t="s">
        <v>56</v>
      </c>
      <c r="AK560" s="299">
        <v>10</v>
      </c>
      <c r="AL560" s="299" t="s">
        <v>82</v>
      </c>
      <c r="AM560" s="299" t="s">
        <v>134</v>
      </c>
      <c r="AO560" s="299">
        <v>55</v>
      </c>
      <c r="AP560" s="299" t="s">
        <v>81</v>
      </c>
      <c r="AQ560" s="299" t="s">
        <v>688</v>
      </c>
    </row>
    <row r="561" spans="1:43" ht="15" customHeight="1" x14ac:dyDescent="0.25">
      <c r="A561">
        <v>9</v>
      </c>
      <c r="B561" t="s">
        <v>98</v>
      </c>
      <c r="C561" t="s">
        <v>134</v>
      </c>
      <c r="E561" s="72">
        <v>3</v>
      </c>
      <c r="F561" t="s">
        <v>97</v>
      </c>
      <c r="G561" t="s">
        <v>134</v>
      </c>
      <c r="I561" s="171" t="s">
        <v>695</v>
      </c>
      <c r="J561" s="171" t="s">
        <v>98</v>
      </c>
      <c r="K561" s="171" t="s">
        <v>79</v>
      </c>
      <c r="M561" s="171">
        <v>21</v>
      </c>
      <c r="N561" s="171" t="s">
        <v>98</v>
      </c>
      <c r="O561" s="171" t="s">
        <v>56</v>
      </c>
      <c r="Q561" s="298">
        <v>28</v>
      </c>
      <c r="R561" s="298" t="s">
        <v>98</v>
      </c>
      <c r="S561" s="397" t="s">
        <v>688</v>
      </c>
      <c r="U561"/>
      <c r="V561"/>
      <c r="W561"/>
      <c r="Y561" s="171">
        <v>43</v>
      </c>
      <c r="Z561" s="171" t="s">
        <v>98</v>
      </c>
      <c r="AA561" s="171" t="s">
        <v>688</v>
      </c>
      <c r="AC561" s="505">
        <v>40</v>
      </c>
      <c r="AD561" s="505" t="s">
        <v>98</v>
      </c>
      <c r="AE561" s="505" t="s">
        <v>55</v>
      </c>
      <c r="AG561" s="171">
        <v>25</v>
      </c>
      <c r="AH561" s="171" t="s">
        <v>98</v>
      </c>
      <c r="AI561" s="171" t="s">
        <v>56</v>
      </c>
      <c r="AK561" s="299">
        <v>5</v>
      </c>
      <c r="AL561" s="299" t="s">
        <v>81</v>
      </c>
      <c r="AM561" s="299" t="s">
        <v>134</v>
      </c>
      <c r="AO561" s="299">
        <v>59</v>
      </c>
      <c r="AP561" s="299" t="s">
        <v>82</v>
      </c>
      <c r="AQ561" s="299" t="s">
        <v>688</v>
      </c>
    </row>
    <row r="562" spans="1:43" ht="15" customHeight="1" x14ac:dyDescent="0.25">
      <c r="A562">
        <v>5</v>
      </c>
      <c r="B562" t="s">
        <v>97</v>
      </c>
      <c r="C562" t="s">
        <v>134</v>
      </c>
      <c r="E562" s="72">
        <v>3</v>
      </c>
      <c r="F562" t="s">
        <v>98</v>
      </c>
      <c r="G562" t="s">
        <v>134</v>
      </c>
      <c r="I562" s="171" t="s">
        <v>694</v>
      </c>
      <c r="J562" s="171" t="s">
        <v>98</v>
      </c>
      <c r="K562" s="171" t="s">
        <v>79</v>
      </c>
      <c r="M562" s="171">
        <v>39</v>
      </c>
      <c r="N562" s="171" t="s">
        <v>98</v>
      </c>
      <c r="O562" s="171" t="s">
        <v>56</v>
      </c>
      <c r="Q562" s="298">
        <v>70</v>
      </c>
      <c r="R562" s="298" t="s">
        <v>97</v>
      </c>
      <c r="S562" s="397" t="s">
        <v>688</v>
      </c>
      <c r="U562"/>
      <c r="V562"/>
      <c r="W562"/>
      <c r="Y562" s="171">
        <v>21</v>
      </c>
      <c r="Z562" s="171" t="s">
        <v>97</v>
      </c>
      <c r="AA562" s="171" t="s">
        <v>688</v>
      </c>
      <c r="AC562" s="505">
        <v>39</v>
      </c>
      <c r="AD562" s="505" t="s">
        <v>98</v>
      </c>
      <c r="AE562" s="505" t="s">
        <v>55</v>
      </c>
      <c r="AG562" s="171">
        <v>20</v>
      </c>
      <c r="AH562" s="171" t="s">
        <v>98</v>
      </c>
      <c r="AI562" s="171" t="s">
        <v>56</v>
      </c>
      <c r="AK562" s="299">
        <v>2</v>
      </c>
      <c r="AL562" s="299" t="s">
        <v>81</v>
      </c>
      <c r="AM562" s="299" t="s">
        <v>134</v>
      </c>
      <c r="AO562" s="299">
        <v>53</v>
      </c>
      <c r="AP562" s="299" t="s">
        <v>82</v>
      </c>
      <c r="AQ562" s="299" t="s">
        <v>688</v>
      </c>
    </row>
    <row r="563" spans="1:43" ht="15" customHeight="1" x14ac:dyDescent="0.25">
      <c r="A563">
        <v>3</v>
      </c>
      <c r="B563" t="s">
        <v>97</v>
      </c>
      <c r="C563" t="s">
        <v>134</v>
      </c>
      <c r="E563" s="72">
        <v>3</v>
      </c>
      <c r="F563" t="s">
        <v>98</v>
      </c>
      <c r="G563" t="s">
        <v>134</v>
      </c>
      <c r="I563" s="171" t="s">
        <v>694</v>
      </c>
      <c r="J563" s="171" t="s">
        <v>97</v>
      </c>
      <c r="K563" s="171" t="s">
        <v>79</v>
      </c>
      <c r="M563" s="171">
        <v>42</v>
      </c>
      <c r="N563" s="171" t="s">
        <v>98</v>
      </c>
      <c r="O563" s="171" t="s">
        <v>56</v>
      </c>
      <c r="Q563" s="298">
        <v>85</v>
      </c>
      <c r="R563" s="298" t="s">
        <v>98</v>
      </c>
      <c r="S563" s="397" t="s">
        <v>688</v>
      </c>
      <c r="U563"/>
      <c r="V563"/>
      <c r="W563"/>
      <c r="Y563" s="171">
        <v>52</v>
      </c>
      <c r="Z563" s="171" t="s">
        <v>97</v>
      </c>
      <c r="AA563" s="171" t="s">
        <v>688</v>
      </c>
      <c r="AC563" s="505">
        <v>25</v>
      </c>
      <c r="AD563" s="505" t="s">
        <v>98</v>
      </c>
      <c r="AE563" s="505" t="s">
        <v>55</v>
      </c>
      <c r="AG563" s="171">
        <v>19</v>
      </c>
      <c r="AH563" s="171" t="s">
        <v>98</v>
      </c>
      <c r="AI563" s="171" t="s">
        <v>56</v>
      </c>
      <c r="AK563" s="299">
        <v>4</v>
      </c>
      <c r="AL563" s="299" t="s">
        <v>81</v>
      </c>
      <c r="AM563" s="299" t="s">
        <v>134</v>
      </c>
      <c r="AO563" s="299">
        <v>64</v>
      </c>
      <c r="AP563" s="299" t="s">
        <v>82</v>
      </c>
      <c r="AQ563" s="299" t="s">
        <v>688</v>
      </c>
    </row>
    <row r="564" spans="1:43" ht="15" customHeight="1" x14ac:dyDescent="0.25">
      <c r="A564">
        <v>6</v>
      </c>
      <c r="B564" t="s">
        <v>98</v>
      </c>
      <c r="C564" t="s">
        <v>134</v>
      </c>
      <c r="E564" s="72">
        <v>3</v>
      </c>
      <c r="F564" t="s">
        <v>97</v>
      </c>
      <c r="G564" t="s">
        <v>134</v>
      </c>
      <c r="I564" s="171" t="s">
        <v>694</v>
      </c>
      <c r="J564" s="171" t="s">
        <v>98</v>
      </c>
      <c r="K564" s="171" t="s">
        <v>79</v>
      </c>
      <c r="M564" s="171">
        <v>32</v>
      </c>
      <c r="N564" s="171" t="s">
        <v>98</v>
      </c>
      <c r="O564" s="171" t="s">
        <v>56</v>
      </c>
      <c r="Q564" s="298">
        <v>8</v>
      </c>
      <c r="R564" s="298" t="s">
        <v>97</v>
      </c>
      <c r="S564" s="397" t="s">
        <v>688</v>
      </c>
      <c r="U564"/>
      <c r="V564"/>
      <c r="W564"/>
      <c r="Y564" s="171">
        <v>80</v>
      </c>
      <c r="Z564" s="171" t="s">
        <v>97</v>
      </c>
      <c r="AA564" s="171" t="s">
        <v>688</v>
      </c>
      <c r="AC564" s="505">
        <v>30</v>
      </c>
      <c r="AD564" s="505" t="s">
        <v>98</v>
      </c>
      <c r="AE564" s="505" t="s">
        <v>55</v>
      </c>
      <c r="AG564" s="171">
        <v>24</v>
      </c>
      <c r="AH564" s="171" t="s">
        <v>98</v>
      </c>
      <c r="AI564" s="171" t="s">
        <v>56</v>
      </c>
      <c r="AK564" s="299">
        <v>4</v>
      </c>
      <c r="AL564" s="299" t="s">
        <v>82</v>
      </c>
      <c r="AM564" s="299" t="s">
        <v>134</v>
      </c>
      <c r="AO564" s="299">
        <v>49</v>
      </c>
      <c r="AP564" s="299" t="s">
        <v>82</v>
      </c>
      <c r="AQ564" s="299" t="s">
        <v>688</v>
      </c>
    </row>
    <row r="565" spans="1:43" ht="15" customHeight="1" x14ac:dyDescent="0.25">
      <c r="A565">
        <v>1</v>
      </c>
      <c r="B565" t="s">
        <v>97</v>
      </c>
      <c r="C565" t="s">
        <v>134</v>
      </c>
      <c r="E565" s="72">
        <v>2</v>
      </c>
      <c r="F565" t="s">
        <v>97</v>
      </c>
      <c r="G565" t="s">
        <v>688</v>
      </c>
      <c r="I565" s="171" t="s">
        <v>694</v>
      </c>
      <c r="J565" s="171" t="s">
        <v>98</v>
      </c>
      <c r="K565" s="171" t="s">
        <v>79</v>
      </c>
      <c r="M565" s="171">
        <v>32</v>
      </c>
      <c r="N565" s="171" t="s">
        <v>98</v>
      </c>
      <c r="O565" s="171" t="s">
        <v>56</v>
      </c>
      <c r="Q565" s="298">
        <v>33</v>
      </c>
      <c r="R565" s="298" t="s">
        <v>98</v>
      </c>
      <c r="S565" s="397" t="s">
        <v>688</v>
      </c>
      <c r="U565"/>
      <c r="V565"/>
      <c r="W565"/>
      <c r="Y565" s="171">
        <v>68</v>
      </c>
      <c r="Z565" s="171" t="s">
        <v>98</v>
      </c>
      <c r="AA565" s="171" t="s">
        <v>688</v>
      </c>
      <c r="AC565" s="505">
        <v>22</v>
      </c>
      <c r="AD565" s="505" t="s">
        <v>98</v>
      </c>
      <c r="AE565" s="505" t="s">
        <v>55</v>
      </c>
      <c r="AG565" s="171">
        <v>32</v>
      </c>
      <c r="AH565" s="171" t="s">
        <v>98</v>
      </c>
      <c r="AI565" s="171" t="s">
        <v>56</v>
      </c>
      <c r="AK565" s="299">
        <v>4</v>
      </c>
      <c r="AL565" s="299" t="s">
        <v>81</v>
      </c>
      <c r="AM565" s="299" t="s">
        <v>134</v>
      </c>
      <c r="AO565" s="299">
        <v>24</v>
      </c>
      <c r="AP565" s="299" t="s">
        <v>82</v>
      </c>
      <c r="AQ565" s="299" t="s">
        <v>688</v>
      </c>
    </row>
    <row r="566" spans="1:43" ht="15" customHeight="1" x14ac:dyDescent="0.25">
      <c r="A566" t="s">
        <v>694</v>
      </c>
      <c r="B566" t="s">
        <v>98</v>
      </c>
      <c r="C566" t="s">
        <v>79</v>
      </c>
      <c r="E566" s="72">
        <v>2</v>
      </c>
      <c r="F566" t="s">
        <v>97</v>
      </c>
      <c r="G566" t="s">
        <v>688</v>
      </c>
      <c r="I566" s="171" t="s">
        <v>861</v>
      </c>
      <c r="J566" s="171" t="s">
        <v>97</v>
      </c>
      <c r="K566" s="171" t="s">
        <v>79</v>
      </c>
      <c r="M566" s="171">
        <v>38</v>
      </c>
      <c r="N566" s="171" t="s">
        <v>98</v>
      </c>
      <c r="O566" s="171" t="s">
        <v>56</v>
      </c>
      <c r="Q566" s="298">
        <v>43</v>
      </c>
      <c r="R566" s="298" t="s">
        <v>97</v>
      </c>
      <c r="S566" s="397" t="s">
        <v>688</v>
      </c>
      <c r="U566"/>
      <c r="V566"/>
      <c r="W566"/>
      <c r="Y566" s="171">
        <v>46</v>
      </c>
      <c r="Z566" s="171" t="s">
        <v>97</v>
      </c>
      <c r="AA566" s="171" t="s">
        <v>688</v>
      </c>
      <c r="AC566" s="505">
        <v>23</v>
      </c>
      <c r="AD566" s="505" t="s">
        <v>98</v>
      </c>
      <c r="AE566" s="505" t="s">
        <v>55</v>
      </c>
      <c r="AG566" s="171">
        <v>16</v>
      </c>
      <c r="AH566" s="171" t="s">
        <v>98</v>
      </c>
      <c r="AI566" s="171" t="s">
        <v>56</v>
      </c>
      <c r="AK566" s="299" t="s">
        <v>1346</v>
      </c>
      <c r="AL566" s="299" t="s">
        <v>82</v>
      </c>
      <c r="AM566" s="299" t="s">
        <v>134</v>
      </c>
      <c r="AO566" s="299">
        <v>76</v>
      </c>
      <c r="AP566" s="299" t="s">
        <v>82</v>
      </c>
      <c r="AQ566" s="299" t="s">
        <v>688</v>
      </c>
    </row>
    <row r="567" spans="1:43" ht="15" customHeight="1" x14ac:dyDescent="0.25">
      <c r="A567" t="s">
        <v>695</v>
      </c>
      <c r="B567" t="s">
        <v>98</v>
      </c>
      <c r="C567" t="s">
        <v>79</v>
      </c>
      <c r="E567" s="72">
        <v>2</v>
      </c>
      <c r="F567" t="s">
        <v>97</v>
      </c>
      <c r="G567" t="s">
        <v>134</v>
      </c>
      <c r="I567" s="171" t="s">
        <v>694</v>
      </c>
      <c r="J567" s="171" t="s">
        <v>97</v>
      </c>
      <c r="K567" s="171" t="s">
        <v>79</v>
      </c>
      <c r="M567" s="171">
        <v>16</v>
      </c>
      <c r="N567" s="171" t="s">
        <v>98</v>
      </c>
      <c r="O567" s="171" t="s">
        <v>56</v>
      </c>
      <c r="Q567" s="298">
        <v>74</v>
      </c>
      <c r="R567" s="298" t="s">
        <v>98</v>
      </c>
      <c r="S567" s="397" t="s">
        <v>688</v>
      </c>
      <c r="U567"/>
      <c r="V567"/>
      <c r="W567"/>
      <c r="Y567" s="171">
        <v>8</v>
      </c>
      <c r="Z567" s="171" t="s">
        <v>98</v>
      </c>
      <c r="AA567" s="171" t="s">
        <v>688</v>
      </c>
      <c r="AC567" s="505">
        <v>31</v>
      </c>
      <c r="AD567" s="505" t="s">
        <v>98</v>
      </c>
      <c r="AE567" s="505" t="s">
        <v>55</v>
      </c>
      <c r="AG567" s="171">
        <v>32</v>
      </c>
      <c r="AH567" s="171" t="s">
        <v>98</v>
      </c>
      <c r="AI567" s="171" t="s">
        <v>56</v>
      </c>
      <c r="AK567" s="299">
        <v>3</v>
      </c>
      <c r="AL567" s="299" t="s">
        <v>82</v>
      </c>
      <c r="AM567" s="299" t="s">
        <v>134</v>
      </c>
      <c r="AO567" s="299">
        <v>6</v>
      </c>
      <c r="AP567" s="299" t="s">
        <v>82</v>
      </c>
      <c r="AQ567" s="299" t="s">
        <v>688</v>
      </c>
    </row>
    <row r="568" spans="1:43" ht="15" customHeight="1" x14ac:dyDescent="0.25">
      <c r="A568" t="s">
        <v>696</v>
      </c>
      <c r="B568" t="s">
        <v>97</v>
      </c>
      <c r="C568" t="s">
        <v>79</v>
      </c>
      <c r="E568" s="72">
        <v>2</v>
      </c>
      <c r="F568" t="s">
        <v>98</v>
      </c>
      <c r="G568" t="s">
        <v>134</v>
      </c>
      <c r="I568" s="171">
        <v>60</v>
      </c>
      <c r="J568" s="171" t="s">
        <v>98</v>
      </c>
      <c r="K568" s="171" t="s">
        <v>123</v>
      </c>
      <c r="M568" s="171">
        <v>35</v>
      </c>
      <c r="N568" s="171" t="s">
        <v>98</v>
      </c>
      <c r="O568" s="171" t="s">
        <v>56</v>
      </c>
      <c r="Q568" s="298">
        <v>39</v>
      </c>
      <c r="R568" s="298" t="s">
        <v>97</v>
      </c>
      <c r="S568" s="397" t="s">
        <v>688</v>
      </c>
      <c r="U568"/>
      <c r="V568"/>
      <c r="W568"/>
      <c r="Y568" s="171">
        <v>96</v>
      </c>
      <c r="Z568" s="171" t="s">
        <v>98</v>
      </c>
      <c r="AA568" s="171" t="s">
        <v>688</v>
      </c>
      <c r="AC568" s="505">
        <v>20</v>
      </c>
      <c r="AD568" s="505" t="s">
        <v>98</v>
      </c>
      <c r="AE568" s="505" t="s">
        <v>55</v>
      </c>
      <c r="AG568" s="171">
        <v>17</v>
      </c>
      <c r="AH568" s="171" t="s">
        <v>98</v>
      </c>
      <c r="AI568" s="171" t="s">
        <v>56</v>
      </c>
      <c r="AK568" s="299">
        <v>8</v>
      </c>
      <c r="AL568" s="299" t="s">
        <v>81</v>
      </c>
      <c r="AM568" s="299" t="s">
        <v>134</v>
      </c>
      <c r="AO568" s="299">
        <v>48</v>
      </c>
      <c r="AP568" s="299" t="s">
        <v>81</v>
      </c>
      <c r="AQ568" s="299" t="s">
        <v>688</v>
      </c>
    </row>
    <row r="569" spans="1:43" ht="15" customHeight="1" x14ac:dyDescent="0.25">
      <c r="A569" t="s">
        <v>697</v>
      </c>
      <c r="B569" t="s">
        <v>97</v>
      </c>
      <c r="C569" t="s">
        <v>79</v>
      </c>
      <c r="E569" s="72">
        <v>2</v>
      </c>
      <c r="F569" t="s">
        <v>97</v>
      </c>
      <c r="G569" t="s">
        <v>134</v>
      </c>
      <c r="I569" s="171">
        <v>38</v>
      </c>
      <c r="J569" s="171" t="s">
        <v>98</v>
      </c>
      <c r="K569" s="171" t="s">
        <v>123</v>
      </c>
      <c r="M569" s="171">
        <v>35</v>
      </c>
      <c r="N569" s="171" t="s">
        <v>98</v>
      </c>
      <c r="O569" s="171" t="s">
        <v>56</v>
      </c>
      <c r="Q569" s="298">
        <v>73</v>
      </c>
      <c r="R569" s="298" t="s">
        <v>98</v>
      </c>
      <c r="S569" s="397" t="s">
        <v>688</v>
      </c>
      <c r="U569"/>
      <c r="V569"/>
      <c r="W569"/>
      <c r="Y569" s="171">
        <v>72</v>
      </c>
      <c r="Z569" s="171" t="s">
        <v>98</v>
      </c>
      <c r="AA569" s="171" t="s">
        <v>688</v>
      </c>
      <c r="AC569" s="505">
        <v>16</v>
      </c>
      <c r="AD569" s="505" t="s">
        <v>98</v>
      </c>
      <c r="AE569" s="505" t="s">
        <v>55</v>
      </c>
      <c r="AG569" s="171">
        <v>39</v>
      </c>
      <c r="AH569" s="171" t="s">
        <v>98</v>
      </c>
      <c r="AI569" s="171" t="s">
        <v>56</v>
      </c>
      <c r="AK569" s="299" t="s">
        <v>1348</v>
      </c>
      <c r="AL569" s="299" t="s">
        <v>82</v>
      </c>
      <c r="AM569" s="299" t="s">
        <v>134</v>
      </c>
      <c r="AO569" s="299">
        <v>43</v>
      </c>
      <c r="AP569" s="299" t="s">
        <v>82</v>
      </c>
      <c r="AQ569" s="299" t="s">
        <v>688</v>
      </c>
    </row>
    <row r="570" spans="1:43" ht="15" customHeight="1" x14ac:dyDescent="0.25">
      <c r="A570" t="s">
        <v>698</v>
      </c>
      <c r="B570" t="s">
        <v>98</v>
      </c>
      <c r="C570" t="s">
        <v>79</v>
      </c>
      <c r="E570" s="72">
        <v>2</v>
      </c>
      <c r="F570" t="s">
        <v>97</v>
      </c>
      <c r="G570" t="s">
        <v>134</v>
      </c>
      <c r="I570" s="171">
        <v>61</v>
      </c>
      <c r="J570" s="171" t="s">
        <v>98</v>
      </c>
      <c r="K570" s="171" t="s">
        <v>123</v>
      </c>
      <c r="M570" s="171">
        <v>13</v>
      </c>
      <c r="N570" s="171" t="s">
        <v>98</v>
      </c>
      <c r="O570" s="171" t="s">
        <v>38</v>
      </c>
      <c r="Q570" s="298">
        <v>29</v>
      </c>
      <c r="R570" s="298" t="s">
        <v>98</v>
      </c>
      <c r="S570" s="397" t="s">
        <v>688</v>
      </c>
      <c r="U570"/>
      <c r="V570"/>
      <c r="W570"/>
      <c r="Y570" s="171">
        <v>38</v>
      </c>
      <c r="Z570" s="171" t="s">
        <v>98</v>
      </c>
      <c r="AA570" s="171" t="s">
        <v>688</v>
      </c>
      <c r="AC570" s="505">
        <v>40</v>
      </c>
      <c r="AD570" s="505" t="s">
        <v>98</v>
      </c>
      <c r="AE570" s="505" t="s">
        <v>55</v>
      </c>
      <c r="AG570" s="171">
        <v>26</v>
      </c>
      <c r="AH570" s="171" t="s">
        <v>98</v>
      </c>
      <c r="AI570" s="171" t="s">
        <v>56</v>
      </c>
      <c r="AK570" s="299">
        <v>8</v>
      </c>
      <c r="AL570" s="299" t="s">
        <v>82</v>
      </c>
      <c r="AM570" s="299" t="s">
        <v>134</v>
      </c>
      <c r="AO570" s="299">
        <v>52</v>
      </c>
      <c r="AP570" s="299" t="s">
        <v>82</v>
      </c>
      <c r="AQ570" s="299" t="s">
        <v>688</v>
      </c>
    </row>
    <row r="571" spans="1:43" ht="15" customHeight="1" x14ac:dyDescent="0.25">
      <c r="A571" t="s">
        <v>695</v>
      </c>
      <c r="B571" t="s">
        <v>97</v>
      </c>
      <c r="C571" t="s">
        <v>79</v>
      </c>
      <c r="E571" s="72">
        <v>2</v>
      </c>
      <c r="F571" t="s">
        <v>97</v>
      </c>
      <c r="G571" t="s">
        <v>134</v>
      </c>
      <c r="I571" s="171">
        <v>80</v>
      </c>
      <c r="J571" s="171" t="s">
        <v>98</v>
      </c>
      <c r="K571" s="171" t="s">
        <v>123</v>
      </c>
      <c r="M571" s="171">
        <v>37</v>
      </c>
      <c r="N571" s="171" t="s">
        <v>98</v>
      </c>
      <c r="O571" s="171" t="s">
        <v>38</v>
      </c>
      <c r="Q571" s="298">
        <v>56</v>
      </c>
      <c r="R571" s="298" t="s">
        <v>98</v>
      </c>
      <c r="S571" s="397" t="s">
        <v>688</v>
      </c>
      <c r="U571"/>
      <c r="V571"/>
      <c r="W571"/>
      <c r="Y571" s="171">
        <v>60</v>
      </c>
      <c r="Z571" s="171" t="s">
        <v>98</v>
      </c>
      <c r="AA571" s="171" t="s">
        <v>688</v>
      </c>
      <c r="AC571" s="505">
        <v>38</v>
      </c>
      <c r="AD571" s="505" t="s">
        <v>98</v>
      </c>
      <c r="AE571" s="505" t="s">
        <v>55</v>
      </c>
      <c r="AG571" s="171">
        <v>32</v>
      </c>
      <c r="AH571" s="171" t="s">
        <v>98</v>
      </c>
      <c r="AI571" s="171" t="s">
        <v>56</v>
      </c>
      <c r="AK571" s="299">
        <v>12</v>
      </c>
      <c r="AL571" s="299" t="s">
        <v>81</v>
      </c>
      <c r="AM571" s="299" t="s">
        <v>134</v>
      </c>
      <c r="AO571" s="299">
        <v>16</v>
      </c>
      <c r="AP571" s="299" t="s">
        <v>81</v>
      </c>
      <c r="AQ571" s="299" t="s">
        <v>688</v>
      </c>
    </row>
    <row r="572" spans="1:43" ht="15" customHeight="1" x14ac:dyDescent="0.25">
      <c r="A572" t="s">
        <v>694</v>
      </c>
      <c r="B572" t="s">
        <v>98</v>
      </c>
      <c r="C572" t="s">
        <v>79</v>
      </c>
      <c r="E572" s="72">
        <v>2</v>
      </c>
      <c r="F572" t="s">
        <v>97</v>
      </c>
      <c r="G572" t="s">
        <v>134</v>
      </c>
      <c r="I572" s="171">
        <v>50</v>
      </c>
      <c r="J572" s="171" t="s">
        <v>98</v>
      </c>
      <c r="K572" s="171" t="s">
        <v>123</v>
      </c>
      <c r="M572" s="171">
        <v>39</v>
      </c>
      <c r="N572" s="171" t="s">
        <v>98</v>
      </c>
      <c r="O572" s="171" t="s">
        <v>38</v>
      </c>
      <c r="Q572" s="298">
        <v>69</v>
      </c>
      <c r="R572" s="298" t="s">
        <v>98</v>
      </c>
      <c r="S572" s="397" t="s">
        <v>688</v>
      </c>
      <c r="U572"/>
      <c r="V572"/>
      <c r="W572"/>
      <c r="Y572" s="171">
        <v>65</v>
      </c>
      <c r="Z572" s="171" t="s">
        <v>97</v>
      </c>
      <c r="AA572" s="171" t="s">
        <v>688</v>
      </c>
      <c r="AC572" s="505">
        <v>36</v>
      </c>
      <c r="AD572" s="505" t="s">
        <v>98</v>
      </c>
      <c r="AE572" s="505" t="s">
        <v>55</v>
      </c>
      <c r="AG572" s="171">
        <v>32</v>
      </c>
      <c r="AH572" s="171" t="s">
        <v>98</v>
      </c>
      <c r="AI572" s="171" t="s">
        <v>56</v>
      </c>
      <c r="AK572" s="299">
        <v>1</v>
      </c>
      <c r="AL572" s="299" t="s">
        <v>81</v>
      </c>
      <c r="AM572" s="299" t="s">
        <v>134</v>
      </c>
      <c r="AO572" s="299">
        <v>44</v>
      </c>
      <c r="AP572" s="299" t="s">
        <v>81</v>
      </c>
      <c r="AQ572" s="299" t="s">
        <v>688</v>
      </c>
    </row>
    <row r="573" spans="1:43" ht="15" customHeight="1" x14ac:dyDescent="0.25">
      <c r="A573" t="s">
        <v>694</v>
      </c>
      <c r="B573" t="s">
        <v>98</v>
      </c>
      <c r="C573" t="s">
        <v>79</v>
      </c>
      <c r="E573" s="72">
        <v>2</v>
      </c>
      <c r="F573" t="s">
        <v>97</v>
      </c>
      <c r="G573" t="s">
        <v>134</v>
      </c>
      <c r="I573" s="171">
        <v>36</v>
      </c>
      <c r="J573" s="171" t="s">
        <v>98</v>
      </c>
      <c r="K573" s="171" t="s">
        <v>123</v>
      </c>
      <c r="M573" s="171">
        <v>23</v>
      </c>
      <c r="N573" s="171" t="s">
        <v>98</v>
      </c>
      <c r="O573" s="171" t="s">
        <v>38</v>
      </c>
      <c r="Q573" s="298">
        <v>56</v>
      </c>
      <c r="R573" s="298" t="s">
        <v>97</v>
      </c>
      <c r="S573" s="397" t="s">
        <v>688</v>
      </c>
      <c r="U573"/>
      <c r="V573"/>
      <c r="W573"/>
      <c r="Y573" s="171">
        <v>58</v>
      </c>
      <c r="Z573" s="171" t="s">
        <v>97</v>
      </c>
      <c r="AA573" s="171" t="s">
        <v>688</v>
      </c>
      <c r="AC573" s="505">
        <v>22</v>
      </c>
      <c r="AD573" s="505" t="s">
        <v>98</v>
      </c>
      <c r="AE573" s="505" t="s">
        <v>55</v>
      </c>
      <c r="AG573" s="171">
        <v>32</v>
      </c>
      <c r="AH573" s="171" t="s">
        <v>98</v>
      </c>
      <c r="AI573" s="171" t="s">
        <v>56</v>
      </c>
      <c r="AK573" s="299" t="s">
        <v>1349</v>
      </c>
      <c r="AL573" s="299" t="s">
        <v>82</v>
      </c>
      <c r="AM573" s="299" t="s">
        <v>134</v>
      </c>
      <c r="AO573" s="299">
        <v>35</v>
      </c>
      <c r="AP573" s="299" t="s">
        <v>81</v>
      </c>
      <c r="AQ573" s="299" t="s">
        <v>688</v>
      </c>
    </row>
    <row r="574" spans="1:43" ht="15" customHeight="1" x14ac:dyDescent="0.25">
      <c r="A574" t="s">
        <v>694</v>
      </c>
      <c r="B574" t="s">
        <v>98</v>
      </c>
      <c r="C574" t="s">
        <v>79</v>
      </c>
      <c r="E574" s="72">
        <v>2</v>
      </c>
      <c r="F574" t="s">
        <v>98</v>
      </c>
      <c r="G574" t="s">
        <v>134</v>
      </c>
      <c r="I574" s="171">
        <v>33</v>
      </c>
      <c r="J574" s="171" t="s">
        <v>98</v>
      </c>
      <c r="K574" s="171" t="s">
        <v>123</v>
      </c>
      <c r="M574" s="171">
        <v>34</v>
      </c>
      <c r="N574" s="171" t="s">
        <v>98</v>
      </c>
      <c r="O574" s="171" t="s">
        <v>38</v>
      </c>
      <c r="Q574" s="298">
        <v>5</v>
      </c>
      <c r="R574" s="298" t="s">
        <v>97</v>
      </c>
      <c r="S574" s="397" t="s">
        <v>688</v>
      </c>
      <c r="U574"/>
      <c r="V574"/>
      <c r="W574"/>
      <c r="Y574" s="171">
        <v>81</v>
      </c>
      <c r="Z574" s="171" t="s">
        <v>97</v>
      </c>
      <c r="AA574" s="171" t="s">
        <v>688</v>
      </c>
      <c r="AC574" s="505">
        <v>25</v>
      </c>
      <c r="AD574" s="505" t="s">
        <v>98</v>
      </c>
      <c r="AE574" s="505" t="s">
        <v>55</v>
      </c>
      <c r="AG574" s="171">
        <v>31</v>
      </c>
      <c r="AH574" s="171" t="s">
        <v>98</v>
      </c>
      <c r="AI574" s="505" t="s">
        <v>55</v>
      </c>
      <c r="AK574" s="299">
        <v>2</v>
      </c>
      <c r="AL574" s="299" t="s">
        <v>82</v>
      </c>
      <c r="AM574" s="299" t="s">
        <v>134</v>
      </c>
      <c r="AO574" s="299">
        <v>75</v>
      </c>
      <c r="AP574" s="299" t="s">
        <v>82</v>
      </c>
      <c r="AQ574" s="299" t="s">
        <v>688</v>
      </c>
    </row>
    <row r="575" spans="1:43" ht="15" customHeight="1" x14ac:dyDescent="0.25">
      <c r="A575" t="s">
        <v>694</v>
      </c>
      <c r="B575" t="s">
        <v>98</v>
      </c>
      <c r="C575" t="s">
        <v>79</v>
      </c>
      <c r="E575" s="72">
        <v>2</v>
      </c>
      <c r="F575" t="s">
        <v>97</v>
      </c>
      <c r="G575" t="s">
        <v>134</v>
      </c>
      <c r="I575" s="171">
        <v>26</v>
      </c>
      <c r="J575" s="171" t="s">
        <v>98</v>
      </c>
      <c r="K575" s="171" t="s">
        <v>123</v>
      </c>
      <c r="M575" s="171">
        <v>21</v>
      </c>
      <c r="N575" s="171" t="s">
        <v>98</v>
      </c>
      <c r="O575" s="171" t="s">
        <v>38</v>
      </c>
      <c r="Q575" s="298">
        <v>82</v>
      </c>
      <c r="R575" s="298" t="s">
        <v>98</v>
      </c>
      <c r="S575" s="397" t="s">
        <v>688</v>
      </c>
      <c r="U575"/>
      <c r="V575"/>
      <c r="W575"/>
      <c r="Y575" s="171">
        <v>52</v>
      </c>
      <c r="Z575" s="171" t="s">
        <v>98</v>
      </c>
      <c r="AA575" s="171" t="s">
        <v>688</v>
      </c>
      <c r="AC575" s="505">
        <v>19</v>
      </c>
      <c r="AD575" s="505" t="s">
        <v>98</v>
      </c>
      <c r="AE575" s="505" t="s">
        <v>55</v>
      </c>
      <c r="AG575" s="171">
        <v>26</v>
      </c>
      <c r="AH575" s="171" t="s">
        <v>98</v>
      </c>
      <c r="AI575" s="505" t="s">
        <v>55</v>
      </c>
      <c r="AK575" s="299">
        <v>2</v>
      </c>
      <c r="AL575" s="299" t="s">
        <v>81</v>
      </c>
      <c r="AM575" s="299" t="s">
        <v>134</v>
      </c>
      <c r="AO575" s="299">
        <v>67</v>
      </c>
      <c r="AP575" s="299" t="s">
        <v>82</v>
      </c>
      <c r="AQ575" s="299" t="s">
        <v>688</v>
      </c>
    </row>
    <row r="576" spans="1:43" ht="15" customHeight="1" x14ac:dyDescent="0.25">
      <c r="A576" t="s">
        <v>694</v>
      </c>
      <c r="B576" t="s">
        <v>97</v>
      </c>
      <c r="C576" t="s">
        <v>79</v>
      </c>
      <c r="E576" s="72">
        <v>2</v>
      </c>
      <c r="F576" t="s">
        <v>98</v>
      </c>
      <c r="G576" t="s">
        <v>134</v>
      </c>
      <c r="I576" s="171">
        <v>75</v>
      </c>
      <c r="J576" s="171" t="s">
        <v>98</v>
      </c>
      <c r="K576" s="171" t="s">
        <v>123</v>
      </c>
      <c r="M576" s="171">
        <v>40</v>
      </c>
      <c r="N576" s="171" t="s">
        <v>98</v>
      </c>
      <c r="O576" s="171" t="s">
        <v>38</v>
      </c>
      <c r="Q576" s="298">
        <v>16</v>
      </c>
      <c r="R576" s="298" t="s">
        <v>97</v>
      </c>
      <c r="S576" s="397" t="s">
        <v>688</v>
      </c>
      <c r="U576"/>
      <c r="V576"/>
      <c r="W576"/>
      <c r="Y576" s="171">
        <v>76</v>
      </c>
      <c r="Z576" s="171" t="s">
        <v>97</v>
      </c>
      <c r="AA576" s="171" t="s">
        <v>688</v>
      </c>
      <c r="AC576" s="505">
        <v>23</v>
      </c>
      <c r="AD576" s="505" t="s">
        <v>98</v>
      </c>
      <c r="AE576" s="505" t="s">
        <v>55</v>
      </c>
      <c r="AG576" s="171">
        <v>20</v>
      </c>
      <c r="AH576" s="171" t="s">
        <v>98</v>
      </c>
      <c r="AI576" s="505" t="s">
        <v>55</v>
      </c>
      <c r="AK576" s="299">
        <v>10</v>
      </c>
      <c r="AL576" s="299" t="s">
        <v>82</v>
      </c>
      <c r="AM576" s="299" t="s">
        <v>134</v>
      </c>
      <c r="AO576" s="299">
        <v>61</v>
      </c>
      <c r="AP576" s="299" t="s">
        <v>81</v>
      </c>
      <c r="AQ576" s="299" t="s">
        <v>688</v>
      </c>
    </row>
    <row r="577" spans="1:43" ht="15" customHeight="1" x14ac:dyDescent="0.25">
      <c r="A577" t="s">
        <v>699</v>
      </c>
      <c r="B577" t="s">
        <v>97</v>
      </c>
      <c r="C577" t="s">
        <v>79</v>
      </c>
      <c r="E577" s="72">
        <v>2</v>
      </c>
      <c r="F577" t="s">
        <v>97</v>
      </c>
      <c r="G577" t="s">
        <v>134</v>
      </c>
      <c r="I577" s="171">
        <v>77</v>
      </c>
      <c r="J577" s="171" t="s">
        <v>98</v>
      </c>
      <c r="K577" s="171" t="s">
        <v>123</v>
      </c>
      <c r="M577" s="171">
        <v>30</v>
      </c>
      <c r="N577" s="171" t="s">
        <v>98</v>
      </c>
      <c r="O577" s="171" t="s">
        <v>38</v>
      </c>
      <c r="Q577" s="298">
        <v>59</v>
      </c>
      <c r="R577" s="298" t="s">
        <v>97</v>
      </c>
      <c r="S577" s="397" t="s">
        <v>688</v>
      </c>
      <c r="U577"/>
      <c r="V577"/>
      <c r="W577"/>
      <c r="Y577" s="171">
        <v>1</v>
      </c>
      <c r="Z577" s="171" t="s">
        <v>97</v>
      </c>
      <c r="AA577" s="171" t="s">
        <v>688</v>
      </c>
      <c r="AC577" s="505">
        <v>36</v>
      </c>
      <c r="AD577" s="505" t="s">
        <v>98</v>
      </c>
      <c r="AE577" s="505" t="s">
        <v>55</v>
      </c>
      <c r="AG577" s="171">
        <v>34</v>
      </c>
      <c r="AH577" s="171" t="s">
        <v>98</v>
      </c>
      <c r="AI577" s="505" t="s">
        <v>55</v>
      </c>
      <c r="AK577" s="299">
        <v>2</v>
      </c>
      <c r="AL577" s="299" t="s">
        <v>82</v>
      </c>
      <c r="AM577" s="299" t="s">
        <v>134</v>
      </c>
      <c r="AO577" s="299">
        <v>58</v>
      </c>
      <c r="AP577" s="299" t="s">
        <v>82</v>
      </c>
      <c r="AQ577" s="299" t="s">
        <v>688</v>
      </c>
    </row>
    <row r="578" spans="1:43" ht="15" customHeight="1" x14ac:dyDescent="0.25">
      <c r="A578" t="s">
        <v>694</v>
      </c>
      <c r="B578" t="s">
        <v>98</v>
      </c>
      <c r="C578" t="s">
        <v>79</v>
      </c>
      <c r="E578" s="72">
        <v>1</v>
      </c>
      <c r="F578" t="s">
        <v>98</v>
      </c>
      <c r="G578" t="s">
        <v>688</v>
      </c>
      <c r="I578" s="171">
        <v>40</v>
      </c>
      <c r="J578" s="171" t="s">
        <v>98</v>
      </c>
      <c r="K578" s="171" t="s">
        <v>123</v>
      </c>
      <c r="M578" s="171">
        <v>24</v>
      </c>
      <c r="N578" s="171" t="s">
        <v>98</v>
      </c>
      <c r="O578" s="171" t="s">
        <v>38</v>
      </c>
      <c r="Q578" s="298">
        <v>42</v>
      </c>
      <c r="R578" s="298" t="s">
        <v>97</v>
      </c>
      <c r="S578" s="397" t="s">
        <v>688</v>
      </c>
      <c r="U578"/>
      <c r="V578"/>
      <c r="W578"/>
      <c r="Y578" s="171">
        <v>64</v>
      </c>
      <c r="Z578" s="171" t="s">
        <v>97</v>
      </c>
      <c r="AA578" s="171" t="s">
        <v>688</v>
      </c>
      <c r="AC578" s="505">
        <v>26</v>
      </c>
      <c r="AD578" s="505" t="s">
        <v>98</v>
      </c>
      <c r="AE578" s="505" t="s">
        <v>55</v>
      </c>
      <c r="AG578" s="171">
        <v>37</v>
      </c>
      <c r="AH578" s="171" t="s">
        <v>98</v>
      </c>
      <c r="AI578" s="505" t="s">
        <v>55</v>
      </c>
      <c r="AK578" s="299">
        <v>10</v>
      </c>
      <c r="AL578" s="299" t="s">
        <v>82</v>
      </c>
      <c r="AM578" s="299" t="s">
        <v>134</v>
      </c>
      <c r="AO578" s="299">
        <v>27</v>
      </c>
      <c r="AP578" s="299" t="s">
        <v>81</v>
      </c>
      <c r="AQ578" s="299" t="s">
        <v>688</v>
      </c>
    </row>
    <row r="579" spans="1:43" ht="15" customHeight="1" x14ac:dyDescent="0.25">
      <c r="A579" t="s">
        <v>684</v>
      </c>
      <c r="B579" t="s">
        <v>97</v>
      </c>
      <c r="C579" t="s">
        <v>79</v>
      </c>
      <c r="E579" s="72">
        <v>1</v>
      </c>
      <c r="F579" t="s">
        <v>98</v>
      </c>
      <c r="G579" t="s">
        <v>134</v>
      </c>
      <c r="I579" s="171">
        <v>28</v>
      </c>
      <c r="J579" s="171" t="s">
        <v>98</v>
      </c>
      <c r="K579" s="171" t="s">
        <v>123</v>
      </c>
      <c r="M579" s="171">
        <v>35</v>
      </c>
      <c r="N579" s="171" t="s">
        <v>98</v>
      </c>
      <c r="O579" s="171" t="s">
        <v>38</v>
      </c>
      <c r="Q579" s="298">
        <v>52</v>
      </c>
      <c r="R579" s="298" t="s">
        <v>97</v>
      </c>
      <c r="S579" s="397" t="s">
        <v>688</v>
      </c>
      <c r="U579"/>
      <c r="V579"/>
      <c r="W579"/>
      <c r="Y579" s="171">
        <v>75</v>
      </c>
      <c r="Z579" s="171" t="s">
        <v>98</v>
      </c>
      <c r="AA579" s="171" t="s">
        <v>688</v>
      </c>
      <c r="AC579" s="505">
        <v>23</v>
      </c>
      <c r="AD579" s="505" t="s">
        <v>98</v>
      </c>
      <c r="AE579" s="505" t="s">
        <v>55</v>
      </c>
      <c r="AG579" s="171">
        <v>26</v>
      </c>
      <c r="AH579" s="171" t="s">
        <v>98</v>
      </c>
      <c r="AI579" s="505" t="s">
        <v>55</v>
      </c>
      <c r="AK579" s="299">
        <v>1</v>
      </c>
      <c r="AL579" s="299" t="s">
        <v>81</v>
      </c>
      <c r="AM579" s="299" t="s">
        <v>134</v>
      </c>
      <c r="AO579" s="299">
        <v>87</v>
      </c>
      <c r="AP579" s="299" t="s">
        <v>81</v>
      </c>
      <c r="AQ579" s="299" t="s">
        <v>688</v>
      </c>
    </row>
    <row r="580" spans="1:43" ht="15" customHeight="1" x14ac:dyDescent="0.25">
      <c r="A580" t="s">
        <v>700</v>
      </c>
      <c r="B580" t="s">
        <v>97</v>
      </c>
      <c r="C580" t="s">
        <v>79</v>
      </c>
      <c r="E580" s="72">
        <v>1</v>
      </c>
      <c r="F580" t="s">
        <v>97</v>
      </c>
      <c r="G580" t="s">
        <v>134</v>
      </c>
      <c r="I580" s="171">
        <v>83</v>
      </c>
      <c r="J580" s="171" t="s">
        <v>98</v>
      </c>
      <c r="K580" s="171" t="s">
        <v>123</v>
      </c>
      <c r="M580" s="171">
        <v>37</v>
      </c>
      <c r="N580" s="171" t="s">
        <v>98</v>
      </c>
      <c r="O580" s="171" t="s">
        <v>38</v>
      </c>
      <c r="Q580" s="298">
        <v>6</v>
      </c>
      <c r="R580" s="298" t="s">
        <v>98</v>
      </c>
      <c r="S580" s="397" t="s">
        <v>688</v>
      </c>
      <c r="U580"/>
      <c r="V580"/>
      <c r="W580"/>
      <c r="Y580" s="171">
        <v>15</v>
      </c>
      <c r="Z580" s="171" t="s">
        <v>98</v>
      </c>
      <c r="AA580" s="171" t="s">
        <v>688</v>
      </c>
      <c r="AC580" s="505">
        <v>33</v>
      </c>
      <c r="AD580" s="505" t="s">
        <v>98</v>
      </c>
      <c r="AE580" s="505" t="s">
        <v>55</v>
      </c>
      <c r="AG580" s="171">
        <v>21</v>
      </c>
      <c r="AH580" s="171" t="s">
        <v>98</v>
      </c>
      <c r="AI580" s="505" t="s">
        <v>55</v>
      </c>
      <c r="AK580" s="299">
        <v>1</v>
      </c>
      <c r="AL580" s="299" t="s">
        <v>82</v>
      </c>
      <c r="AM580" s="299" t="s">
        <v>134</v>
      </c>
      <c r="AO580" s="299">
        <v>16</v>
      </c>
      <c r="AP580" s="299" t="s">
        <v>82</v>
      </c>
      <c r="AQ580" s="299" t="s">
        <v>688</v>
      </c>
    </row>
    <row r="581" spans="1:43" ht="15" customHeight="1" x14ac:dyDescent="0.25">
      <c r="A581" t="s">
        <v>701</v>
      </c>
      <c r="B581" t="s">
        <v>97</v>
      </c>
      <c r="C581" t="s">
        <v>79</v>
      </c>
      <c r="E581" s="72">
        <v>1</v>
      </c>
      <c r="F581" t="s">
        <v>97</v>
      </c>
      <c r="G581" t="s">
        <v>134</v>
      </c>
      <c r="I581" s="171">
        <v>55</v>
      </c>
      <c r="J581" s="171" t="s">
        <v>98</v>
      </c>
      <c r="K581" s="171" t="s">
        <v>123</v>
      </c>
      <c r="M581" s="171">
        <v>18</v>
      </c>
      <c r="N581" s="171" t="s">
        <v>98</v>
      </c>
      <c r="O581" s="171" t="s">
        <v>38</v>
      </c>
      <c r="Q581" s="298">
        <v>66</v>
      </c>
      <c r="R581" s="298" t="s">
        <v>98</v>
      </c>
      <c r="S581" s="397" t="s">
        <v>688</v>
      </c>
      <c r="U581"/>
      <c r="V581"/>
      <c r="W581"/>
      <c r="Y581" s="171">
        <v>17</v>
      </c>
      <c r="Z581" s="171" t="s">
        <v>98</v>
      </c>
      <c r="AA581" s="171" t="s">
        <v>688</v>
      </c>
      <c r="AC581" s="505">
        <v>37</v>
      </c>
      <c r="AD581" s="505" t="s">
        <v>98</v>
      </c>
      <c r="AE581" s="505" t="s">
        <v>55</v>
      </c>
      <c r="AG581" s="171">
        <v>35</v>
      </c>
      <c r="AH581" s="171" t="s">
        <v>98</v>
      </c>
      <c r="AI581" s="505" t="s">
        <v>55</v>
      </c>
      <c r="AK581" s="299">
        <v>7</v>
      </c>
      <c r="AL581" s="299" t="s">
        <v>81</v>
      </c>
      <c r="AM581" s="299" t="s">
        <v>134</v>
      </c>
      <c r="AO581" s="299">
        <v>61</v>
      </c>
      <c r="AP581" s="299" t="s">
        <v>81</v>
      </c>
      <c r="AQ581" s="299" t="s">
        <v>688</v>
      </c>
    </row>
    <row r="582" spans="1:43" ht="15" customHeight="1" x14ac:dyDescent="0.25">
      <c r="A582" t="s">
        <v>694</v>
      </c>
      <c r="B582" t="s">
        <v>98</v>
      </c>
      <c r="C582" t="s">
        <v>79</v>
      </c>
      <c r="E582" s="72">
        <v>1</v>
      </c>
      <c r="F582" t="s">
        <v>97</v>
      </c>
      <c r="G582" t="s">
        <v>134</v>
      </c>
      <c r="I582" s="171">
        <v>59</v>
      </c>
      <c r="J582" s="171" t="s">
        <v>98</v>
      </c>
      <c r="K582" s="171" t="s">
        <v>123</v>
      </c>
      <c r="M582" s="171">
        <v>25</v>
      </c>
      <c r="N582" s="171" t="s">
        <v>98</v>
      </c>
      <c r="O582" s="171" t="s">
        <v>38</v>
      </c>
      <c r="Q582" s="298">
        <v>4</v>
      </c>
      <c r="R582" s="298" t="s">
        <v>98</v>
      </c>
      <c r="S582" s="397" t="s">
        <v>688</v>
      </c>
      <c r="U582"/>
      <c r="V582"/>
      <c r="W582"/>
      <c r="Y582" s="171">
        <v>44</v>
      </c>
      <c r="Z582" s="171" t="s">
        <v>98</v>
      </c>
      <c r="AA582" s="171" t="s">
        <v>688</v>
      </c>
      <c r="AC582" s="505">
        <v>24</v>
      </c>
      <c r="AD582" s="505" t="s">
        <v>98</v>
      </c>
      <c r="AE582" s="505" t="s">
        <v>55</v>
      </c>
      <c r="AG582" s="171">
        <v>31</v>
      </c>
      <c r="AH582" s="171" t="s">
        <v>98</v>
      </c>
      <c r="AI582" s="505" t="s">
        <v>55</v>
      </c>
      <c r="AK582" s="299">
        <v>4</v>
      </c>
      <c r="AL582" s="299" t="s">
        <v>82</v>
      </c>
      <c r="AM582" s="299" t="s">
        <v>134</v>
      </c>
      <c r="AO582" s="299">
        <v>83</v>
      </c>
      <c r="AP582" s="299" t="s">
        <v>81</v>
      </c>
      <c r="AQ582" s="299" t="s">
        <v>688</v>
      </c>
    </row>
    <row r="583" spans="1:43" ht="15" customHeight="1" x14ac:dyDescent="0.25">
      <c r="A583" t="s">
        <v>694</v>
      </c>
      <c r="B583" t="s">
        <v>97</v>
      </c>
      <c r="C583" t="s">
        <v>79</v>
      </c>
      <c r="E583" s="72">
        <v>1</v>
      </c>
      <c r="F583" t="s">
        <v>98</v>
      </c>
      <c r="G583" t="s">
        <v>134</v>
      </c>
      <c r="I583" s="171">
        <v>90</v>
      </c>
      <c r="J583" s="171" t="s">
        <v>98</v>
      </c>
      <c r="K583" s="171" t="s">
        <v>123</v>
      </c>
      <c r="M583" s="171">
        <v>34</v>
      </c>
      <c r="N583" s="171" t="s">
        <v>98</v>
      </c>
      <c r="O583" s="171" t="s">
        <v>38</v>
      </c>
      <c r="Q583" s="298">
        <v>26</v>
      </c>
      <c r="R583" s="298" t="s">
        <v>98</v>
      </c>
      <c r="S583" s="397" t="s">
        <v>688</v>
      </c>
      <c r="U583"/>
      <c r="V583"/>
      <c r="W583"/>
      <c r="Y583" s="171">
        <v>72</v>
      </c>
      <c r="Z583" s="171" t="s">
        <v>98</v>
      </c>
      <c r="AA583" s="171" t="s">
        <v>688</v>
      </c>
      <c r="AC583" s="505">
        <v>31</v>
      </c>
      <c r="AD583" s="505" t="s">
        <v>98</v>
      </c>
      <c r="AE583" s="505" t="s">
        <v>55</v>
      </c>
      <c r="AG583" s="171">
        <v>33</v>
      </c>
      <c r="AH583" s="171" t="s">
        <v>98</v>
      </c>
      <c r="AI583" s="505" t="s">
        <v>55</v>
      </c>
      <c r="AK583" s="299">
        <v>3</v>
      </c>
      <c r="AL583" s="299" t="s">
        <v>81</v>
      </c>
      <c r="AM583" s="299" t="s">
        <v>134</v>
      </c>
      <c r="AO583" s="299">
        <v>37</v>
      </c>
      <c r="AP583" s="299" t="s">
        <v>82</v>
      </c>
      <c r="AQ583" s="299" t="s">
        <v>688</v>
      </c>
    </row>
    <row r="584" spans="1:43" ht="15" customHeight="1" x14ac:dyDescent="0.25">
      <c r="A584" t="s">
        <v>694</v>
      </c>
      <c r="B584" t="s">
        <v>97</v>
      </c>
      <c r="C584" t="s">
        <v>79</v>
      </c>
      <c r="E584" s="72">
        <v>1</v>
      </c>
      <c r="F584" t="s">
        <v>97</v>
      </c>
      <c r="G584" t="s">
        <v>134</v>
      </c>
      <c r="I584" s="171">
        <v>43</v>
      </c>
      <c r="J584" s="171" t="s">
        <v>98</v>
      </c>
      <c r="K584" s="171" t="s">
        <v>123</v>
      </c>
      <c r="M584" s="171">
        <v>38</v>
      </c>
      <c r="N584" s="171" t="s">
        <v>98</v>
      </c>
      <c r="O584" s="171" t="s">
        <v>38</v>
      </c>
      <c r="Q584" s="298">
        <v>35</v>
      </c>
      <c r="R584" s="298" t="s">
        <v>97</v>
      </c>
      <c r="S584" s="397" t="s">
        <v>688</v>
      </c>
      <c r="U584"/>
      <c r="V584"/>
      <c r="W584"/>
      <c r="Y584" s="171">
        <v>50</v>
      </c>
      <c r="Z584" s="171" t="s">
        <v>97</v>
      </c>
      <c r="AA584" s="171" t="s">
        <v>688</v>
      </c>
      <c r="AC584" s="505">
        <v>33</v>
      </c>
      <c r="AD584" s="505" t="s">
        <v>98</v>
      </c>
      <c r="AE584" s="505" t="s">
        <v>55</v>
      </c>
      <c r="AG584" s="171">
        <v>21</v>
      </c>
      <c r="AH584" s="171" t="s">
        <v>98</v>
      </c>
      <c r="AI584" s="505" t="s">
        <v>55</v>
      </c>
      <c r="AK584" s="299">
        <v>2</v>
      </c>
      <c r="AL584" s="299" t="s">
        <v>82</v>
      </c>
      <c r="AM584" s="299" t="s">
        <v>134</v>
      </c>
      <c r="AO584" s="299">
        <v>18</v>
      </c>
      <c r="AP584" s="299" t="s">
        <v>82</v>
      </c>
      <c r="AQ584" s="299" t="s">
        <v>688</v>
      </c>
    </row>
    <row r="585" spans="1:43" ht="15" customHeight="1" x14ac:dyDescent="0.25">
      <c r="A585" t="s">
        <v>694</v>
      </c>
      <c r="B585" t="s">
        <v>97</v>
      </c>
      <c r="C585" t="s">
        <v>79</v>
      </c>
      <c r="E585" s="72">
        <v>1</v>
      </c>
      <c r="F585" t="s">
        <v>98</v>
      </c>
      <c r="G585" t="s">
        <v>134</v>
      </c>
      <c r="I585" s="171">
        <v>34</v>
      </c>
      <c r="J585" s="171" t="s">
        <v>98</v>
      </c>
      <c r="K585" s="171" t="s">
        <v>123</v>
      </c>
      <c r="M585" s="171">
        <v>22</v>
      </c>
      <c r="N585" s="171" t="s">
        <v>98</v>
      </c>
      <c r="O585" s="171" t="s">
        <v>38</v>
      </c>
      <c r="Q585" s="298">
        <v>66</v>
      </c>
      <c r="R585" s="298" t="s">
        <v>98</v>
      </c>
      <c r="S585" s="397" t="s">
        <v>688</v>
      </c>
      <c r="U585"/>
      <c r="V585"/>
      <c r="W585"/>
      <c r="Y585" s="171">
        <v>21</v>
      </c>
      <c r="Z585" s="171" t="s">
        <v>97</v>
      </c>
      <c r="AA585" s="171" t="s">
        <v>688</v>
      </c>
      <c r="AC585" s="505">
        <v>22</v>
      </c>
      <c r="AD585" s="505" t="s">
        <v>98</v>
      </c>
      <c r="AE585" s="505" t="s">
        <v>55</v>
      </c>
      <c r="AG585" s="171">
        <v>39</v>
      </c>
      <c r="AH585" s="171" t="s">
        <v>98</v>
      </c>
      <c r="AI585" s="505" t="s">
        <v>55</v>
      </c>
      <c r="AK585" s="299">
        <v>6</v>
      </c>
      <c r="AL585" s="299" t="s">
        <v>82</v>
      </c>
      <c r="AM585" s="299" t="s">
        <v>134</v>
      </c>
      <c r="AO585" s="299">
        <v>51</v>
      </c>
      <c r="AP585" s="299" t="s">
        <v>81</v>
      </c>
      <c r="AQ585" s="299" t="s">
        <v>688</v>
      </c>
    </row>
    <row r="586" spans="1:43" ht="15" customHeight="1" x14ac:dyDescent="0.25">
      <c r="A586" t="s">
        <v>694</v>
      </c>
      <c r="B586" t="s">
        <v>98</v>
      </c>
      <c r="C586" t="s">
        <v>79</v>
      </c>
      <c r="E586" s="72">
        <v>1</v>
      </c>
      <c r="F586" t="s">
        <v>97</v>
      </c>
      <c r="G586" t="s">
        <v>134</v>
      </c>
      <c r="I586" s="171">
        <v>45</v>
      </c>
      <c r="J586" s="171" t="s">
        <v>98</v>
      </c>
      <c r="K586" s="171" t="s">
        <v>123</v>
      </c>
      <c r="M586" s="171">
        <v>31</v>
      </c>
      <c r="N586" s="171" t="s">
        <v>98</v>
      </c>
      <c r="O586" s="171" t="s">
        <v>38</v>
      </c>
      <c r="Q586" s="298">
        <v>9</v>
      </c>
      <c r="R586" s="298" t="s">
        <v>97</v>
      </c>
      <c r="S586" s="397" t="s">
        <v>688</v>
      </c>
      <c r="U586"/>
      <c r="V586"/>
      <c r="W586"/>
      <c r="Y586" s="171">
        <v>30</v>
      </c>
      <c r="Z586" s="171" t="s">
        <v>98</v>
      </c>
      <c r="AA586" s="171" t="s">
        <v>688</v>
      </c>
      <c r="AC586" s="505">
        <v>22</v>
      </c>
      <c r="AD586" s="505" t="s">
        <v>98</v>
      </c>
      <c r="AE586" s="505" t="s">
        <v>55</v>
      </c>
      <c r="AG586" s="171">
        <v>19</v>
      </c>
      <c r="AH586" s="171" t="s">
        <v>98</v>
      </c>
      <c r="AI586" s="505" t="s">
        <v>55</v>
      </c>
      <c r="AK586" s="299">
        <v>12</v>
      </c>
      <c r="AL586" s="299" t="s">
        <v>81</v>
      </c>
      <c r="AM586" s="299" t="s">
        <v>134</v>
      </c>
      <c r="AO586" s="299">
        <v>14</v>
      </c>
      <c r="AP586" s="299" t="s">
        <v>81</v>
      </c>
      <c r="AQ586" s="299" t="s">
        <v>688</v>
      </c>
    </row>
    <row r="587" spans="1:43" ht="15" customHeight="1" x14ac:dyDescent="0.25">
      <c r="A587" t="s">
        <v>694</v>
      </c>
      <c r="B587" t="s">
        <v>97</v>
      </c>
      <c r="C587" t="s">
        <v>79</v>
      </c>
      <c r="E587" s="72">
        <v>1</v>
      </c>
      <c r="F587" t="s">
        <v>98</v>
      </c>
      <c r="G587" t="s">
        <v>134</v>
      </c>
      <c r="I587" s="171">
        <v>31</v>
      </c>
      <c r="J587" s="171" t="s">
        <v>98</v>
      </c>
      <c r="K587" s="171" t="s">
        <v>123</v>
      </c>
      <c r="M587" s="171">
        <v>40</v>
      </c>
      <c r="N587" s="171" t="s">
        <v>98</v>
      </c>
      <c r="O587" s="171" t="s">
        <v>38</v>
      </c>
      <c r="Q587" s="298">
        <v>18</v>
      </c>
      <c r="R587" s="298" t="s">
        <v>98</v>
      </c>
      <c r="S587" s="397" t="s">
        <v>688</v>
      </c>
      <c r="U587"/>
      <c r="V587"/>
      <c r="W587"/>
      <c r="Y587" s="171">
        <v>66</v>
      </c>
      <c r="Z587" s="171" t="s">
        <v>97</v>
      </c>
      <c r="AA587" s="171" t="s">
        <v>688</v>
      </c>
      <c r="AC587" s="505">
        <v>32</v>
      </c>
      <c r="AD587" s="505" t="s">
        <v>98</v>
      </c>
      <c r="AE587" s="505" t="s">
        <v>55</v>
      </c>
      <c r="AG587" s="171">
        <v>25</v>
      </c>
      <c r="AH587" s="171" t="s">
        <v>98</v>
      </c>
      <c r="AI587" s="505" t="s">
        <v>55</v>
      </c>
      <c r="AK587" s="299">
        <v>12</v>
      </c>
      <c r="AL587" s="299" t="s">
        <v>82</v>
      </c>
      <c r="AM587" s="299" t="s">
        <v>134</v>
      </c>
      <c r="AO587" s="299">
        <v>64</v>
      </c>
      <c r="AP587" s="299" t="s">
        <v>81</v>
      </c>
      <c r="AQ587" s="299" t="s">
        <v>688</v>
      </c>
    </row>
    <row r="588" spans="1:43" ht="15" customHeight="1" x14ac:dyDescent="0.25">
      <c r="A588" t="s">
        <v>694</v>
      </c>
      <c r="B588" t="s">
        <v>97</v>
      </c>
      <c r="C588" t="s">
        <v>79</v>
      </c>
      <c r="E588" s="72">
        <v>1</v>
      </c>
      <c r="F588" t="s">
        <v>98</v>
      </c>
      <c r="G588" t="s">
        <v>134</v>
      </c>
      <c r="I588" s="171">
        <v>84</v>
      </c>
      <c r="J588" s="171" t="s">
        <v>98</v>
      </c>
      <c r="K588" s="171" t="s">
        <v>123</v>
      </c>
      <c r="M588" s="171">
        <v>40</v>
      </c>
      <c r="N588" s="171" t="s">
        <v>98</v>
      </c>
      <c r="O588" s="171" t="s">
        <v>38</v>
      </c>
      <c r="Q588" s="298">
        <v>46</v>
      </c>
      <c r="R588" s="298" t="s">
        <v>98</v>
      </c>
      <c r="S588" s="397" t="s">
        <v>688</v>
      </c>
      <c r="U588"/>
      <c r="V588"/>
      <c r="W588"/>
      <c r="Y588" s="171">
        <v>59</v>
      </c>
      <c r="Z588" s="171" t="s">
        <v>98</v>
      </c>
      <c r="AA588" s="171" t="s">
        <v>688</v>
      </c>
      <c r="AC588" s="505">
        <v>17</v>
      </c>
      <c r="AD588" s="505" t="s">
        <v>98</v>
      </c>
      <c r="AE588" s="505" t="s">
        <v>55</v>
      </c>
      <c r="AG588" s="171">
        <v>15</v>
      </c>
      <c r="AH588" s="171" t="s">
        <v>98</v>
      </c>
      <c r="AI588" s="505" t="s">
        <v>55</v>
      </c>
      <c r="AK588" s="299" t="s">
        <v>1346</v>
      </c>
      <c r="AL588" s="299" t="s">
        <v>81</v>
      </c>
      <c r="AM588" s="299" t="s">
        <v>134</v>
      </c>
      <c r="AO588" s="299">
        <v>44</v>
      </c>
      <c r="AP588" s="299" t="s">
        <v>82</v>
      </c>
      <c r="AQ588" s="299" t="s">
        <v>688</v>
      </c>
    </row>
    <row r="589" spans="1:43" ht="15" customHeight="1" x14ac:dyDescent="0.25">
      <c r="A589" t="s">
        <v>694</v>
      </c>
      <c r="B589" t="s">
        <v>98</v>
      </c>
      <c r="C589" t="s">
        <v>79</v>
      </c>
      <c r="E589" s="72">
        <v>1</v>
      </c>
      <c r="F589" t="s">
        <v>98</v>
      </c>
      <c r="G589" t="s">
        <v>134</v>
      </c>
      <c r="I589" s="171">
        <v>33</v>
      </c>
      <c r="J589" s="171" t="s">
        <v>98</v>
      </c>
      <c r="K589" s="171" t="s">
        <v>123</v>
      </c>
      <c r="M589" s="171">
        <v>31</v>
      </c>
      <c r="N589" s="171" t="s">
        <v>98</v>
      </c>
      <c r="O589" s="171" t="s">
        <v>38</v>
      </c>
      <c r="Q589" s="298">
        <v>87</v>
      </c>
      <c r="R589" s="298" t="s">
        <v>98</v>
      </c>
      <c r="S589" s="397" t="s">
        <v>688</v>
      </c>
      <c r="U589"/>
      <c r="V589"/>
      <c r="W589"/>
      <c r="Y589" s="171">
        <v>7</v>
      </c>
      <c r="Z589" s="171" t="s">
        <v>98</v>
      </c>
      <c r="AA589" s="171" t="s">
        <v>688</v>
      </c>
      <c r="AC589" s="505">
        <v>30</v>
      </c>
      <c r="AD589" s="505" t="s">
        <v>98</v>
      </c>
      <c r="AE589" s="505" t="s">
        <v>55</v>
      </c>
      <c r="AG589" s="171">
        <v>24</v>
      </c>
      <c r="AH589" s="171" t="s">
        <v>98</v>
      </c>
      <c r="AI589" s="505" t="s">
        <v>55</v>
      </c>
      <c r="AK589" s="299" t="s">
        <v>1341</v>
      </c>
      <c r="AL589" s="299" t="s">
        <v>82</v>
      </c>
      <c r="AM589" s="299" t="s">
        <v>134</v>
      </c>
      <c r="AO589" s="299">
        <v>60</v>
      </c>
      <c r="AP589" s="299" t="s">
        <v>81</v>
      </c>
      <c r="AQ589" s="299" t="s">
        <v>688</v>
      </c>
    </row>
    <row r="590" spans="1:43" ht="15" customHeight="1" x14ac:dyDescent="0.25">
      <c r="A590" t="s">
        <v>694</v>
      </c>
      <c r="B590" t="s">
        <v>98</v>
      </c>
      <c r="C590" t="s">
        <v>79</v>
      </c>
      <c r="E590" s="72">
        <v>1</v>
      </c>
      <c r="F590" t="s">
        <v>97</v>
      </c>
      <c r="G590" t="s">
        <v>134</v>
      </c>
      <c r="I590" s="171">
        <v>43</v>
      </c>
      <c r="J590" s="171" t="s">
        <v>98</v>
      </c>
      <c r="K590" s="171" t="s">
        <v>123</v>
      </c>
      <c r="M590" s="171">
        <v>22</v>
      </c>
      <c r="N590" s="171" t="s">
        <v>98</v>
      </c>
      <c r="O590" s="171" t="s">
        <v>38</v>
      </c>
      <c r="Q590" s="298">
        <v>42</v>
      </c>
      <c r="R590" s="298" t="s">
        <v>97</v>
      </c>
      <c r="S590" s="397" t="s">
        <v>688</v>
      </c>
      <c r="U590"/>
      <c r="V590"/>
      <c r="W590"/>
      <c r="Y590" s="171">
        <v>23</v>
      </c>
      <c r="Z590" s="171" t="s">
        <v>97</v>
      </c>
      <c r="AA590" s="171" t="s">
        <v>688</v>
      </c>
      <c r="AC590" s="505">
        <v>46</v>
      </c>
      <c r="AD590" s="505" t="s">
        <v>98</v>
      </c>
      <c r="AE590" s="505" t="s">
        <v>55</v>
      </c>
      <c r="AG590" s="171">
        <v>25</v>
      </c>
      <c r="AH590" s="171" t="s">
        <v>98</v>
      </c>
      <c r="AI590" s="505" t="s">
        <v>55</v>
      </c>
      <c r="AK590" s="299">
        <v>7</v>
      </c>
      <c r="AL590" s="299" t="s">
        <v>81</v>
      </c>
      <c r="AM590" s="299" t="s">
        <v>134</v>
      </c>
      <c r="AO590" s="299">
        <v>25</v>
      </c>
      <c r="AP590" s="299" t="s">
        <v>82</v>
      </c>
      <c r="AQ590" s="299" t="s">
        <v>688</v>
      </c>
    </row>
    <row r="591" spans="1:43" ht="15" customHeight="1" x14ac:dyDescent="0.25">
      <c r="A591" t="s">
        <v>684</v>
      </c>
      <c r="B591" t="s">
        <v>97</v>
      </c>
      <c r="C591" t="s">
        <v>79</v>
      </c>
      <c r="E591" s="72">
        <v>1</v>
      </c>
      <c r="F591" t="s">
        <v>97</v>
      </c>
      <c r="G591" t="s">
        <v>134</v>
      </c>
      <c r="I591" s="171">
        <v>23</v>
      </c>
      <c r="J591" s="171" t="s">
        <v>98</v>
      </c>
      <c r="K591" s="171" t="s">
        <v>123</v>
      </c>
      <c r="M591" s="171">
        <v>32</v>
      </c>
      <c r="N591" s="171" t="s">
        <v>98</v>
      </c>
      <c r="O591" s="171" t="s">
        <v>38</v>
      </c>
      <c r="Q591" s="298">
        <v>54</v>
      </c>
      <c r="R591" s="298" t="s">
        <v>97</v>
      </c>
      <c r="S591" s="397" t="s">
        <v>688</v>
      </c>
      <c r="U591"/>
      <c r="V591"/>
      <c r="W591"/>
      <c r="Y591" s="171">
        <v>15</v>
      </c>
      <c r="Z591" s="171" t="s">
        <v>98</v>
      </c>
      <c r="AA591" s="171" t="s">
        <v>688</v>
      </c>
      <c r="AC591" s="505">
        <v>35</v>
      </c>
      <c r="AD591" s="505" t="s">
        <v>98</v>
      </c>
      <c r="AE591" s="505" t="s">
        <v>55</v>
      </c>
      <c r="AG591" s="171">
        <v>30</v>
      </c>
      <c r="AH591" s="171" t="s">
        <v>98</v>
      </c>
      <c r="AI591" s="505" t="s">
        <v>55</v>
      </c>
      <c r="AK591" s="299">
        <v>7</v>
      </c>
      <c r="AL591" s="299" t="s">
        <v>82</v>
      </c>
      <c r="AM591" s="299" t="s">
        <v>134</v>
      </c>
      <c r="AO591" s="299">
        <v>41</v>
      </c>
      <c r="AP591" s="299" t="s">
        <v>81</v>
      </c>
      <c r="AQ591" s="299" t="s">
        <v>688</v>
      </c>
    </row>
    <row r="592" spans="1:43" ht="15" customHeight="1" x14ac:dyDescent="0.25">
      <c r="A592" t="s">
        <v>694</v>
      </c>
      <c r="B592" t="s">
        <v>98</v>
      </c>
      <c r="C592" t="s">
        <v>79</v>
      </c>
      <c r="E592" s="72">
        <v>1</v>
      </c>
      <c r="F592" t="s">
        <v>98</v>
      </c>
      <c r="G592" t="s">
        <v>134</v>
      </c>
      <c r="I592" s="171">
        <v>57</v>
      </c>
      <c r="J592" s="171" t="s">
        <v>98</v>
      </c>
      <c r="K592" s="171" t="s">
        <v>123</v>
      </c>
      <c r="M592" s="171">
        <v>22</v>
      </c>
      <c r="N592" s="171" t="s">
        <v>98</v>
      </c>
      <c r="O592" s="171" t="s">
        <v>38</v>
      </c>
      <c r="Q592" s="298">
        <v>74</v>
      </c>
      <c r="R592" s="298" t="s">
        <v>97</v>
      </c>
      <c r="S592" s="397" t="s">
        <v>688</v>
      </c>
      <c r="U592"/>
      <c r="V592"/>
      <c r="W592"/>
      <c r="Y592" s="171">
        <v>14</v>
      </c>
      <c r="Z592" s="171" t="s">
        <v>98</v>
      </c>
      <c r="AA592" s="171" t="s">
        <v>688</v>
      </c>
      <c r="AC592" s="505">
        <v>32</v>
      </c>
      <c r="AD592" s="505" t="s">
        <v>98</v>
      </c>
      <c r="AE592" s="505" t="s">
        <v>55</v>
      </c>
      <c r="AG592" s="171">
        <v>30</v>
      </c>
      <c r="AH592" s="171" t="s">
        <v>98</v>
      </c>
      <c r="AI592" s="505" t="s">
        <v>55</v>
      </c>
      <c r="AK592" s="299">
        <v>5</v>
      </c>
      <c r="AL592" s="299" t="s">
        <v>81</v>
      </c>
      <c r="AM592" s="299" t="s">
        <v>134</v>
      </c>
      <c r="AO592" s="299">
        <v>29</v>
      </c>
      <c r="AP592" s="299" t="s">
        <v>81</v>
      </c>
      <c r="AQ592" s="299" t="s">
        <v>688</v>
      </c>
    </row>
    <row r="593" spans="1:43" ht="15" customHeight="1" x14ac:dyDescent="0.25">
      <c r="A593" t="s">
        <v>694</v>
      </c>
      <c r="B593" t="s">
        <v>97</v>
      </c>
      <c r="C593" t="s">
        <v>79</v>
      </c>
      <c r="E593" s="72">
        <v>1</v>
      </c>
      <c r="F593" t="s">
        <v>98</v>
      </c>
      <c r="G593" t="s">
        <v>134</v>
      </c>
      <c r="I593" s="171">
        <v>81</v>
      </c>
      <c r="J593" s="171" t="s">
        <v>98</v>
      </c>
      <c r="K593" s="171" t="s">
        <v>123</v>
      </c>
      <c r="M593" s="171">
        <v>40</v>
      </c>
      <c r="N593" s="171" t="s">
        <v>98</v>
      </c>
      <c r="O593" s="171" t="s">
        <v>38</v>
      </c>
      <c r="Q593" s="298">
        <v>30</v>
      </c>
      <c r="R593" s="298" t="s">
        <v>97</v>
      </c>
      <c r="S593" s="397" t="s">
        <v>688</v>
      </c>
      <c r="U593"/>
      <c r="V593"/>
      <c r="W593"/>
      <c r="Y593" s="171">
        <v>7</v>
      </c>
      <c r="Z593" s="171" t="s">
        <v>98</v>
      </c>
      <c r="AA593" s="171" t="s">
        <v>688</v>
      </c>
      <c r="AC593" s="505">
        <v>28</v>
      </c>
      <c r="AD593" s="505" t="s">
        <v>98</v>
      </c>
      <c r="AE593" s="505" t="s">
        <v>55</v>
      </c>
      <c r="AG593" s="171">
        <v>32</v>
      </c>
      <c r="AH593" s="171" t="s">
        <v>98</v>
      </c>
      <c r="AI593" s="505" t="s">
        <v>55</v>
      </c>
      <c r="AK593" s="299" t="s">
        <v>1350</v>
      </c>
      <c r="AL593" s="299" t="s">
        <v>81</v>
      </c>
      <c r="AM593" s="299" t="s">
        <v>79</v>
      </c>
      <c r="AO593" s="299">
        <v>28</v>
      </c>
      <c r="AP593" s="299" t="s">
        <v>81</v>
      </c>
      <c r="AQ593" s="299" t="s">
        <v>688</v>
      </c>
    </row>
    <row r="594" spans="1:43" ht="15" customHeight="1" x14ac:dyDescent="0.25">
      <c r="A594" t="s">
        <v>694</v>
      </c>
      <c r="B594" t="s">
        <v>97</v>
      </c>
      <c r="C594" t="s">
        <v>79</v>
      </c>
      <c r="E594" s="72">
        <v>1</v>
      </c>
      <c r="F594" t="s">
        <v>97</v>
      </c>
      <c r="G594" t="s">
        <v>134</v>
      </c>
      <c r="I594" s="171">
        <v>67</v>
      </c>
      <c r="J594" s="171" t="s">
        <v>98</v>
      </c>
      <c r="K594" s="171" t="s">
        <v>123</v>
      </c>
      <c r="M594" s="171">
        <v>31</v>
      </c>
      <c r="N594" s="171" t="s">
        <v>98</v>
      </c>
      <c r="O594" s="171" t="s">
        <v>38</v>
      </c>
      <c r="Q594" s="298">
        <v>58</v>
      </c>
      <c r="R594" s="298" t="s">
        <v>97</v>
      </c>
      <c r="S594" s="397" t="s">
        <v>688</v>
      </c>
      <c r="U594"/>
      <c r="V594"/>
      <c r="W594"/>
      <c r="Y594" s="171">
        <v>59</v>
      </c>
      <c r="Z594" s="171" t="s">
        <v>97</v>
      </c>
      <c r="AA594" s="171" t="s">
        <v>688</v>
      </c>
      <c r="AC594" s="505">
        <v>33</v>
      </c>
      <c r="AD594" s="505" t="s">
        <v>98</v>
      </c>
      <c r="AE594" s="505" t="s">
        <v>55</v>
      </c>
      <c r="AG594" s="171">
        <v>18</v>
      </c>
      <c r="AH594" s="171" t="s">
        <v>98</v>
      </c>
      <c r="AI594" s="505" t="s">
        <v>55</v>
      </c>
      <c r="AK594" s="299" t="s">
        <v>1351</v>
      </c>
      <c r="AL594" s="299" t="s">
        <v>82</v>
      </c>
      <c r="AM594" s="299" t="s">
        <v>79</v>
      </c>
      <c r="AO594" s="299">
        <v>4</v>
      </c>
      <c r="AP594" s="299" t="s">
        <v>81</v>
      </c>
      <c r="AQ594" s="299" t="s">
        <v>688</v>
      </c>
    </row>
    <row r="595" spans="1:43" ht="15" customHeight="1" x14ac:dyDescent="0.25">
      <c r="A595" t="s">
        <v>694</v>
      </c>
      <c r="B595" t="s">
        <v>97</v>
      </c>
      <c r="C595" t="s">
        <v>79</v>
      </c>
      <c r="E595" s="72">
        <v>1</v>
      </c>
      <c r="F595" t="s">
        <v>97</v>
      </c>
      <c r="G595" t="s">
        <v>134</v>
      </c>
      <c r="I595" s="171">
        <v>31</v>
      </c>
      <c r="J595" s="171" t="s">
        <v>98</v>
      </c>
      <c r="K595" s="171" t="s">
        <v>123</v>
      </c>
      <c r="M595" s="171">
        <v>32</v>
      </c>
      <c r="N595" s="171" t="s">
        <v>98</v>
      </c>
      <c r="O595" s="171" t="s">
        <v>38</v>
      </c>
      <c r="Q595" s="298">
        <v>31</v>
      </c>
      <c r="R595" s="298" t="s">
        <v>97</v>
      </c>
      <c r="S595" s="397" t="s">
        <v>688</v>
      </c>
      <c r="U595"/>
      <c r="V595"/>
      <c r="W595"/>
      <c r="Y595" s="171">
        <v>19</v>
      </c>
      <c r="Z595" s="171" t="s">
        <v>98</v>
      </c>
      <c r="AA595" s="171" t="s">
        <v>688</v>
      </c>
      <c r="AC595" s="505">
        <v>30</v>
      </c>
      <c r="AD595" s="505" t="s">
        <v>98</v>
      </c>
      <c r="AE595" s="505" t="s">
        <v>55</v>
      </c>
      <c r="AG595" s="171">
        <v>31</v>
      </c>
      <c r="AH595" s="171" t="s">
        <v>98</v>
      </c>
      <c r="AI595" s="505" t="s">
        <v>55</v>
      </c>
      <c r="AK595" s="299" t="s">
        <v>1350</v>
      </c>
      <c r="AL595" s="299" t="s">
        <v>82</v>
      </c>
      <c r="AM595" s="299" t="s">
        <v>79</v>
      </c>
      <c r="AO595" s="299">
        <v>5</v>
      </c>
      <c r="AP595" s="299" t="s">
        <v>81</v>
      </c>
      <c r="AQ595" s="299" t="s">
        <v>688</v>
      </c>
    </row>
    <row r="596" spans="1:43" ht="15" customHeight="1" x14ac:dyDescent="0.25">
      <c r="A596" t="s">
        <v>695</v>
      </c>
      <c r="B596" t="s">
        <v>97</v>
      </c>
      <c r="C596" t="s">
        <v>79</v>
      </c>
      <c r="E596" s="72">
        <v>1</v>
      </c>
      <c r="F596" t="s">
        <v>98</v>
      </c>
      <c r="G596" t="s">
        <v>134</v>
      </c>
      <c r="I596" s="171">
        <v>45</v>
      </c>
      <c r="J596" s="171" t="s">
        <v>98</v>
      </c>
      <c r="K596" s="171" t="s">
        <v>123</v>
      </c>
      <c r="M596" s="171">
        <v>34</v>
      </c>
      <c r="N596" s="171" t="s">
        <v>98</v>
      </c>
      <c r="O596" s="171" t="s">
        <v>38</v>
      </c>
      <c r="Q596" s="298">
        <v>59</v>
      </c>
      <c r="R596" s="298" t="s">
        <v>97</v>
      </c>
      <c r="S596" s="397" t="s">
        <v>688</v>
      </c>
      <c r="U596"/>
      <c r="V596"/>
      <c r="W596"/>
      <c r="Y596" s="171">
        <v>42</v>
      </c>
      <c r="Z596" s="171" t="s">
        <v>97</v>
      </c>
      <c r="AA596" s="171" t="s">
        <v>688</v>
      </c>
      <c r="AC596" s="505">
        <v>21</v>
      </c>
      <c r="AD596" s="505" t="s">
        <v>98</v>
      </c>
      <c r="AE596" s="505" t="s">
        <v>55</v>
      </c>
      <c r="AG596" s="171">
        <v>34</v>
      </c>
      <c r="AH596" s="171" t="s">
        <v>98</v>
      </c>
      <c r="AI596" s="505" t="s">
        <v>55</v>
      </c>
      <c r="AK596" s="299" t="s">
        <v>1350</v>
      </c>
      <c r="AL596" s="299" t="s">
        <v>82</v>
      </c>
      <c r="AM596" s="299" t="s">
        <v>79</v>
      </c>
      <c r="AO596" s="299">
        <v>90</v>
      </c>
      <c r="AP596" s="299" t="s">
        <v>81</v>
      </c>
      <c r="AQ596" s="299" t="s">
        <v>688</v>
      </c>
    </row>
    <row r="597" spans="1:43" ht="15" customHeight="1" x14ac:dyDescent="0.25">
      <c r="A597" t="s">
        <v>697</v>
      </c>
      <c r="B597" t="s">
        <v>97</v>
      </c>
      <c r="C597" t="s">
        <v>79</v>
      </c>
      <c r="E597" s="72">
        <v>1</v>
      </c>
      <c r="F597" t="s">
        <v>97</v>
      </c>
      <c r="G597" t="s">
        <v>134</v>
      </c>
      <c r="I597" s="171">
        <v>16</v>
      </c>
      <c r="J597" s="171" t="s">
        <v>98</v>
      </c>
      <c r="K597" s="171" t="s">
        <v>123</v>
      </c>
      <c r="M597" s="171">
        <v>32</v>
      </c>
      <c r="N597" s="171" t="s">
        <v>98</v>
      </c>
      <c r="O597" s="171" t="s">
        <v>38</v>
      </c>
      <c r="Q597" s="298">
        <v>71</v>
      </c>
      <c r="R597" s="298" t="s">
        <v>97</v>
      </c>
      <c r="S597" s="397" t="s">
        <v>688</v>
      </c>
      <c r="U597"/>
      <c r="V597"/>
      <c r="W597"/>
      <c r="Y597" s="171">
        <v>25</v>
      </c>
      <c r="Z597" s="171" t="s">
        <v>97</v>
      </c>
      <c r="AA597" s="171" t="s">
        <v>688</v>
      </c>
      <c r="AC597" s="505">
        <v>25</v>
      </c>
      <c r="AD597" s="505" t="s">
        <v>98</v>
      </c>
      <c r="AE597" s="505" t="s">
        <v>55</v>
      </c>
      <c r="AG597" s="171">
        <v>30</v>
      </c>
      <c r="AH597" s="171" t="s">
        <v>98</v>
      </c>
      <c r="AI597" s="505" t="s">
        <v>55</v>
      </c>
      <c r="AK597" s="299" t="s">
        <v>1350</v>
      </c>
      <c r="AL597" s="299" t="s">
        <v>81</v>
      </c>
      <c r="AM597" s="299" t="s">
        <v>79</v>
      </c>
      <c r="AO597" s="299">
        <v>38</v>
      </c>
      <c r="AP597" s="299" t="s">
        <v>81</v>
      </c>
      <c r="AQ597" s="299" t="s">
        <v>688</v>
      </c>
    </row>
    <row r="598" spans="1:43" ht="15" customHeight="1" x14ac:dyDescent="0.25">
      <c r="A598" t="s">
        <v>694</v>
      </c>
      <c r="B598" t="s">
        <v>98</v>
      </c>
      <c r="C598" t="s">
        <v>79</v>
      </c>
      <c r="E598" s="72">
        <v>1</v>
      </c>
      <c r="F598" t="s">
        <v>97</v>
      </c>
      <c r="G598" t="s">
        <v>134</v>
      </c>
      <c r="I598" s="171">
        <v>57</v>
      </c>
      <c r="J598" s="171" t="s">
        <v>98</v>
      </c>
      <c r="K598" s="171" t="s">
        <v>123</v>
      </c>
      <c r="M598" s="171">
        <v>39</v>
      </c>
      <c r="N598" s="171" t="s">
        <v>98</v>
      </c>
      <c r="O598" s="171" t="s">
        <v>38</v>
      </c>
      <c r="Q598" s="298">
        <v>4</v>
      </c>
      <c r="R598" s="298" t="s">
        <v>98</v>
      </c>
      <c r="S598" s="397" t="s">
        <v>688</v>
      </c>
      <c r="U598"/>
      <c r="V598"/>
      <c r="W598"/>
      <c r="Y598" s="171">
        <v>31</v>
      </c>
      <c r="Z598" s="171" t="s">
        <v>97</v>
      </c>
      <c r="AA598" s="171" t="s">
        <v>688</v>
      </c>
      <c r="AC598" s="505">
        <v>35</v>
      </c>
      <c r="AD598" s="505" t="s">
        <v>98</v>
      </c>
      <c r="AE598" s="505" t="s">
        <v>55</v>
      </c>
      <c r="AG598" s="171">
        <v>33</v>
      </c>
      <c r="AH598" s="171" t="s">
        <v>98</v>
      </c>
      <c r="AI598" s="505" t="s">
        <v>55</v>
      </c>
      <c r="AK598" s="299" t="s">
        <v>1350</v>
      </c>
      <c r="AL598" s="299" t="s">
        <v>81</v>
      </c>
      <c r="AM598" s="299" t="s">
        <v>79</v>
      </c>
      <c r="AO598" s="299">
        <v>81</v>
      </c>
      <c r="AP598" s="299" t="s">
        <v>82</v>
      </c>
      <c r="AQ598" s="299" t="s">
        <v>688</v>
      </c>
    </row>
    <row r="599" spans="1:43" ht="15" customHeight="1" x14ac:dyDescent="0.25">
      <c r="A599" t="s">
        <v>702</v>
      </c>
      <c r="B599" t="s">
        <v>98</v>
      </c>
      <c r="C599" t="s">
        <v>79</v>
      </c>
      <c r="E599" s="72">
        <v>1</v>
      </c>
      <c r="F599" t="s">
        <v>98</v>
      </c>
      <c r="G599" t="s">
        <v>134</v>
      </c>
      <c r="I599" s="171">
        <v>58</v>
      </c>
      <c r="J599" s="171" t="s">
        <v>98</v>
      </c>
      <c r="K599" s="171" t="s">
        <v>123</v>
      </c>
      <c r="M599" s="171">
        <v>5</v>
      </c>
      <c r="N599" s="171" t="s">
        <v>97</v>
      </c>
      <c r="O599" s="171" t="s">
        <v>134</v>
      </c>
      <c r="Q599" s="298">
        <v>62</v>
      </c>
      <c r="R599" s="298" t="s">
        <v>97</v>
      </c>
      <c r="S599" s="397" t="s">
        <v>688</v>
      </c>
      <c r="U599"/>
      <c r="V599"/>
      <c r="W599"/>
      <c r="Y599" s="171">
        <v>24</v>
      </c>
      <c r="Z599" s="171" t="s">
        <v>97</v>
      </c>
      <c r="AA599" s="171" t="s">
        <v>688</v>
      </c>
      <c r="AC599" s="505">
        <v>31</v>
      </c>
      <c r="AD599" s="505" t="s">
        <v>98</v>
      </c>
      <c r="AE599" s="505" t="s">
        <v>55</v>
      </c>
      <c r="AG599" s="171">
        <v>18</v>
      </c>
      <c r="AH599" s="171" t="s">
        <v>98</v>
      </c>
      <c r="AI599" s="505" t="s">
        <v>55</v>
      </c>
      <c r="AK599" s="299" t="s">
        <v>1350</v>
      </c>
      <c r="AL599" s="299" t="s">
        <v>82</v>
      </c>
      <c r="AM599" s="299" t="s">
        <v>79</v>
      </c>
      <c r="AO599" s="299">
        <v>58</v>
      </c>
      <c r="AP599" s="299" t="s">
        <v>82</v>
      </c>
      <c r="AQ599" s="299" t="s">
        <v>688</v>
      </c>
    </row>
    <row r="600" spans="1:43" ht="15" customHeight="1" x14ac:dyDescent="0.25">
      <c r="A600" t="s">
        <v>698</v>
      </c>
      <c r="B600" t="s">
        <v>98</v>
      </c>
      <c r="C600" t="s">
        <v>79</v>
      </c>
      <c r="E600" s="72">
        <v>1</v>
      </c>
      <c r="F600" t="s">
        <v>97</v>
      </c>
      <c r="G600" t="s">
        <v>134</v>
      </c>
      <c r="I600" s="171">
        <v>57</v>
      </c>
      <c r="J600" s="171" t="s">
        <v>98</v>
      </c>
      <c r="K600" s="171" t="s">
        <v>123</v>
      </c>
      <c r="M600" s="171">
        <v>2</v>
      </c>
      <c r="N600" s="171" t="s">
        <v>97</v>
      </c>
      <c r="O600" s="171" t="s">
        <v>134</v>
      </c>
      <c r="Q600" s="298">
        <v>17</v>
      </c>
      <c r="R600" s="298" t="s">
        <v>98</v>
      </c>
      <c r="S600" s="397" t="s">
        <v>688</v>
      </c>
      <c r="U600"/>
      <c r="V600"/>
      <c r="W600"/>
      <c r="Y600" s="171">
        <v>82</v>
      </c>
      <c r="Z600" s="171" t="s">
        <v>97</v>
      </c>
      <c r="AA600" s="171" t="s">
        <v>688</v>
      </c>
      <c r="AC600" s="505">
        <v>26</v>
      </c>
      <c r="AD600" s="505" t="s">
        <v>98</v>
      </c>
      <c r="AE600" s="505" t="s">
        <v>55</v>
      </c>
      <c r="AG600" s="171">
        <v>21</v>
      </c>
      <c r="AH600" s="171" t="s">
        <v>98</v>
      </c>
      <c r="AI600" s="505" t="s">
        <v>55</v>
      </c>
      <c r="AK600" s="299" t="s">
        <v>1350</v>
      </c>
      <c r="AL600" s="299" t="s">
        <v>82</v>
      </c>
      <c r="AM600" s="299" t="s">
        <v>79</v>
      </c>
      <c r="AO600" s="299">
        <v>64</v>
      </c>
      <c r="AP600" s="299" t="s">
        <v>81</v>
      </c>
      <c r="AQ600" s="299" t="s">
        <v>688</v>
      </c>
    </row>
    <row r="601" spans="1:43" ht="15" customHeight="1" x14ac:dyDescent="0.25">
      <c r="A601" t="s">
        <v>694</v>
      </c>
      <c r="B601" t="s">
        <v>98</v>
      </c>
      <c r="C601" t="s">
        <v>79</v>
      </c>
      <c r="E601" s="72">
        <v>1</v>
      </c>
      <c r="F601" t="s">
        <v>97</v>
      </c>
      <c r="G601" t="s">
        <v>134</v>
      </c>
      <c r="I601" s="171">
        <v>90</v>
      </c>
      <c r="J601" s="171" t="s">
        <v>98</v>
      </c>
      <c r="K601" s="171" t="s">
        <v>123</v>
      </c>
      <c r="M601" s="171" t="s">
        <v>692</v>
      </c>
      <c r="N601" s="171" t="s">
        <v>98</v>
      </c>
      <c r="O601" s="171" t="s">
        <v>134</v>
      </c>
      <c r="Q601" s="298">
        <v>5</v>
      </c>
      <c r="R601" s="298" t="s">
        <v>97</v>
      </c>
      <c r="S601" s="397" t="s">
        <v>688</v>
      </c>
      <c r="U601"/>
      <c r="V601"/>
      <c r="W601"/>
      <c r="Y601" s="171">
        <v>65</v>
      </c>
      <c r="Z601" s="171" t="s">
        <v>97</v>
      </c>
      <c r="AA601" s="171" t="s">
        <v>688</v>
      </c>
      <c r="AC601" s="505">
        <v>27</v>
      </c>
      <c r="AD601" s="505" t="s">
        <v>98</v>
      </c>
      <c r="AE601" s="505" t="s">
        <v>55</v>
      </c>
      <c r="AG601" s="171">
        <v>23</v>
      </c>
      <c r="AH601" s="171" t="s">
        <v>98</v>
      </c>
      <c r="AI601" s="505" t="s">
        <v>55</v>
      </c>
      <c r="AK601" s="299" t="s">
        <v>1350</v>
      </c>
      <c r="AL601" s="299" t="s">
        <v>81</v>
      </c>
      <c r="AM601" s="299" t="s">
        <v>79</v>
      </c>
      <c r="AO601" s="299">
        <v>45</v>
      </c>
      <c r="AP601" s="299" t="s">
        <v>81</v>
      </c>
      <c r="AQ601" s="299" t="s">
        <v>688</v>
      </c>
    </row>
    <row r="602" spans="1:43" ht="15" customHeight="1" x14ac:dyDescent="0.25">
      <c r="A602" t="s">
        <v>684</v>
      </c>
      <c r="B602" t="s">
        <v>98</v>
      </c>
      <c r="C602" t="s">
        <v>79</v>
      </c>
      <c r="I602" s="171">
        <v>66</v>
      </c>
      <c r="J602" s="171" t="s">
        <v>98</v>
      </c>
      <c r="K602" s="171" t="s">
        <v>123</v>
      </c>
      <c r="M602" s="171">
        <v>2</v>
      </c>
      <c r="N602" s="171" t="s">
        <v>97</v>
      </c>
      <c r="O602" s="171" t="s">
        <v>134</v>
      </c>
      <c r="Q602" s="298">
        <v>68</v>
      </c>
      <c r="R602" s="298" t="s">
        <v>97</v>
      </c>
      <c r="S602" s="397" t="s">
        <v>688</v>
      </c>
      <c r="U602"/>
      <c r="V602"/>
      <c r="W602"/>
      <c r="Y602" s="171">
        <v>6</v>
      </c>
      <c r="Z602" s="171" t="s">
        <v>97</v>
      </c>
      <c r="AA602" s="171" t="s">
        <v>688</v>
      </c>
      <c r="AC602" s="505">
        <v>35</v>
      </c>
      <c r="AD602" s="505" t="s">
        <v>98</v>
      </c>
      <c r="AE602" s="505" t="s">
        <v>55</v>
      </c>
      <c r="AG602" s="171">
        <v>19</v>
      </c>
      <c r="AH602" s="171" t="s">
        <v>98</v>
      </c>
      <c r="AI602" s="505" t="s">
        <v>55</v>
      </c>
      <c r="AK602" s="299" t="s">
        <v>1350</v>
      </c>
      <c r="AL602" s="299" t="s">
        <v>81</v>
      </c>
      <c r="AM602" s="299" t="s">
        <v>79</v>
      </c>
      <c r="AO602" s="299">
        <v>48</v>
      </c>
      <c r="AP602" s="299" t="s">
        <v>81</v>
      </c>
      <c r="AQ602" s="299" t="s">
        <v>688</v>
      </c>
    </row>
    <row r="603" spans="1:43" ht="15" customHeight="1" x14ac:dyDescent="0.25">
      <c r="A603" t="s">
        <v>684</v>
      </c>
      <c r="B603" t="s">
        <v>97</v>
      </c>
      <c r="C603" t="s">
        <v>79</v>
      </c>
      <c r="I603" s="171">
        <v>57</v>
      </c>
      <c r="J603" s="171" t="s">
        <v>98</v>
      </c>
      <c r="K603" s="171" t="s">
        <v>123</v>
      </c>
      <c r="M603" s="171">
        <v>7</v>
      </c>
      <c r="N603" s="171" t="s">
        <v>97</v>
      </c>
      <c r="O603" s="171" t="s">
        <v>134</v>
      </c>
      <c r="Q603" s="298">
        <v>16</v>
      </c>
      <c r="R603" s="298" t="s">
        <v>98</v>
      </c>
      <c r="S603" s="397" t="s">
        <v>688</v>
      </c>
      <c r="U603"/>
      <c r="V603"/>
      <c r="W603"/>
      <c r="Y603" s="171">
        <v>34</v>
      </c>
      <c r="Z603" s="171" t="s">
        <v>98</v>
      </c>
      <c r="AA603" s="171" t="s">
        <v>688</v>
      </c>
      <c r="AC603" s="505">
        <v>23</v>
      </c>
      <c r="AD603" s="505" t="s">
        <v>98</v>
      </c>
      <c r="AE603" s="505" t="s">
        <v>55</v>
      </c>
      <c r="AG603" s="171">
        <v>21</v>
      </c>
      <c r="AH603" s="171" t="s">
        <v>98</v>
      </c>
      <c r="AI603" s="505" t="s">
        <v>55</v>
      </c>
      <c r="AK603" s="299" t="s">
        <v>1351</v>
      </c>
      <c r="AL603" s="299" t="s">
        <v>81</v>
      </c>
      <c r="AM603" s="299" t="s">
        <v>79</v>
      </c>
      <c r="AO603" s="299">
        <v>26</v>
      </c>
      <c r="AP603" s="299" t="s">
        <v>81</v>
      </c>
      <c r="AQ603" s="299" t="s">
        <v>688</v>
      </c>
    </row>
    <row r="604" spans="1:43" ht="15" customHeight="1" x14ac:dyDescent="0.25">
      <c r="A604" t="s">
        <v>694</v>
      </c>
      <c r="B604" t="s">
        <v>98</v>
      </c>
      <c r="C604" t="s">
        <v>79</v>
      </c>
      <c r="I604" s="171">
        <v>83</v>
      </c>
      <c r="J604" s="171" t="s">
        <v>98</v>
      </c>
      <c r="K604" s="171" t="s">
        <v>123</v>
      </c>
      <c r="M604" s="171">
        <v>9</v>
      </c>
      <c r="N604" s="171" t="s">
        <v>97</v>
      </c>
      <c r="O604" s="171" t="s">
        <v>134</v>
      </c>
      <c r="Q604" s="298">
        <v>55</v>
      </c>
      <c r="R604" s="298" t="s">
        <v>97</v>
      </c>
      <c r="S604" s="397" t="s">
        <v>688</v>
      </c>
      <c r="U604"/>
      <c r="V604"/>
      <c r="W604"/>
      <c r="Y604" s="171">
        <v>59</v>
      </c>
      <c r="Z604" s="171" t="s">
        <v>97</v>
      </c>
      <c r="AA604" s="171" t="s">
        <v>688</v>
      </c>
      <c r="AC604" s="505">
        <v>26</v>
      </c>
      <c r="AD604" s="505" t="s">
        <v>98</v>
      </c>
      <c r="AE604" s="505" t="s">
        <v>55</v>
      </c>
      <c r="AG604" s="171">
        <v>31</v>
      </c>
      <c r="AH604" s="171" t="s">
        <v>98</v>
      </c>
      <c r="AI604" s="505" t="s">
        <v>55</v>
      </c>
      <c r="AK604" s="299" t="s">
        <v>1350</v>
      </c>
      <c r="AL604" s="299" t="s">
        <v>82</v>
      </c>
      <c r="AM604" s="299" t="s">
        <v>79</v>
      </c>
      <c r="AO604" s="299">
        <v>17</v>
      </c>
      <c r="AP604" s="299" t="s">
        <v>81</v>
      </c>
      <c r="AQ604" s="299" t="s">
        <v>688</v>
      </c>
    </row>
    <row r="605" spans="1:43" ht="15" customHeight="1" x14ac:dyDescent="0.25">
      <c r="A605" t="s">
        <v>703</v>
      </c>
      <c r="B605" t="s">
        <v>97</v>
      </c>
      <c r="C605" t="s">
        <v>79</v>
      </c>
      <c r="G605" t="s">
        <v>40</v>
      </c>
      <c r="I605" s="171">
        <v>39</v>
      </c>
      <c r="J605" s="171" t="s">
        <v>98</v>
      </c>
      <c r="K605" s="171" t="s">
        <v>123</v>
      </c>
      <c r="M605" s="171">
        <v>1</v>
      </c>
      <c r="N605" s="171" t="s">
        <v>98</v>
      </c>
      <c r="O605" s="171" t="s">
        <v>134</v>
      </c>
      <c r="Q605" s="298">
        <v>8</v>
      </c>
      <c r="R605" s="298" t="s">
        <v>98</v>
      </c>
      <c r="S605" s="397" t="s">
        <v>688</v>
      </c>
      <c r="U605"/>
      <c r="V605"/>
      <c r="W605"/>
      <c r="Y605" s="171">
        <v>71</v>
      </c>
      <c r="Z605" s="171" t="s">
        <v>98</v>
      </c>
      <c r="AA605" s="171" t="s">
        <v>688</v>
      </c>
      <c r="AC605" s="505">
        <v>27</v>
      </c>
      <c r="AD605" s="505" t="s">
        <v>98</v>
      </c>
      <c r="AE605" s="505" t="s">
        <v>55</v>
      </c>
      <c r="AG605" s="171">
        <v>26</v>
      </c>
      <c r="AH605" s="171" t="s">
        <v>98</v>
      </c>
      <c r="AI605" s="505" t="s">
        <v>55</v>
      </c>
      <c r="AK605" s="299" t="s">
        <v>1352</v>
      </c>
      <c r="AL605" s="299" t="s">
        <v>82</v>
      </c>
      <c r="AM605" s="299" t="s">
        <v>79</v>
      </c>
      <c r="AO605" s="299">
        <v>19</v>
      </c>
      <c r="AP605" s="299" t="s">
        <v>82</v>
      </c>
      <c r="AQ605" s="299" t="s">
        <v>688</v>
      </c>
    </row>
    <row r="606" spans="1:43" ht="15" customHeight="1" x14ac:dyDescent="0.25">
      <c r="A606" t="s">
        <v>694</v>
      </c>
      <c r="B606" t="s">
        <v>98</v>
      </c>
      <c r="C606" t="s">
        <v>79</v>
      </c>
      <c r="I606" s="171">
        <v>80</v>
      </c>
      <c r="J606" s="171" t="s">
        <v>98</v>
      </c>
      <c r="K606" s="171" t="s">
        <v>123</v>
      </c>
      <c r="M606" s="171">
        <v>10</v>
      </c>
      <c r="N606" s="171" t="s">
        <v>97</v>
      </c>
      <c r="O606" s="171" t="s">
        <v>134</v>
      </c>
      <c r="Q606" s="298">
        <v>55</v>
      </c>
      <c r="R606" s="298" t="s">
        <v>98</v>
      </c>
      <c r="S606" s="397" t="s">
        <v>688</v>
      </c>
      <c r="U606"/>
      <c r="V606"/>
      <c r="W606"/>
      <c r="Y606" s="171">
        <v>53</v>
      </c>
      <c r="Z606" s="171" t="s">
        <v>97</v>
      </c>
      <c r="AA606" s="171" t="s">
        <v>688</v>
      </c>
      <c r="AC606" s="505">
        <v>27</v>
      </c>
      <c r="AD606" s="505" t="s">
        <v>98</v>
      </c>
      <c r="AE606" s="505" t="s">
        <v>55</v>
      </c>
      <c r="AG606" s="171">
        <v>20</v>
      </c>
      <c r="AH606" s="171" t="s">
        <v>98</v>
      </c>
      <c r="AI606" s="505" t="s">
        <v>55</v>
      </c>
      <c r="AK606" s="299" t="s">
        <v>1350</v>
      </c>
      <c r="AL606" s="299" t="s">
        <v>81</v>
      </c>
      <c r="AM606" s="299" t="s">
        <v>79</v>
      </c>
      <c r="AO606" s="299">
        <v>5</v>
      </c>
      <c r="AP606" s="299" t="s">
        <v>81</v>
      </c>
      <c r="AQ606" s="299" t="s">
        <v>688</v>
      </c>
    </row>
    <row r="607" spans="1:43" ht="15" customHeight="1" x14ac:dyDescent="0.25">
      <c r="A607" t="s">
        <v>694</v>
      </c>
      <c r="B607" t="s">
        <v>98</v>
      </c>
      <c r="C607" t="s">
        <v>79</v>
      </c>
      <c r="I607" s="171">
        <v>37</v>
      </c>
      <c r="J607" s="171" t="s">
        <v>98</v>
      </c>
      <c r="K607" s="171" t="s">
        <v>123</v>
      </c>
      <c r="M607" s="171" t="s">
        <v>690</v>
      </c>
      <c r="N607" s="171" t="s">
        <v>98</v>
      </c>
      <c r="O607" s="171" t="s">
        <v>134</v>
      </c>
      <c r="Q607" s="298">
        <v>27</v>
      </c>
      <c r="R607" s="298" t="s">
        <v>98</v>
      </c>
      <c r="S607" s="397" t="s">
        <v>688</v>
      </c>
      <c r="U607"/>
      <c r="V607"/>
      <c r="W607"/>
      <c r="Y607" s="171">
        <v>73</v>
      </c>
      <c r="Z607" s="171" t="s">
        <v>97</v>
      </c>
      <c r="AA607" s="171" t="s">
        <v>688</v>
      </c>
      <c r="AC607" s="505">
        <v>20</v>
      </c>
      <c r="AD607" s="505" t="s">
        <v>98</v>
      </c>
      <c r="AE607" s="505" t="s">
        <v>55</v>
      </c>
      <c r="AG607" s="171">
        <v>23</v>
      </c>
      <c r="AH607" s="171" t="s">
        <v>98</v>
      </c>
      <c r="AI607" s="505" t="s">
        <v>55</v>
      </c>
      <c r="AK607" s="299" t="s">
        <v>1350</v>
      </c>
      <c r="AL607" s="299" t="s">
        <v>82</v>
      </c>
      <c r="AM607" s="299" t="s">
        <v>79</v>
      </c>
      <c r="AO607" s="299">
        <v>10</v>
      </c>
      <c r="AP607" s="299" t="s">
        <v>82</v>
      </c>
      <c r="AQ607" s="299" t="s">
        <v>688</v>
      </c>
    </row>
    <row r="608" spans="1:43" ht="15" customHeight="1" x14ac:dyDescent="0.25">
      <c r="A608" t="s">
        <v>694</v>
      </c>
      <c r="B608" t="s">
        <v>97</v>
      </c>
      <c r="C608" t="s">
        <v>79</v>
      </c>
      <c r="I608" s="171">
        <v>29</v>
      </c>
      <c r="J608" s="171" t="s">
        <v>98</v>
      </c>
      <c r="K608" s="171" t="s">
        <v>123</v>
      </c>
      <c r="M608" s="171">
        <v>10</v>
      </c>
      <c r="N608" s="171" t="s">
        <v>98</v>
      </c>
      <c r="O608" s="171" t="s">
        <v>134</v>
      </c>
      <c r="Q608" s="298">
        <v>52</v>
      </c>
      <c r="R608" s="298" t="s">
        <v>98</v>
      </c>
      <c r="S608" s="397" t="s">
        <v>688</v>
      </c>
      <c r="U608"/>
      <c r="V608"/>
      <c r="W608"/>
      <c r="Y608" s="171">
        <v>40</v>
      </c>
      <c r="Z608" s="171" t="s">
        <v>98</v>
      </c>
      <c r="AA608" s="171" t="s">
        <v>688</v>
      </c>
      <c r="AC608" s="505">
        <v>20</v>
      </c>
      <c r="AD608" s="505" t="s">
        <v>98</v>
      </c>
      <c r="AE608" s="505" t="s">
        <v>55</v>
      </c>
      <c r="AG608" s="171">
        <v>39</v>
      </c>
      <c r="AH608" s="171" t="s">
        <v>98</v>
      </c>
      <c r="AI608" s="505" t="s">
        <v>55</v>
      </c>
      <c r="AK608" s="299" t="s">
        <v>1353</v>
      </c>
      <c r="AL608" s="299" t="s">
        <v>82</v>
      </c>
      <c r="AM608" s="299" t="s">
        <v>79</v>
      </c>
      <c r="AO608" s="299">
        <v>77</v>
      </c>
      <c r="AP608" s="299" t="s">
        <v>81</v>
      </c>
      <c r="AQ608" s="299" t="s">
        <v>688</v>
      </c>
    </row>
    <row r="609" spans="1:43" ht="15" customHeight="1" x14ac:dyDescent="0.25">
      <c r="A609" t="s">
        <v>694</v>
      </c>
      <c r="B609" t="s">
        <v>97</v>
      </c>
      <c r="C609" t="s">
        <v>79</v>
      </c>
      <c r="I609" s="171">
        <v>52</v>
      </c>
      <c r="J609" s="171" t="s">
        <v>98</v>
      </c>
      <c r="K609" s="171" t="s">
        <v>123</v>
      </c>
      <c r="M609" s="171">
        <v>9</v>
      </c>
      <c r="N609" s="171" t="s">
        <v>98</v>
      </c>
      <c r="O609" s="171" t="s">
        <v>134</v>
      </c>
      <c r="Q609" s="298">
        <v>8</v>
      </c>
      <c r="R609" s="298" t="s">
        <v>98</v>
      </c>
      <c r="S609" s="397" t="s">
        <v>688</v>
      </c>
      <c r="U609"/>
      <c r="V609"/>
      <c r="W609"/>
      <c r="Y609" s="171">
        <v>17</v>
      </c>
      <c r="Z609" s="171" t="s">
        <v>97</v>
      </c>
      <c r="AA609" s="171" t="s">
        <v>688</v>
      </c>
      <c r="AC609" s="505" t="s">
        <v>694</v>
      </c>
      <c r="AD609" s="505" t="s">
        <v>97</v>
      </c>
      <c r="AE609" s="505" t="s">
        <v>79</v>
      </c>
      <c r="AG609" s="171">
        <v>32</v>
      </c>
      <c r="AH609" s="171" t="s">
        <v>98</v>
      </c>
      <c r="AI609" s="505" t="s">
        <v>55</v>
      </c>
      <c r="AK609" s="299" t="s">
        <v>1354</v>
      </c>
      <c r="AL609" s="299" t="s">
        <v>82</v>
      </c>
      <c r="AM609" s="299" t="s">
        <v>79</v>
      </c>
      <c r="AO609" s="299">
        <v>26</v>
      </c>
      <c r="AP609" s="299" t="s">
        <v>81</v>
      </c>
      <c r="AQ609" s="299" t="s">
        <v>688</v>
      </c>
    </row>
    <row r="610" spans="1:43" ht="15" customHeight="1" x14ac:dyDescent="0.25">
      <c r="I610" s="171">
        <v>18</v>
      </c>
      <c r="J610" s="171" t="s">
        <v>98</v>
      </c>
      <c r="K610" s="171" t="s">
        <v>123</v>
      </c>
      <c r="M610" s="171">
        <v>1</v>
      </c>
      <c r="N610" s="171" t="s">
        <v>98</v>
      </c>
      <c r="O610" s="171" t="s">
        <v>134</v>
      </c>
      <c r="Q610" s="298">
        <v>62</v>
      </c>
      <c r="R610" s="298" t="s">
        <v>97</v>
      </c>
      <c r="S610" s="397" t="s">
        <v>688</v>
      </c>
      <c r="U610"/>
      <c r="V610"/>
      <c r="W610"/>
      <c r="Y610" s="171">
        <v>21</v>
      </c>
      <c r="Z610" s="171" t="s">
        <v>98</v>
      </c>
      <c r="AA610" s="171" t="s">
        <v>688</v>
      </c>
      <c r="AC610" s="505" t="s">
        <v>694</v>
      </c>
      <c r="AD610" s="505" t="s">
        <v>98</v>
      </c>
      <c r="AE610" s="505" t="s">
        <v>79</v>
      </c>
      <c r="AG610" s="171">
        <v>18</v>
      </c>
      <c r="AH610" s="171" t="s">
        <v>98</v>
      </c>
      <c r="AI610" s="505" t="s">
        <v>55</v>
      </c>
      <c r="AK610" s="299" t="s">
        <v>1355</v>
      </c>
      <c r="AL610" s="299" t="s">
        <v>82</v>
      </c>
      <c r="AM610" s="299" t="s">
        <v>79</v>
      </c>
      <c r="AO610" s="299">
        <v>6</v>
      </c>
      <c r="AP610" s="299" t="s">
        <v>81</v>
      </c>
      <c r="AQ610" s="299" t="s">
        <v>688</v>
      </c>
    </row>
    <row r="611" spans="1:43" ht="15" customHeight="1" x14ac:dyDescent="0.25">
      <c r="I611" s="171">
        <v>51</v>
      </c>
      <c r="J611" s="171" t="s">
        <v>98</v>
      </c>
      <c r="K611" s="171" t="s">
        <v>123</v>
      </c>
      <c r="M611" s="171">
        <v>1</v>
      </c>
      <c r="N611" s="171" t="s">
        <v>98</v>
      </c>
      <c r="O611" s="171" t="s">
        <v>134</v>
      </c>
      <c r="Q611" s="298">
        <v>54</v>
      </c>
      <c r="R611" s="298" t="s">
        <v>97</v>
      </c>
      <c r="S611" s="397" t="s">
        <v>688</v>
      </c>
      <c r="U611"/>
      <c r="V611"/>
      <c r="W611"/>
      <c r="Y611" s="171">
        <v>65</v>
      </c>
      <c r="Z611" s="171" t="s">
        <v>98</v>
      </c>
      <c r="AA611" s="171" t="s">
        <v>688</v>
      </c>
      <c r="AC611" s="505" t="s">
        <v>698</v>
      </c>
      <c r="AD611" s="505" t="s">
        <v>98</v>
      </c>
      <c r="AE611" s="505" t="s">
        <v>79</v>
      </c>
      <c r="AG611" s="171">
        <v>25</v>
      </c>
      <c r="AH611" s="171" t="s">
        <v>98</v>
      </c>
      <c r="AI611" s="505" t="s">
        <v>55</v>
      </c>
      <c r="AK611" s="299" t="s">
        <v>1350</v>
      </c>
      <c r="AL611" s="299" t="s">
        <v>81</v>
      </c>
      <c r="AM611" s="299" t="s">
        <v>79</v>
      </c>
      <c r="AO611" s="299">
        <v>38</v>
      </c>
      <c r="AP611" s="299" t="s">
        <v>82</v>
      </c>
      <c r="AQ611" s="299" t="s">
        <v>688</v>
      </c>
    </row>
    <row r="612" spans="1:43" ht="15" customHeight="1" x14ac:dyDescent="0.25">
      <c r="I612" s="171">
        <v>22</v>
      </c>
      <c r="J612" s="171" t="s">
        <v>98</v>
      </c>
      <c r="K612" s="171" t="s">
        <v>123</v>
      </c>
      <c r="M612" s="171">
        <v>7</v>
      </c>
      <c r="N612" s="171" t="s">
        <v>97</v>
      </c>
      <c r="O612" s="171" t="s">
        <v>134</v>
      </c>
      <c r="Q612" s="298">
        <v>18</v>
      </c>
      <c r="R612" s="298" t="s">
        <v>98</v>
      </c>
      <c r="S612" s="397" t="s">
        <v>688</v>
      </c>
      <c r="U612"/>
      <c r="V612"/>
      <c r="W612"/>
      <c r="Y612" s="171">
        <v>77</v>
      </c>
      <c r="Z612" s="171" t="s">
        <v>98</v>
      </c>
      <c r="AA612" s="171" t="s">
        <v>688</v>
      </c>
      <c r="AC612" s="505" t="s">
        <v>698</v>
      </c>
      <c r="AD612" s="505" t="s">
        <v>98</v>
      </c>
      <c r="AE612" s="505" t="s">
        <v>79</v>
      </c>
      <c r="AG612" s="171" t="s">
        <v>694</v>
      </c>
      <c r="AH612" s="171" t="s">
        <v>97</v>
      </c>
      <c r="AI612" s="171" t="s">
        <v>79</v>
      </c>
      <c r="AK612" s="299" t="s">
        <v>1353</v>
      </c>
      <c r="AL612" s="299" t="s">
        <v>82</v>
      </c>
      <c r="AM612" s="299" t="s">
        <v>79</v>
      </c>
      <c r="AO612" s="299">
        <v>48</v>
      </c>
      <c r="AP612" s="299" t="s">
        <v>82</v>
      </c>
      <c r="AQ612" s="299" t="s">
        <v>688</v>
      </c>
    </row>
    <row r="613" spans="1:43" ht="15" customHeight="1" x14ac:dyDescent="0.25">
      <c r="I613" s="171">
        <v>35</v>
      </c>
      <c r="J613" s="171" t="s">
        <v>98</v>
      </c>
      <c r="K613" s="171" t="s">
        <v>123</v>
      </c>
      <c r="M613" s="171">
        <v>5</v>
      </c>
      <c r="N613" s="171" t="s">
        <v>97</v>
      </c>
      <c r="O613" s="171" t="s">
        <v>134</v>
      </c>
      <c r="Q613" s="298">
        <v>54</v>
      </c>
      <c r="R613" s="298" t="s">
        <v>97</v>
      </c>
      <c r="S613" s="397" t="s">
        <v>688</v>
      </c>
      <c r="U613"/>
      <c r="V613"/>
      <c r="W613"/>
      <c r="Y613" s="171">
        <v>25</v>
      </c>
      <c r="Z613" s="171" t="s">
        <v>97</v>
      </c>
      <c r="AA613" s="171" t="s">
        <v>688</v>
      </c>
      <c r="AC613" s="505" t="s">
        <v>694</v>
      </c>
      <c r="AD613" s="505" t="s">
        <v>97</v>
      </c>
      <c r="AE613" s="505" t="s">
        <v>79</v>
      </c>
      <c r="AG613" s="171" t="s">
        <v>694</v>
      </c>
      <c r="AH613" s="171" t="s">
        <v>97</v>
      </c>
      <c r="AI613" s="171" t="s">
        <v>79</v>
      </c>
      <c r="AK613" s="299" t="s">
        <v>1350</v>
      </c>
      <c r="AL613" s="299" t="s">
        <v>81</v>
      </c>
      <c r="AM613" s="299" t="s">
        <v>79</v>
      </c>
      <c r="AO613" s="299">
        <v>10</v>
      </c>
      <c r="AP613" s="299" t="s">
        <v>82</v>
      </c>
      <c r="AQ613" s="299" t="s">
        <v>688</v>
      </c>
    </row>
    <row r="614" spans="1:43" ht="15" customHeight="1" x14ac:dyDescent="0.25">
      <c r="I614" s="171">
        <v>49</v>
      </c>
      <c r="J614" s="171" t="s">
        <v>98</v>
      </c>
      <c r="K614" s="171" t="s">
        <v>123</v>
      </c>
      <c r="M614" s="171">
        <v>3</v>
      </c>
      <c r="N614" s="171" t="s">
        <v>98</v>
      </c>
      <c r="O614" s="171" t="s">
        <v>134</v>
      </c>
      <c r="Q614" s="298">
        <v>67</v>
      </c>
      <c r="R614" s="298" t="s">
        <v>98</v>
      </c>
      <c r="S614" s="397" t="s">
        <v>688</v>
      </c>
      <c r="U614"/>
      <c r="V614"/>
      <c r="W614"/>
      <c r="Y614" s="171">
        <v>59</v>
      </c>
      <c r="Z614" s="171" t="s">
        <v>97</v>
      </c>
      <c r="AA614" s="171" t="s">
        <v>688</v>
      </c>
      <c r="AC614" s="505" t="s">
        <v>684</v>
      </c>
      <c r="AD614" s="505" t="s">
        <v>97</v>
      </c>
      <c r="AE614" s="505" t="s">
        <v>79</v>
      </c>
      <c r="AG614" s="171" t="s">
        <v>694</v>
      </c>
      <c r="AH614" s="171" t="s">
        <v>97</v>
      </c>
      <c r="AI614" s="171" t="s">
        <v>79</v>
      </c>
      <c r="AK614" s="299" t="s">
        <v>1350</v>
      </c>
      <c r="AL614" s="299" t="s">
        <v>82</v>
      </c>
      <c r="AM614" s="299" t="s">
        <v>79</v>
      </c>
      <c r="AO614" s="299">
        <v>34</v>
      </c>
      <c r="AP614" s="299" t="s">
        <v>81</v>
      </c>
      <c r="AQ614" s="299" t="s">
        <v>688</v>
      </c>
    </row>
    <row r="615" spans="1:43" ht="15" customHeight="1" x14ac:dyDescent="0.25">
      <c r="I615" s="171">
        <v>23</v>
      </c>
      <c r="J615" s="171" t="s">
        <v>98</v>
      </c>
      <c r="K615" s="171" t="s">
        <v>123</v>
      </c>
      <c r="M615" s="171">
        <v>3</v>
      </c>
      <c r="N615" s="171" t="s">
        <v>97</v>
      </c>
      <c r="O615" s="171" t="s">
        <v>134</v>
      </c>
      <c r="Q615" s="298">
        <v>41</v>
      </c>
      <c r="R615" s="298" t="s">
        <v>98</v>
      </c>
      <c r="S615" s="397" t="s">
        <v>688</v>
      </c>
      <c r="U615"/>
      <c r="V615"/>
      <c r="W615"/>
      <c r="Y615" s="171">
        <v>69</v>
      </c>
      <c r="Z615" s="171" t="s">
        <v>98</v>
      </c>
      <c r="AA615" s="171" t="s">
        <v>688</v>
      </c>
      <c r="AC615" s="505" t="s">
        <v>694</v>
      </c>
      <c r="AD615" s="505" t="s">
        <v>98</v>
      </c>
      <c r="AE615" s="505" t="s">
        <v>79</v>
      </c>
      <c r="AG615" s="171" t="s">
        <v>694</v>
      </c>
      <c r="AH615" s="171" t="s">
        <v>98</v>
      </c>
      <c r="AI615" s="171" t="s">
        <v>79</v>
      </c>
      <c r="AK615" s="299" t="s">
        <v>1353</v>
      </c>
      <c r="AL615" s="299" t="s">
        <v>82</v>
      </c>
      <c r="AM615" s="299" t="s">
        <v>79</v>
      </c>
      <c r="AO615" s="299">
        <v>56</v>
      </c>
      <c r="AP615" s="299" t="s">
        <v>82</v>
      </c>
      <c r="AQ615" s="299" t="s">
        <v>122</v>
      </c>
    </row>
    <row r="616" spans="1:43" ht="15" customHeight="1" x14ac:dyDescent="0.25">
      <c r="I616" s="171">
        <v>68</v>
      </c>
      <c r="J616" s="171" t="s">
        <v>98</v>
      </c>
      <c r="K616" s="171" t="s">
        <v>123</v>
      </c>
      <c r="M616" s="171">
        <v>12</v>
      </c>
      <c r="N616" s="171" t="s">
        <v>97</v>
      </c>
      <c r="O616" s="171" t="s">
        <v>134</v>
      </c>
      <c r="Q616" s="298">
        <v>12</v>
      </c>
      <c r="R616" s="298" t="s">
        <v>98</v>
      </c>
      <c r="S616" s="397" t="s">
        <v>688</v>
      </c>
      <c r="U616"/>
      <c r="V616"/>
      <c r="W616"/>
      <c r="Y616" s="171">
        <v>76</v>
      </c>
      <c r="Z616" s="171" t="s">
        <v>97</v>
      </c>
      <c r="AA616" s="171" t="s">
        <v>688</v>
      </c>
      <c r="AC616" s="505" t="s">
        <v>694</v>
      </c>
      <c r="AD616" s="505" t="s">
        <v>97</v>
      </c>
      <c r="AE616" s="505" t="s">
        <v>79</v>
      </c>
      <c r="AG616" s="171" t="s">
        <v>694</v>
      </c>
      <c r="AH616" s="171" t="s">
        <v>98</v>
      </c>
      <c r="AI616" s="171" t="s">
        <v>79</v>
      </c>
      <c r="AK616" s="299" t="s">
        <v>1350</v>
      </c>
      <c r="AL616" s="299" t="s">
        <v>82</v>
      </c>
      <c r="AM616" s="299" t="s">
        <v>79</v>
      </c>
      <c r="AO616" s="299">
        <v>16</v>
      </c>
      <c r="AP616" s="299" t="s">
        <v>82</v>
      </c>
      <c r="AQ616" s="299" t="s">
        <v>122</v>
      </c>
    </row>
    <row r="617" spans="1:43" ht="15" customHeight="1" x14ac:dyDescent="0.25">
      <c r="I617" s="171">
        <v>52</v>
      </c>
      <c r="J617" s="171" t="s">
        <v>98</v>
      </c>
      <c r="K617" s="171" t="s">
        <v>123</v>
      </c>
      <c r="M617" s="171">
        <v>2</v>
      </c>
      <c r="N617" s="171" t="s">
        <v>97</v>
      </c>
      <c r="O617" s="171" t="s">
        <v>134</v>
      </c>
      <c r="Q617" s="298">
        <v>19</v>
      </c>
      <c r="R617" s="298" t="s">
        <v>98</v>
      </c>
      <c r="S617" s="397" t="s">
        <v>688</v>
      </c>
      <c r="U617"/>
      <c r="V617"/>
      <c r="W617"/>
      <c r="Y617" s="171">
        <v>72</v>
      </c>
      <c r="Z617" s="171" t="s">
        <v>98</v>
      </c>
      <c r="AA617" s="171" t="s">
        <v>688</v>
      </c>
      <c r="AC617" s="505" t="s">
        <v>697</v>
      </c>
      <c r="AD617" s="505" t="s">
        <v>98</v>
      </c>
      <c r="AE617" s="505" t="s">
        <v>79</v>
      </c>
      <c r="AG617" s="171" t="s">
        <v>694</v>
      </c>
      <c r="AH617" s="171" t="s">
        <v>97</v>
      </c>
      <c r="AI617" s="171" t="s">
        <v>79</v>
      </c>
      <c r="AK617" s="299" t="s">
        <v>1356</v>
      </c>
      <c r="AL617" s="299" t="s">
        <v>82</v>
      </c>
      <c r="AM617" s="299" t="s">
        <v>79</v>
      </c>
      <c r="AO617" s="299">
        <v>87</v>
      </c>
      <c r="AP617" s="299" t="s">
        <v>82</v>
      </c>
      <c r="AQ617" s="299" t="s">
        <v>122</v>
      </c>
    </row>
    <row r="618" spans="1:43" ht="15" customHeight="1" x14ac:dyDescent="0.25">
      <c r="I618" s="171">
        <v>67</v>
      </c>
      <c r="J618" s="171" t="s">
        <v>98</v>
      </c>
      <c r="K618" s="171" t="s">
        <v>123</v>
      </c>
      <c r="M618" s="171">
        <v>8</v>
      </c>
      <c r="N618" s="171" t="s">
        <v>97</v>
      </c>
      <c r="O618" s="171" t="s">
        <v>134</v>
      </c>
      <c r="Q618" s="298">
        <v>66</v>
      </c>
      <c r="R618" s="298" t="s">
        <v>98</v>
      </c>
      <c r="S618" s="397" t="s">
        <v>688</v>
      </c>
      <c r="U618"/>
      <c r="V618"/>
      <c r="W618"/>
      <c r="Y618" s="171">
        <v>62</v>
      </c>
      <c r="Z618" s="171" t="s">
        <v>98</v>
      </c>
      <c r="AA618" s="171" t="s">
        <v>688</v>
      </c>
      <c r="AC618" s="505" t="s">
        <v>694</v>
      </c>
      <c r="AD618" s="505" t="s">
        <v>97</v>
      </c>
      <c r="AE618" s="505" t="s">
        <v>79</v>
      </c>
      <c r="AG618" s="171" t="s">
        <v>698</v>
      </c>
      <c r="AH618" s="171" t="s">
        <v>97</v>
      </c>
      <c r="AI618" s="171" t="s">
        <v>79</v>
      </c>
      <c r="AK618" s="299" t="s">
        <v>1350</v>
      </c>
      <c r="AL618" s="299" t="s">
        <v>81</v>
      </c>
      <c r="AM618" s="299" t="s">
        <v>79</v>
      </c>
      <c r="AO618" s="299">
        <v>21</v>
      </c>
      <c r="AP618" s="299" t="s">
        <v>82</v>
      </c>
      <c r="AQ618" s="299" t="s">
        <v>122</v>
      </c>
    </row>
    <row r="619" spans="1:43" ht="15" customHeight="1" x14ac:dyDescent="0.25">
      <c r="I619" s="171">
        <v>62</v>
      </c>
      <c r="J619" s="171" t="s">
        <v>98</v>
      </c>
      <c r="K619" s="171" t="s">
        <v>123</v>
      </c>
      <c r="M619" s="171">
        <v>1</v>
      </c>
      <c r="N619" s="171" t="s">
        <v>97</v>
      </c>
      <c r="O619" s="171" t="s">
        <v>134</v>
      </c>
      <c r="Q619" s="298">
        <v>53</v>
      </c>
      <c r="R619" s="298" t="s">
        <v>97</v>
      </c>
      <c r="S619" s="397" t="s">
        <v>688</v>
      </c>
      <c r="U619"/>
      <c r="V619"/>
      <c r="W619"/>
      <c r="Y619" s="171">
        <v>18</v>
      </c>
      <c r="Z619" s="171" t="s">
        <v>98</v>
      </c>
      <c r="AA619" s="171" t="s">
        <v>688</v>
      </c>
      <c r="AC619" s="505" t="s">
        <v>694</v>
      </c>
      <c r="AD619" s="505" t="s">
        <v>98</v>
      </c>
      <c r="AE619" s="505" t="s">
        <v>79</v>
      </c>
      <c r="AG619" s="171" t="s">
        <v>694</v>
      </c>
      <c r="AH619" s="171" t="s">
        <v>97</v>
      </c>
      <c r="AI619" s="171" t="s">
        <v>79</v>
      </c>
      <c r="AK619" s="299" t="s">
        <v>1350</v>
      </c>
      <c r="AL619" s="299" t="s">
        <v>82</v>
      </c>
      <c r="AM619" s="299" t="s">
        <v>79</v>
      </c>
      <c r="AO619" s="299">
        <v>15</v>
      </c>
      <c r="AP619" s="299" t="s">
        <v>82</v>
      </c>
      <c r="AQ619" s="299" t="s">
        <v>122</v>
      </c>
    </row>
    <row r="620" spans="1:43" ht="15" customHeight="1" x14ac:dyDescent="0.25">
      <c r="I620" s="171">
        <v>58</v>
      </c>
      <c r="J620" s="171" t="s">
        <v>98</v>
      </c>
      <c r="K620" s="171" t="s">
        <v>123</v>
      </c>
      <c r="M620" s="171">
        <v>3</v>
      </c>
      <c r="N620" s="171" t="s">
        <v>98</v>
      </c>
      <c r="O620" s="171" t="s">
        <v>134</v>
      </c>
      <c r="Q620" s="298">
        <v>66</v>
      </c>
      <c r="R620" s="298" t="s">
        <v>97</v>
      </c>
      <c r="S620" s="397" t="s">
        <v>688</v>
      </c>
      <c r="U620"/>
      <c r="V620"/>
      <c r="W620"/>
      <c r="Y620" s="171">
        <v>11</v>
      </c>
      <c r="Z620" s="171" t="s">
        <v>97</v>
      </c>
      <c r="AA620" s="171" t="s">
        <v>688</v>
      </c>
      <c r="AC620" s="505" t="s">
        <v>694</v>
      </c>
      <c r="AD620" s="505" t="s">
        <v>97</v>
      </c>
      <c r="AE620" s="505" t="s">
        <v>79</v>
      </c>
      <c r="AG620" s="171" t="s">
        <v>694</v>
      </c>
      <c r="AH620" s="171" t="s">
        <v>98</v>
      </c>
      <c r="AI620" s="171" t="s">
        <v>79</v>
      </c>
      <c r="AK620" s="299" t="s">
        <v>1357</v>
      </c>
      <c r="AL620" s="299" t="s">
        <v>81</v>
      </c>
      <c r="AM620" s="299" t="s">
        <v>79</v>
      </c>
      <c r="AO620" s="299">
        <v>86</v>
      </c>
      <c r="AP620" s="299" t="s">
        <v>82</v>
      </c>
      <c r="AQ620" s="299" t="s">
        <v>122</v>
      </c>
    </row>
    <row r="621" spans="1:43" ht="15" customHeight="1" x14ac:dyDescent="0.25">
      <c r="I621" s="171">
        <v>52</v>
      </c>
      <c r="J621" s="171" t="s">
        <v>98</v>
      </c>
      <c r="K621" s="171" t="s">
        <v>123</v>
      </c>
      <c r="M621" s="171">
        <v>1</v>
      </c>
      <c r="N621" s="171" t="s">
        <v>98</v>
      </c>
      <c r="O621" s="171" t="s">
        <v>134</v>
      </c>
      <c r="Q621" s="298">
        <v>78</v>
      </c>
      <c r="R621" s="298" t="s">
        <v>98</v>
      </c>
      <c r="S621" s="397" t="s">
        <v>688</v>
      </c>
      <c r="U621"/>
      <c r="V621"/>
      <c r="W621"/>
      <c r="Y621" s="171">
        <v>72</v>
      </c>
      <c r="Z621" s="171" t="s">
        <v>97</v>
      </c>
      <c r="AA621" s="171" t="s">
        <v>688</v>
      </c>
      <c r="AC621" s="505" t="s">
        <v>694</v>
      </c>
      <c r="AD621" s="505" t="s">
        <v>97</v>
      </c>
      <c r="AE621" s="505" t="s">
        <v>79</v>
      </c>
      <c r="AG621" s="171" t="s">
        <v>694</v>
      </c>
      <c r="AH621" s="171" t="s">
        <v>97</v>
      </c>
      <c r="AI621" s="171" t="s">
        <v>79</v>
      </c>
      <c r="AK621" s="299" t="s">
        <v>1350</v>
      </c>
      <c r="AL621" s="299" t="s">
        <v>81</v>
      </c>
      <c r="AM621" s="299" t="s">
        <v>79</v>
      </c>
      <c r="AO621" s="299">
        <v>15</v>
      </c>
      <c r="AP621" s="299" t="s">
        <v>82</v>
      </c>
      <c r="AQ621" s="299" t="s">
        <v>122</v>
      </c>
    </row>
    <row r="622" spans="1:43" ht="15" customHeight="1" x14ac:dyDescent="0.25">
      <c r="I622" s="171">
        <v>38</v>
      </c>
      <c r="J622" s="171" t="s">
        <v>98</v>
      </c>
      <c r="K622" s="171" t="s">
        <v>123</v>
      </c>
      <c r="M622" s="171">
        <v>11</v>
      </c>
      <c r="N622" s="171" t="s">
        <v>97</v>
      </c>
      <c r="O622" s="171" t="s">
        <v>134</v>
      </c>
      <c r="Q622" s="298">
        <v>52</v>
      </c>
      <c r="R622" s="298" t="s">
        <v>98</v>
      </c>
      <c r="S622" s="397" t="s">
        <v>688</v>
      </c>
      <c r="U622"/>
      <c r="V622"/>
      <c r="W622"/>
      <c r="Y622" s="171">
        <v>48</v>
      </c>
      <c r="Z622" s="171" t="s">
        <v>97</v>
      </c>
      <c r="AA622" s="171" t="s">
        <v>688</v>
      </c>
      <c r="AC622" s="505" t="s">
        <v>712</v>
      </c>
      <c r="AD622" s="505" t="s">
        <v>97</v>
      </c>
      <c r="AE622" s="505" t="s">
        <v>79</v>
      </c>
      <c r="AG622" s="171" t="s">
        <v>956</v>
      </c>
      <c r="AH622" s="171" t="s">
        <v>97</v>
      </c>
      <c r="AI622" s="171" t="s">
        <v>79</v>
      </c>
      <c r="AK622" s="299" t="s">
        <v>1350</v>
      </c>
      <c r="AL622" s="299" t="s">
        <v>82</v>
      </c>
      <c r="AM622" s="299" t="s">
        <v>79</v>
      </c>
      <c r="AO622" s="299">
        <v>58</v>
      </c>
      <c r="AP622" s="299" t="s">
        <v>82</v>
      </c>
      <c r="AQ622" s="299" t="s">
        <v>122</v>
      </c>
    </row>
    <row r="623" spans="1:43" ht="15" customHeight="1" x14ac:dyDescent="0.25">
      <c r="I623" s="171">
        <v>75</v>
      </c>
      <c r="J623" s="171" t="s">
        <v>98</v>
      </c>
      <c r="K623" s="171" t="s">
        <v>123</v>
      </c>
      <c r="M623" s="171">
        <v>77</v>
      </c>
      <c r="N623" s="171" t="s">
        <v>98</v>
      </c>
      <c r="O623" s="171" t="s">
        <v>123</v>
      </c>
      <c r="Q623" s="298">
        <v>17</v>
      </c>
      <c r="R623" s="298" t="s">
        <v>97</v>
      </c>
      <c r="S623" s="397" t="s">
        <v>688</v>
      </c>
      <c r="U623"/>
      <c r="V623"/>
      <c r="W623"/>
      <c r="Y623" s="171">
        <v>47</v>
      </c>
      <c r="Z623" s="171" t="s">
        <v>98</v>
      </c>
      <c r="AA623" s="171" t="s">
        <v>688</v>
      </c>
      <c r="AC623" s="505" t="s">
        <v>696</v>
      </c>
      <c r="AD623" s="505" t="s">
        <v>98</v>
      </c>
      <c r="AE623" s="505" t="s">
        <v>79</v>
      </c>
      <c r="AG623" s="171" t="s">
        <v>694</v>
      </c>
      <c r="AH623" s="171" t="s">
        <v>97</v>
      </c>
      <c r="AI623" s="171" t="s">
        <v>79</v>
      </c>
      <c r="AK623" s="299" t="s">
        <v>1350</v>
      </c>
      <c r="AL623" s="299" t="s">
        <v>82</v>
      </c>
      <c r="AM623" s="299" t="s">
        <v>79</v>
      </c>
      <c r="AO623" s="299">
        <v>15</v>
      </c>
      <c r="AP623" s="299" t="s">
        <v>82</v>
      </c>
      <c r="AQ623" s="299" t="s">
        <v>122</v>
      </c>
    </row>
    <row r="624" spans="1:43" ht="15" customHeight="1" x14ac:dyDescent="0.25">
      <c r="I624" s="171">
        <v>54</v>
      </c>
      <c r="J624" s="171" t="s">
        <v>98</v>
      </c>
      <c r="K624" s="171" t="s">
        <v>123</v>
      </c>
      <c r="M624" s="171">
        <v>65</v>
      </c>
      <c r="N624" s="171" t="s">
        <v>98</v>
      </c>
      <c r="O624" s="171" t="s">
        <v>123</v>
      </c>
      <c r="Q624" s="298">
        <v>40</v>
      </c>
      <c r="R624" s="298" t="s">
        <v>98</v>
      </c>
      <c r="S624" s="397" t="s">
        <v>688</v>
      </c>
      <c r="U624"/>
      <c r="V624"/>
      <c r="W624"/>
      <c r="Y624" s="171">
        <v>41</v>
      </c>
      <c r="Z624" s="171" t="s">
        <v>98</v>
      </c>
      <c r="AA624" s="171" t="s">
        <v>688</v>
      </c>
      <c r="AC624" s="505" t="s">
        <v>703</v>
      </c>
      <c r="AD624" s="505" t="s">
        <v>98</v>
      </c>
      <c r="AE624" s="505" t="s">
        <v>79</v>
      </c>
      <c r="AG624" s="171" t="s">
        <v>694</v>
      </c>
      <c r="AH624" s="171" t="s">
        <v>97</v>
      </c>
      <c r="AI624" s="171" t="s">
        <v>79</v>
      </c>
      <c r="AK624" s="299" t="s">
        <v>1351</v>
      </c>
      <c r="AL624" s="299" t="s">
        <v>82</v>
      </c>
      <c r="AM624" s="299" t="s">
        <v>79</v>
      </c>
      <c r="AO624" s="299">
        <v>88</v>
      </c>
      <c r="AP624" s="299" t="s">
        <v>82</v>
      </c>
      <c r="AQ624" s="299" t="s">
        <v>122</v>
      </c>
    </row>
    <row r="625" spans="9:43" ht="15" customHeight="1" x14ac:dyDescent="0.25">
      <c r="I625" s="171">
        <v>54</v>
      </c>
      <c r="J625" s="171" t="s">
        <v>98</v>
      </c>
      <c r="K625" s="171" t="s">
        <v>123</v>
      </c>
      <c r="M625" s="171">
        <v>85</v>
      </c>
      <c r="N625" s="171" t="s">
        <v>98</v>
      </c>
      <c r="O625" s="171" t="s">
        <v>123</v>
      </c>
      <c r="Q625" s="298">
        <v>35</v>
      </c>
      <c r="R625" s="298" t="s">
        <v>98</v>
      </c>
      <c r="S625" s="397" t="s">
        <v>688</v>
      </c>
      <c r="U625"/>
      <c r="V625"/>
      <c r="W625"/>
      <c r="Y625" s="171">
        <v>1</v>
      </c>
      <c r="Z625" s="171" t="s">
        <v>97</v>
      </c>
      <c r="AA625" s="171" t="s">
        <v>688</v>
      </c>
      <c r="AC625" s="505" t="s">
        <v>698</v>
      </c>
      <c r="AD625" s="505" t="s">
        <v>97</v>
      </c>
      <c r="AE625" s="505" t="s">
        <v>79</v>
      </c>
      <c r="AG625" s="171" t="s">
        <v>694</v>
      </c>
      <c r="AH625" s="171" t="s">
        <v>98</v>
      </c>
      <c r="AI625" s="171" t="s">
        <v>79</v>
      </c>
      <c r="AK625" s="299" t="s">
        <v>1350</v>
      </c>
      <c r="AL625" s="299" t="s">
        <v>82</v>
      </c>
      <c r="AM625" s="299" t="s">
        <v>79</v>
      </c>
      <c r="AO625" s="299">
        <v>83</v>
      </c>
      <c r="AP625" s="299" t="s">
        <v>82</v>
      </c>
      <c r="AQ625" s="299" t="s">
        <v>122</v>
      </c>
    </row>
    <row r="626" spans="9:43" ht="15" customHeight="1" x14ac:dyDescent="0.25">
      <c r="I626" s="171">
        <v>63</v>
      </c>
      <c r="J626" s="171" t="s">
        <v>98</v>
      </c>
      <c r="K626" s="171" t="s">
        <v>123</v>
      </c>
      <c r="M626" s="171">
        <v>88</v>
      </c>
      <c r="N626" s="171" t="s">
        <v>98</v>
      </c>
      <c r="O626" s="171" t="s">
        <v>123</v>
      </c>
      <c r="Q626" s="298">
        <v>21</v>
      </c>
      <c r="R626" s="298" t="s">
        <v>98</v>
      </c>
      <c r="S626" s="397" t="s">
        <v>688</v>
      </c>
      <c r="U626"/>
      <c r="V626"/>
      <c r="W626"/>
      <c r="Y626" s="171">
        <v>51</v>
      </c>
      <c r="Z626" s="171" t="s">
        <v>97</v>
      </c>
      <c r="AA626" s="171" t="s">
        <v>688</v>
      </c>
      <c r="AC626" s="505" t="s">
        <v>696</v>
      </c>
      <c r="AD626" s="505" t="s">
        <v>97</v>
      </c>
      <c r="AE626" s="505" t="s">
        <v>79</v>
      </c>
      <c r="AG626" s="171" t="s">
        <v>695</v>
      </c>
      <c r="AH626" s="171" t="s">
        <v>97</v>
      </c>
      <c r="AI626" s="171" t="s">
        <v>79</v>
      </c>
      <c r="AK626" s="299" t="s">
        <v>1350</v>
      </c>
      <c r="AL626" s="299" t="s">
        <v>81</v>
      </c>
      <c r="AM626" s="299" t="s">
        <v>79</v>
      </c>
      <c r="AO626" s="299">
        <v>40</v>
      </c>
      <c r="AP626" s="299" t="s">
        <v>82</v>
      </c>
      <c r="AQ626" s="299" t="s">
        <v>122</v>
      </c>
    </row>
    <row r="627" spans="9:43" ht="15" customHeight="1" x14ac:dyDescent="0.25">
      <c r="I627" s="171">
        <v>71</v>
      </c>
      <c r="J627" s="171" t="s">
        <v>98</v>
      </c>
      <c r="K627" s="171" t="s">
        <v>123</v>
      </c>
      <c r="M627" s="171">
        <v>83</v>
      </c>
      <c r="N627" s="171" t="s">
        <v>98</v>
      </c>
      <c r="O627" s="171" t="s">
        <v>123</v>
      </c>
      <c r="Q627" s="298">
        <v>13</v>
      </c>
      <c r="R627" s="298" t="s">
        <v>97</v>
      </c>
      <c r="S627" s="397" t="s">
        <v>688</v>
      </c>
      <c r="U627"/>
      <c r="V627"/>
      <c r="W627"/>
      <c r="Y627" s="171">
        <v>24</v>
      </c>
      <c r="Z627" s="171" t="s">
        <v>97</v>
      </c>
      <c r="AA627" s="171" t="s">
        <v>688</v>
      </c>
      <c r="AC627" s="505" t="s">
        <v>694</v>
      </c>
      <c r="AD627" s="505" t="s">
        <v>98</v>
      </c>
      <c r="AE627" s="505" t="s">
        <v>79</v>
      </c>
      <c r="AG627" s="171" t="s">
        <v>694</v>
      </c>
      <c r="AH627" s="171" t="s">
        <v>97</v>
      </c>
      <c r="AI627" s="171" t="s">
        <v>79</v>
      </c>
      <c r="AK627" s="299" t="s">
        <v>1350</v>
      </c>
      <c r="AL627" s="299" t="s">
        <v>82</v>
      </c>
      <c r="AM627" s="299" t="s">
        <v>79</v>
      </c>
      <c r="AO627" s="299">
        <v>62</v>
      </c>
      <c r="AP627" s="299" t="s">
        <v>82</v>
      </c>
      <c r="AQ627" s="299" t="s">
        <v>122</v>
      </c>
    </row>
    <row r="628" spans="9:43" ht="15" customHeight="1" x14ac:dyDescent="0.25">
      <c r="I628" s="171">
        <v>57</v>
      </c>
      <c r="J628" s="171" t="s">
        <v>98</v>
      </c>
      <c r="K628" s="171" t="s">
        <v>123</v>
      </c>
      <c r="M628" s="171">
        <v>56</v>
      </c>
      <c r="N628" s="171" t="s">
        <v>98</v>
      </c>
      <c r="O628" s="171" t="s">
        <v>123</v>
      </c>
      <c r="Q628" s="298">
        <v>40</v>
      </c>
      <c r="R628" s="298" t="s">
        <v>97</v>
      </c>
      <c r="S628" s="397" t="s">
        <v>688</v>
      </c>
      <c r="U628"/>
      <c r="V628"/>
      <c r="W628"/>
      <c r="Y628" s="171">
        <v>67</v>
      </c>
      <c r="Z628" s="171" t="s">
        <v>97</v>
      </c>
      <c r="AA628" s="171" t="s">
        <v>688</v>
      </c>
      <c r="AC628" s="505" t="s">
        <v>694</v>
      </c>
      <c r="AD628" s="505" t="s">
        <v>97</v>
      </c>
      <c r="AE628" s="505" t="s">
        <v>79</v>
      </c>
      <c r="AG628" s="171" t="s">
        <v>695</v>
      </c>
      <c r="AH628" s="171" t="s">
        <v>97</v>
      </c>
      <c r="AI628" s="171" t="s">
        <v>79</v>
      </c>
      <c r="AK628" s="299" t="s">
        <v>1350</v>
      </c>
      <c r="AL628" s="299" t="s">
        <v>81</v>
      </c>
      <c r="AM628" s="299" t="s">
        <v>79</v>
      </c>
      <c r="AO628" s="299">
        <v>65</v>
      </c>
      <c r="AP628" s="299" t="s">
        <v>82</v>
      </c>
      <c r="AQ628" s="299" t="s">
        <v>122</v>
      </c>
    </row>
    <row r="629" spans="9:43" ht="15" customHeight="1" x14ac:dyDescent="0.25">
      <c r="I629" s="171">
        <v>16</v>
      </c>
      <c r="J629" s="171" t="s">
        <v>98</v>
      </c>
      <c r="K629" s="171" t="s">
        <v>123</v>
      </c>
      <c r="M629" s="171">
        <v>29</v>
      </c>
      <c r="N629" s="171" t="s">
        <v>98</v>
      </c>
      <c r="O629" s="171" t="s">
        <v>123</v>
      </c>
      <c r="Q629" s="298">
        <v>67</v>
      </c>
      <c r="R629" s="298" t="s">
        <v>97</v>
      </c>
      <c r="S629" s="397" t="s">
        <v>688</v>
      </c>
      <c r="U629"/>
      <c r="V629"/>
      <c r="W629"/>
      <c r="Y629" s="171">
        <v>92</v>
      </c>
      <c r="Z629" s="171" t="s">
        <v>98</v>
      </c>
      <c r="AA629" s="171" t="s">
        <v>688</v>
      </c>
      <c r="AC629" s="505" t="s">
        <v>704</v>
      </c>
      <c r="AD629" s="505" t="s">
        <v>98</v>
      </c>
      <c r="AE629" s="505" t="s">
        <v>79</v>
      </c>
      <c r="AG629" s="171" t="s">
        <v>695</v>
      </c>
      <c r="AH629" s="171" t="s">
        <v>97</v>
      </c>
      <c r="AI629" s="171" t="s">
        <v>79</v>
      </c>
      <c r="AK629" s="299" t="s">
        <v>1358</v>
      </c>
      <c r="AL629" s="299" t="s">
        <v>82</v>
      </c>
      <c r="AM629" s="299" t="s">
        <v>79</v>
      </c>
      <c r="AO629" s="299">
        <v>59</v>
      </c>
      <c r="AP629" s="299" t="s">
        <v>82</v>
      </c>
      <c r="AQ629" s="299" t="s">
        <v>122</v>
      </c>
    </row>
    <row r="630" spans="9:43" ht="15" customHeight="1" x14ac:dyDescent="0.25">
      <c r="I630" s="171">
        <v>27</v>
      </c>
      <c r="J630" s="171" t="s">
        <v>98</v>
      </c>
      <c r="K630" s="171" t="s">
        <v>123</v>
      </c>
      <c r="M630" s="171">
        <v>65</v>
      </c>
      <c r="N630" s="171" t="s">
        <v>98</v>
      </c>
      <c r="O630" s="171" t="s">
        <v>123</v>
      </c>
      <c r="Q630" s="298">
        <v>3</v>
      </c>
      <c r="R630" s="298" t="s">
        <v>98</v>
      </c>
      <c r="S630" s="397" t="s">
        <v>688</v>
      </c>
      <c r="U630"/>
      <c r="V630"/>
      <c r="W630"/>
      <c r="Y630" s="171">
        <v>30</v>
      </c>
      <c r="Z630" s="171" t="s">
        <v>97</v>
      </c>
      <c r="AA630" s="171" t="s">
        <v>688</v>
      </c>
      <c r="AC630" s="505" t="s">
        <v>697</v>
      </c>
      <c r="AD630" s="505" t="s">
        <v>97</v>
      </c>
      <c r="AE630" s="505" t="s">
        <v>79</v>
      </c>
      <c r="AG630" s="171">
        <v>51</v>
      </c>
      <c r="AH630" s="171" t="s">
        <v>97</v>
      </c>
      <c r="AI630" s="171" t="s">
        <v>688</v>
      </c>
      <c r="AK630" s="299" t="s">
        <v>1350</v>
      </c>
      <c r="AL630" s="299" t="s">
        <v>82</v>
      </c>
      <c r="AM630" s="299" t="s">
        <v>79</v>
      </c>
      <c r="AO630" s="299">
        <v>77</v>
      </c>
      <c r="AP630" s="299" t="s">
        <v>82</v>
      </c>
      <c r="AQ630" s="299" t="s">
        <v>122</v>
      </c>
    </row>
    <row r="631" spans="9:43" ht="15" customHeight="1" x14ac:dyDescent="0.25">
      <c r="I631" s="171">
        <v>78</v>
      </c>
      <c r="J631" s="171" t="s">
        <v>98</v>
      </c>
      <c r="K631" s="171" t="s">
        <v>123</v>
      </c>
      <c r="M631" s="171">
        <v>68</v>
      </c>
      <c r="N631" s="171" t="s">
        <v>98</v>
      </c>
      <c r="O631" s="171" t="s">
        <v>123</v>
      </c>
      <c r="Q631" s="298">
        <v>52</v>
      </c>
      <c r="R631" s="298" t="s">
        <v>98</v>
      </c>
      <c r="S631" s="397" t="s">
        <v>688</v>
      </c>
      <c r="U631"/>
      <c r="V631"/>
      <c r="W631"/>
      <c r="Y631" s="171">
        <v>86</v>
      </c>
      <c r="Z631" s="171" t="s">
        <v>98</v>
      </c>
      <c r="AA631" s="171" t="s">
        <v>688</v>
      </c>
      <c r="AC631" s="505" t="s">
        <v>712</v>
      </c>
      <c r="AD631" s="505" t="s">
        <v>97</v>
      </c>
      <c r="AE631" s="505" t="s">
        <v>79</v>
      </c>
      <c r="AG631" s="171">
        <v>87</v>
      </c>
      <c r="AH631" s="171" t="s">
        <v>98</v>
      </c>
      <c r="AI631" s="171" t="s">
        <v>688</v>
      </c>
      <c r="AK631" s="299" t="s">
        <v>1350</v>
      </c>
      <c r="AL631" s="299" t="s">
        <v>82</v>
      </c>
      <c r="AM631" s="299" t="s">
        <v>79</v>
      </c>
      <c r="AO631" s="299">
        <v>18</v>
      </c>
      <c r="AP631" s="299" t="s">
        <v>82</v>
      </c>
      <c r="AQ631" s="299" t="s">
        <v>122</v>
      </c>
    </row>
    <row r="632" spans="9:43" ht="15" customHeight="1" x14ac:dyDescent="0.25">
      <c r="I632" s="171">
        <v>64</v>
      </c>
      <c r="J632" s="171" t="s">
        <v>98</v>
      </c>
      <c r="K632" s="171" t="s">
        <v>123</v>
      </c>
      <c r="M632" s="171">
        <v>67</v>
      </c>
      <c r="N632" s="171" t="s">
        <v>98</v>
      </c>
      <c r="O632" s="171" t="s">
        <v>123</v>
      </c>
      <c r="Q632" s="298">
        <v>92</v>
      </c>
      <c r="R632" s="298" t="s">
        <v>98</v>
      </c>
      <c r="S632" s="397" t="s">
        <v>688</v>
      </c>
      <c r="U632"/>
      <c r="V632"/>
      <c r="W632"/>
      <c r="Y632" s="171">
        <v>19</v>
      </c>
      <c r="Z632" s="171" t="s">
        <v>97</v>
      </c>
      <c r="AA632" s="171" t="s">
        <v>688</v>
      </c>
      <c r="AC632" s="505" t="s">
        <v>694</v>
      </c>
      <c r="AD632" s="505" t="s">
        <v>97</v>
      </c>
      <c r="AE632" s="505" t="s">
        <v>79</v>
      </c>
      <c r="AG632" s="171">
        <v>69</v>
      </c>
      <c r="AH632" s="171" t="s">
        <v>97</v>
      </c>
      <c r="AI632" s="171" t="s">
        <v>688</v>
      </c>
      <c r="AK632" s="299" t="s">
        <v>1350</v>
      </c>
      <c r="AL632" s="299" t="s">
        <v>82</v>
      </c>
      <c r="AM632" s="299" t="s">
        <v>79</v>
      </c>
      <c r="AO632" s="299">
        <v>19</v>
      </c>
      <c r="AP632" s="299" t="s">
        <v>82</v>
      </c>
      <c r="AQ632" s="299" t="s">
        <v>122</v>
      </c>
    </row>
    <row r="633" spans="9:43" ht="15" customHeight="1" x14ac:dyDescent="0.25">
      <c r="I633" s="171">
        <v>63</v>
      </c>
      <c r="J633" s="171" t="s">
        <v>98</v>
      </c>
      <c r="K633" s="171" t="s">
        <v>123</v>
      </c>
      <c r="M633" s="171">
        <v>16</v>
      </c>
      <c r="N633" s="171" t="s">
        <v>98</v>
      </c>
      <c r="O633" s="171" t="s">
        <v>123</v>
      </c>
      <c r="Q633" s="298">
        <v>63</v>
      </c>
      <c r="R633" s="298" t="s">
        <v>98</v>
      </c>
      <c r="S633" s="397" t="s">
        <v>688</v>
      </c>
      <c r="U633"/>
      <c r="V633"/>
      <c r="W633"/>
      <c r="Y633" s="171">
        <v>6</v>
      </c>
      <c r="Z633" s="171" t="s">
        <v>98</v>
      </c>
      <c r="AA633" s="171" t="s">
        <v>688</v>
      </c>
      <c r="AC633" s="505" t="s">
        <v>694</v>
      </c>
      <c r="AD633" s="505" t="s">
        <v>97</v>
      </c>
      <c r="AE633" s="505" t="s">
        <v>79</v>
      </c>
      <c r="AG633" s="171">
        <v>18</v>
      </c>
      <c r="AH633" s="171" t="s">
        <v>98</v>
      </c>
      <c r="AI633" s="171" t="s">
        <v>688</v>
      </c>
      <c r="AK633" s="299" t="s">
        <v>1353</v>
      </c>
      <c r="AL633" s="299" t="s">
        <v>81</v>
      </c>
      <c r="AM633" s="299" t="s">
        <v>79</v>
      </c>
      <c r="AO633" s="299">
        <v>60</v>
      </c>
      <c r="AP633" s="299" t="s">
        <v>82</v>
      </c>
      <c r="AQ633" s="299" t="s">
        <v>122</v>
      </c>
    </row>
    <row r="634" spans="9:43" ht="15" customHeight="1" x14ac:dyDescent="0.25">
      <c r="I634" s="171">
        <v>42</v>
      </c>
      <c r="J634" s="171" t="s">
        <v>98</v>
      </c>
      <c r="K634" s="171" t="s">
        <v>123</v>
      </c>
      <c r="M634" s="171">
        <v>40</v>
      </c>
      <c r="N634" s="171" t="s">
        <v>98</v>
      </c>
      <c r="O634" s="171" t="s">
        <v>123</v>
      </c>
      <c r="Q634" s="298">
        <v>33</v>
      </c>
      <c r="R634" s="298" t="s">
        <v>98</v>
      </c>
      <c r="S634" s="397" t="s">
        <v>688</v>
      </c>
      <c r="U634"/>
      <c r="V634"/>
      <c r="W634"/>
      <c r="Y634" s="171">
        <v>69</v>
      </c>
      <c r="Z634" s="171" t="s">
        <v>97</v>
      </c>
      <c r="AA634" s="171" t="s">
        <v>688</v>
      </c>
      <c r="AC634" s="505" t="s">
        <v>694</v>
      </c>
      <c r="AD634" s="505" t="s">
        <v>97</v>
      </c>
      <c r="AE634" s="505" t="s">
        <v>79</v>
      </c>
      <c r="AG634" s="171">
        <v>79</v>
      </c>
      <c r="AH634" s="171" t="s">
        <v>97</v>
      </c>
      <c r="AI634" s="171" t="s">
        <v>688</v>
      </c>
      <c r="AK634" s="299" t="s">
        <v>1351</v>
      </c>
      <c r="AL634" s="299" t="s">
        <v>81</v>
      </c>
      <c r="AM634" s="299" t="s">
        <v>79</v>
      </c>
      <c r="AO634" s="299">
        <v>40</v>
      </c>
      <c r="AP634" s="299" t="s">
        <v>82</v>
      </c>
      <c r="AQ634" s="299" t="s">
        <v>122</v>
      </c>
    </row>
    <row r="635" spans="9:43" ht="15" customHeight="1" x14ac:dyDescent="0.25">
      <c r="I635" s="171">
        <v>25</v>
      </c>
      <c r="J635" s="171" t="s">
        <v>98</v>
      </c>
      <c r="K635" s="171" t="s">
        <v>123</v>
      </c>
      <c r="M635" s="171">
        <v>67</v>
      </c>
      <c r="N635" s="171" t="s">
        <v>98</v>
      </c>
      <c r="O635" s="171" t="s">
        <v>123</v>
      </c>
      <c r="Q635" s="298">
        <v>57</v>
      </c>
      <c r="R635" s="298" t="s">
        <v>98</v>
      </c>
      <c r="S635" s="397" t="s">
        <v>688</v>
      </c>
      <c r="U635"/>
      <c r="V635"/>
      <c r="W635"/>
      <c r="Y635" s="171">
        <v>12</v>
      </c>
      <c r="Z635" s="171" t="s">
        <v>98</v>
      </c>
      <c r="AA635" s="171" t="s">
        <v>688</v>
      </c>
      <c r="AC635" s="505" t="s">
        <v>694</v>
      </c>
      <c r="AD635" s="505" t="s">
        <v>97</v>
      </c>
      <c r="AE635" s="505" t="s">
        <v>79</v>
      </c>
      <c r="AG635" s="171">
        <v>18</v>
      </c>
      <c r="AH635" s="171" t="s">
        <v>97</v>
      </c>
      <c r="AI635" s="171" t="s">
        <v>688</v>
      </c>
      <c r="AK635" s="299" t="s">
        <v>1350</v>
      </c>
      <c r="AL635" s="299" t="s">
        <v>82</v>
      </c>
      <c r="AM635" s="299" t="s">
        <v>79</v>
      </c>
      <c r="AO635" s="299">
        <v>26</v>
      </c>
      <c r="AP635" s="299" t="s">
        <v>81</v>
      </c>
      <c r="AQ635" s="299" t="s">
        <v>123</v>
      </c>
    </row>
    <row r="636" spans="9:43" ht="15" customHeight="1" x14ac:dyDescent="0.25">
      <c r="I636" s="171">
        <v>75</v>
      </c>
      <c r="J636" s="171" t="s">
        <v>98</v>
      </c>
      <c r="K636" s="171" t="s">
        <v>123</v>
      </c>
      <c r="M636" s="171">
        <v>65</v>
      </c>
      <c r="N636" s="171" t="s">
        <v>98</v>
      </c>
      <c r="O636" s="171" t="s">
        <v>123</v>
      </c>
      <c r="Q636" s="298">
        <v>9</v>
      </c>
      <c r="R636" s="298" t="s">
        <v>97</v>
      </c>
      <c r="S636" s="397" t="s">
        <v>688</v>
      </c>
      <c r="U636"/>
      <c r="V636"/>
      <c r="W636"/>
      <c r="Y636" s="171">
        <v>59</v>
      </c>
      <c r="Z636" s="171" t="s">
        <v>97</v>
      </c>
      <c r="AA636" s="171" t="s">
        <v>688</v>
      </c>
      <c r="AC636" s="505" t="s">
        <v>712</v>
      </c>
      <c r="AD636" s="505" t="s">
        <v>97</v>
      </c>
      <c r="AE636" s="505" t="s">
        <v>79</v>
      </c>
      <c r="AG636" s="171">
        <v>90</v>
      </c>
      <c r="AH636" s="171" t="s">
        <v>97</v>
      </c>
      <c r="AI636" s="171" t="s">
        <v>688</v>
      </c>
      <c r="AK636" s="299" t="s">
        <v>1353</v>
      </c>
      <c r="AL636" s="299" t="s">
        <v>81</v>
      </c>
      <c r="AM636" s="299" t="s">
        <v>79</v>
      </c>
      <c r="AO636" s="299">
        <v>61</v>
      </c>
      <c r="AP636" s="299" t="s">
        <v>81</v>
      </c>
      <c r="AQ636" s="299" t="s">
        <v>123</v>
      </c>
    </row>
    <row r="637" spans="9:43" ht="15" customHeight="1" x14ac:dyDescent="0.25">
      <c r="M637" s="171">
        <v>42</v>
      </c>
      <c r="N637" s="171" t="s">
        <v>98</v>
      </c>
      <c r="O637" s="171" t="s">
        <v>123</v>
      </c>
      <c r="Q637" s="298">
        <v>27</v>
      </c>
      <c r="R637" s="298" t="s">
        <v>98</v>
      </c>
      <c r="S637" s="397" t="s">
        <v>688</v>
      </c>
      <c r="U637"/>
      <c r="V637"/>
      <c r="W637"/>
      <c r="Y637" s="171">
        <v>4</v>
      </c>
      <c r="Z637" s="171" t="s">
        <v>97</v>
      </c>
      <c r="AA637" s="171" t="s">
        <v>688</v>
      </c>
      <c r="AC637" s="505" t="s">
        <v>698</v>
      </c>
      <c r="AD637" s="505" t="s">
        <v>97</v>
      </c>
      <c r="AE637" s="505" t="s">
        <v>79</v>
      </c>
      <c r="AG637" s="171">
        <v>32</v>
      </c>
      <c r="AH637" s="171" t="s">
        <v>98</v>
      </c>
      <c r="AI637" s="171" t="s">
        <v>688</v>
      </c>
      <c r="AK637" s="299" t="s">
        <v>1353</v>
      </c>
      <c r="AL637" s="299" t="s">
        <v>82</v>
      </c>
      <c r="AM637" s="299" t="s">
        <v>79</v>
      </c>
      <c r="AO637" s="299">
        <v>53</v>
      </c>
      <c r="AP637" s="299" t="s">
        <v>81</v>
      </c>
      <c r="AQ637" s="299" t="s">
        <v>123</v>
      </c>
    </row>
    <row r="638" spans="9:43" ht="15" customHeight="1" x14ac:dyDescent="0.25">
      <c r="M638" s="171">
        <v>64</v>
      </c>
      <c r="N638" s="171" t="s">
        <v>98</v>
      </c>
      <c r="O638" s="171" t="s">
        <v>123</v>
      </c>
      <c r="Q638" s="298">
        <v>85</v>
      </c>
      <c r="R638" s="298" t="s">
        <v>97</v>
      </c>
      <c r="S638" s="397" t="s">
        <v>688</v>
      </c>
      <c r="U638"/>
      <c r="V638"/>
      <c r="W638"/>
      <c r="Y638" s="171">
        <v>44</v>
      </c>
      <c r="Z638" s="171" t="s">
        <v>97</v>
      </c>
      <c r="AA638" s="171" t="s">
        <v>688</v>
      </c>
      <c r="AC638" s="505" t="s">
        <v>694</v>
      </c>
      <c r="AD638" s="505" t="s">
        <v>98</v>
      </c>
      <c r="AE638" s="505" t="s">
        <v>79</v>
      </c>
      <c r="AG638" s="171">
        <v>52</v>
      </c>
      <c r="AH638" s="171" t="s">
        <v>98</v>
      </c>
      <c r="AI638" s="171" t="s">
        <v>688</v>
      </c>
      <c r="AK638" s="299" t="s">
        <v>1356</v>
      </c>
      <c r="AL638" s="299" t="s">
        <v>81</v>
      </c>
      <c r="AM638" s="299" t="s">
        <v>79</v>
      </c>
      <c r="AO638" s="299">
        <v>13</v>
      </c>
      <c r="AP638" s="299" t="s">
        <v>81</v>
      </c>
      <c r="AQ638" s="299" t="s">
        <v>123</v>
      </c>
    </row>
    <row r="639" spans="9:43" ht="15" customHeight="1" x14ac:dyDescent="0.25">
      <c r="M639" s="171">
        <v>27</v>
      </c>
      <c r="N639" s="171" t="s">
        <v>98</v>
      </c>
      <c r="O639" s="171" t="s">
        <v>123</v>
      </c>
      <c r="Q639" s="298">
        <v>52</v>
      </c>
      <c r="R639" s="298" t="s">
        <v>97</v>
      </c>
      <c r="S639" s="397" t="s">
        <v>688</v>
      </c>
      <c r="U639"/>
      <c r="V639"/>
      <c r="W639"/>
      <c r="Y639" s="171">
        <v>94</v>
      </c>
      <c r="Z639" s="171" t="s">
        <v>98</v>
      </c>
      <c r="AA639" s="171" t="s">
        <v>688</v>
      </c>
      <c r="AC639" s="505" t="s">
        <v>695</v>
      </c>
      <c r="AD639" s="505" t="s">
        <v>98</v>
      </c>
      <c r="AE639" s="505" t="s">
        <v>79</v>
      </c>
      <c r="AG639" s="171">
        <v>48</v>
      </c>
      <c r="AH639" s="171" t="s">
        <v>97</v>
      </c>
      <c r="AI639" s="171" t="s">
        <v>688</v>
      </c>
      <c r="AK639" s="299" t="s">
        <v>1350</v>
      </c>
      <c r="AL639" s="299" t="s">
        <v>81</v>
      </c>
      <c r="AM639" s="299" t="s">
        <v>79</v>
      </c>
      <c r="AO639" s="299">
        <v>20</v>
      </c>
      <c r="AP639" s="299" t="s">
        <v>81</v>
      </c>
      <c r="AQ639" s="299" t="s">
        <v>123</v>
      </c>
    </row>
    <row r="640" spans="9:43" ht="15" customHeight="1" x14ac:dyDescent="0.25">
      <c r="M640" s="171">
        <v>52</v>
      </c>
      <c r="N640" s="171" t="s">
        <v>98</v>
      </c>
      <c r="O640" s="171" t="s">
        <v>123</v>
      </c>
      <c r="Q640" s="298">
        <v>18</v>
      </c>
      <c r="R640" s="298" t="s">
        <v>98</v>
      </c>
      <c r="S640" s="397" t="s">
        <v>688</v>
      </c>
      <c r="U640"/>
      <c r="V640"/>
      <c r="W640"/>
      <c r="Y640" s="171">
        <v>55</v>
      </c>
      <c r="Z640" s="171" t="s">
        <v>97</v>
      </c>
      <c r="AA640" s="171" t="s">
        <v>688</v>
      </c>
      <c r="AC640" s="505" t="s">
        <v>694</v>
      </c>
      <c r="AD640" s="505" t="s">
        <v>98</v>
      </c>
      <c r="AE640" s="505" t="s">
        <v>79</v>
      </c>
      <c r="AG640" s="171">
        <v>86</v>
      </c>
      <c r="AH640" s="171" t="s">
        <v>98</v>
      </c>
      <c r="AI640" s="171" t="s">
        <v>688</v>
      </c>
      <c r="AK640" s="299" t="s">
        <v>1350</v>
      </c>
      <c r="AL640" s="299" t="s">
        <v>82</v>
      </c>
      <c r="AM640" s="299" t="s">
        <v>79</v>
      </c>
      <c r="AO640" s="299">
        <v>38</v>
      </c>
      <c r="AP640" s="299" t="s">
        <v>81</v>
      </c>
      <c r="AQ640" s="299" t="s">
        <v>123</v>
      </c>
    </row>
    <row r="641" spans="13:43" ht="15" customHeight="1" x14ac:dyDescent="0.25">
      <c r="M641" s="171">
        <v>41</v>
      </c>
      <c r="N641" s="171" t="s">
        <v>98</v>
      </c>
      <c r="O641" s="171" t="s">
        <v>123</v>
      </c>
      <c r="Q641" s="298">
        <v>41</v>
      </c>
      <c r="R641" s="298" t="s">
        <v>97</v>
      </c>
      <c r="S641" s="397" t="s">
        <v>688</v>
      </c>
      <c r="U641"/>
      <c r="V641"/>
      <c r="W641"/>
      <c r="Y641" s="171">
        <v>3</v>
      </c>
      <c r="Z641" s="171" t="s">
        <v>98</v>
      </c>
      <c r="AA641" s="171" t="s">
        <v>688</v>
      </c>
      <c r="AC641" s="505" t="s">
        <v>694</v>
      </c>
      <c r="AD641" s="505" t="s">
        <v>97</v>
      </c>
      <c r="AE641" s="505" t="s">
        <v>79</v>
      </c>
      <c r="AG641" s="171">
        <v>80</v>
      </c>
      <c r="AH641" s="171" t="s">
        <v>97</v>
      </c>
      <c r="AI641" s="171" t="s">
        <v>688</v>
      </c>
      <c r="AK641" s="299" t="s">
        <v>1350</v>
      </c>
      <c r="AL641" s="299" t="s">
        <v>81</v>
      </c>
      <c r="AM641" s="299" t="s">
        <v>79</v>
      </c>
      <c r="AO641" s="299">
        <v>14</v>
      </c>
      <c r="AP641" s="299" t="s">
        <v>81</v>
      </c>
      <c r="AQ641" s="299" t="s">
        <v>123</v>
      </c>
    </row>
    <row r="642" spans="13:43" ht="15" customHeight="1" x14ac:dyDescent="0.25">
      <c r="M642" s="171">
        <v>77</v>
      </c>
      <c r="N642" s="171" t="s">
        <v>98</v>
      </c>
      <c r="O642" s="171" t="s">
        <v>123</v>
      </c>
      <c r="Q642" s="298">
        <v>14</v>
      </c>
      <c r="R642" s="298" t="s">
        <v>98</v>
      </c>
      <c r="S642" s="397" t="s">
        <v>688</v>
      </c>
      <c r="U642"/>
      <c r="V642"/>
      <c r="W642"/>
      <c r="Y642" s="171">
        <v>90</v>
      </c>
      <c r="Z642" s="171" t="s">
        <v>98</v>
      </c>
      <c r="AA642" s="171" t="s">
        <v>688</v>
      </c>
      <c r="AC642" s="505" t="s">
        <v>861</v>
      </c>
      <c r="AD642" s="505" t="s">
        <v>97</v>
      </c>
      <c r="AE642" s="505" t="s">
        <v>79</v>
      </c>
      <c r="AG642" s="171">
        <v>43</v>
      </c>
      <c r="AH642" s="171" t="s">
        <v>98</v>
      </c>
      <c r="AI642" s="171" t="s">
        <v>688</v>
      </c>
      <c r="AK642" s="299" t="s">
        <v>1350</v>
      </c>
      <c r="AL642" s="299" t="s">
        <v>82</v>
      </c>
      <c r="AM642" s="299" t="s">
        <v>79</v>
      </c>
      <c r="AO642" s="299">
        <v>81</v>
      </c>
      <c r="AP642" s="299" t="s">
        <v>81</v>
      </c>
      <c r="AQ642" s="299" t="s">
        <v>123</v>
      </c>
    </row>
    <row r="643" spans="13:43" ht="15" customHeight="1" x14ac:dyDescent="0.25">
      <c r="M643" s="171">
        <v>46</v>
      </c>
      <c r="N643" s="171" t="s">
        <v>98</v>
      </c>
      <c r="O643" s="171" t="s">
        <v>123</v>
      </c>
      <c r="Q643" s="298">
        <v>48</v>
      </c>
      <c r="R643" s="298" t="s">
        <v>98</v>
      </c>
      <c r="S643" s="397" t="s">
        <v>688</v>
      </c>
      <c r="U643"/>
      <c r="V643"/>
      <c r="W643"/>
      <c r="Y643" s="171">
        <v>35</v>
      </c>
      <c r="Z643" s="171" t="s">
        <v>97</v>
      </c>
      <c r="AA643" s="171" t="s">
        <v>688</v>
      </c>
      <c r="AC643" s="505" t="s">
        <v>698</v>
      </c>
      <c r="AD643" s="505" t="s">
        <v>97</v>
      </c>
      <c r="AE643" s="505" t="s">
        <v>79</v>
      </c>
      <c r="AG643" s="171">
        <v>41</v>
      </c>
      <c r="AH643" s="171" t="s">
        <v>97</v>
      </c>
      <c r="AI643" s="171" t="s">
        <v>688</v>
      </c>
      <c r="AK643" s="299" t="s">
        <v>1356</v>
      </c>
      <c r="AL643" s="299" t="s">
        <v>82</v>
      </c>
      <c r="AM643" s="299" t="s">
        <v>79</v>
      </c>
      <c r="AO643" s="299">
        <v>19</v>
      </c>
      <c r="AP643" s="299" t="s">
        <v>81</v>
      </c>
      <c r="AQ643" s="299" t="s">
        <v>123</v>
      </c>
    </row>
    <row r="644" spans="13:43" ht="15" customHeight="1" x14ac:dyDescent="0.25">
      <c r="M644" s="171">
        <v>13</v>
      </c>
      <c r="N644" s="171" t="s">
        <v>98</v>
      </c>
      <c r="O644" s="171" t="s">
        <v>123</v>
      </c>
      <c r="Q644" s="298">
        <v>63</v>
      </c>
      <c r="R644" s="298" t="s">
        <v>98</v>
      </c>
      <c r="S644" s="397" t="s">
        <v>688</v>
      </c>
      <c r="U644"/>
      <c r="V644"/>
      <c r="W644"/>
      <c r="Y644" s="171">
        <v>74</v>
      </c>
      <c r="Z644" s="171" t="s">
        <v>97</v>
      </c>
      <c r="AA644" s="171" t="s">
        <v>688</v>
      </c>
      <c r="AC644" s="505" t="s">
        <v>698</v>
      </c>
      <c r="AD644" s="505" t="s">
        <v>98</v>
      </c>
      <c r="AE644" s="505" t="s">
        <v>79</v>
      </c>
      <c r="AG644" s="171">
        <v>26</v>
      </c>
      <c r="AH644" s="171" t="s">
        <v>97</v>
      </c>
      <c r="AI644" s="171" t="s">
        <v>688</v>
      </c>
      <c r="AK644" s="299" t="s">
        <v>1350</v>
      </c>
      <c r="AL644" s="299" t="s">
        <v>81</v>
      </c>
      <c r="AM644" s="299" t="s">
        <v>79</v>
      </c>
      <c r="AO644" s="299">
        <v>19</v>
      </c>
      <c r="AP644" s="299" t="s">
        <v>81</v>
      </c>
      <c r="AQ644" s="299" t="s">
        <v>123</v>
      </c>
    </row>
    <row r="645" spans="13:43" ht="15" customHeight="1" x14ac:dyDescent="0.25">
      <c r="M645" s="171">
        <v>14</v>
      </c>
      <c r="N645" s="171" t="s">
        <v>98</v>
      </c>
      <c r="O645" s="171" t="s">
        <v>123</v>
      </c>
      <c r="Q645" s="298">
        <v>40</v>
      </c>
      <c r="R645" s="298" t="s">
        <v>97</v>
      </c>
      <c r="S645" s="397" t="s">
        <v>688</v>
      </c>
      <c r="U645"/>
      <c r="V645"/>
      <c r="W645"/>
      <c r="Y645" s="171">
        <v>46</v>
      </c>
      <c r="Z645" s="171" t="s">
        <v>98</v>
      </c>
      <c r="AA645" s="171" t="s">
        <v>688</v>
      </c>
      <c r="AC645" s="505" t="s">
        <v>698</v>
      </c>
      <c r="AD645" s="505" t="s">
        <v>97</v>
      </c>
      <c r="AE645" s="505" t="s">
        <v>79</v>
      </c>
      <c r="AG645" s="171">
        <v>4</v>
      </c>
      <c r="AH645" s="171" t="s">
        <v>98</v>
      </c>
      <c r="AI645" s="171" t="s">
        <v>688</v>
      </c>
      <c r="AK645" s="299" t="s">
        <v>1350</v>
      </c>
      <c r="AL645" s="299" t="s">
        <v>82</v>
      </c>
      <c r="AM645" s="299" t="s">
        <v>79</v>
      </c>
      <c r="AO645" s="299">
        <v>90</v>
      </c>
      <c r="AP645" s="299" t="s">
        <v>81</v>
      </c>
      <c r="AQ645" s="299" t="s">
        <v>123</v>
      </c>
    </row>
    <row r="646" spans="13:43" ht="15" customHeight="1" x14ac:dyDescent="0.25">
      <c r="M646" s="171">
        <v>62</v>
      </c>
      <c r="N646" s="171" t="s">
        <v>98</v>
      </c>
      <c r="O646" s="171" t="s">
        <v>123</v>
      </c>
      <c r="Q646" s="298">
        <v>2</v>
      </c>
      <c r="R646" s="298" t="s">
        <v>97</v>
      </c>
      <c r="S646" s="397" t="s">
        <v>688</v>
      </c>
      <c r="U646"/>
      <c r="V646"/>
      <c r="W646"/>
      <c r="Y646" s="171">
        <v>61</v>
      </c>
      <c r="Z646" s="171" t="s">
        <v>97</v>
      </c>
      <c r="AA646" s="171" t="s">
        <v>688</v>
      </c>
      <c r="AC646" s="505" t="s">
        <v>694</v>
      </c>
      <c r="AD646" s="505" t="s">
        <v>97</v>
      </c>
      <c r="AE646" s="505" t="s">
        <v>79</v>
      </c>
      <c r="AG646" s="171">
        <v>60</v>
      </c>
      <c r="AH646" s="171" t="s">
        <v>97</v>
      </c>
      <c r="AI646" s="171" t="s">
        <v>688</v>
      </c>
      <c r="AK646" s="299" t="s">
        <v>1350</v>
      </c>
      <c r="AL646" s="299" t="s">
        <v>82</v>
      </c>
      <c r="AM646" s="299" t="s">
        <v>79</v>
      </c>
      <c r="AO646" s="299">
        <v>54</v>
      </c>
      <c r="AP646" s="299" t="s">
        <v>81</v>
      </c>
      <c r="AQ646" s="299" t="s">
        <v>123</v>
      </c>
    </row>
    <row r="647" spans="13:43" ht="15" customHeight="1" x14ac:dyDescent="0.25">
      <c r="M647" s="171">
        <v>46</v>
      </c>
      <c r="N647" s="171" t="s">
        <v>98</v>
      </c>
      <c r="O647" s="171" t="s">
        <v>123</v>
      </c>
      <c r="Q647" s="298">
        <v>23</v>
      </c>
      <c r="R647" s="298" t="s">
        <v>97</v>
      </c>
      <c r="S647" s="397" t="s">
        <v>688</v>
      </c>
      <c r="U647"/>
      <c r="V647"/>
      <c r="W647"/>
      <c r="Y647" s="171">
        <v>31</v>
      </c>
      <c r="Z647" s="171" t="s">
        <v>98</v>
      </c>
      <c r="AA647" s="171" t="s">
        <v>688</v>
      </c>
      <c r="AC647" s="505" t="s">
        <v>694</v>
      </c>
      <c r="AD647" s="505" t="s">
        <v>98</v>
      </c>
      <c r="AE647" s="505" t="s">
        <v>79</v>
      </c>
      <c r="AG647" s="171">
        <v>51</v>
      </c>
      <c r="AH647" s="171" t="s">
        <v>98</v>
      </c>
      <c r="AI647" s="171" t="s">
        <v>688</v>
      </c>
      <c r="AK647" s="299" t="s">
        <v>1350</v>
      </c>
      <c r="AL647" s="299" t="s">
        <v>81</v>
      </c>
      <c r="AM647" s="299" t="s">
        <v>79</v>
      </c>
      <c r="AO647" s="299">
        <v>50</v>
      </c>
      <c r="AP647" s="299" t="s">
        <v>81</v>
      </c>
      <c r="AQ647" s="299" t="s">
        <v>123</v>
      </c>
    </row>
    <row r="648" spans="13:43" ht="15" customHeight="1" x14ac:dyDescent="0.25">
      <c r="M648" s="171">
        <v>30</v>
      </c>
      <c r="N648" s="171" t="s">
        <v>98</v>
      </c>
      <c r="O648" s="171" t="s">
        <v>123</v>
      </c>
      <c r="Q648" s="298">
        <v>37</v>
      </c>
      <c r="R648" s="298" t="s">
        <v>97</v>
      </c>
      <c r="S648" s="397" t="s">
        <v>688</v>
      </c>
      <c r="U648"/>
      <c r="V648"/>
      <c r="W648"/>
      <c r="Y648" s="171">
        <v>30</v>
      </c>
      <c r="Z648" s="171" t="s">
        <v>97</v>
      </c>
      <c r="AA648" s="171" t="s">
        <v>688</v>
      </c>
      <c r="AC648" s="505" t="s">
        <v>694</v>
      </c>
      <c r="AD648" s="505" t="s">
        <v>97</v>
      </c>
      <c r="AE648" s="505" t="s">
        <v>79</v>
      </c>
      <c r="AG648" s="171">
        <v>38</v>
      </c>
      <c r="AH648" s="171" t="s">
        <v>97</v>
      </c>
      <c r="AI648" s="171" t="s">
        <v>688</v>
      </c>
      <c r="AK648" s="299" t="s">
        <v>1350</v>
      </c>
      <c r="AL648" s="299" t="s">
        <v>82</v>
      </c>
      <c r="AM648" s="299" t="s">
        <v>79</v>
      </c>
      <c r="AO648" s="299">
        <v>56</v>
      </c>
      <c r="AP648" s="299" t="s">
        <v>81</v>
      </c>
      <c r="AQ648" s="299" t="s">
        <v>123</v>
      </c>
    </row>
    <row r="649" spans="13:43" ht="15" customHeight="1" x14ac:dyDescent="0.25">
      <c r="M649" s="171">
        <v>47</v>
      </c>
      <c r="N649" s="171" t="s">
        <v>97</v>
      </c>
      <c r="O649" s="171" t="s">
        <v>122</v>
      </c>
      <c r="Q649" s="298">
        <v>53</v>
      </c>
      <c r="R649" s="298" t="s">
        <v>97</v>
      </c>
      <c r="S649" s="397" t="s">
        <v>688</v>
      </c>
      <c r="U649"/>
      <c r="V649"/>
      <c r="W649"/>
      <c r="Y649" s="171">
        <v>26</v>
      </c>
      <c r="Z649" s="171" t="s">
        <v>97</v>
      </c>
      <c r="AA649" s="171" t="s">
        <v>688</v>
      </c>
      <c r="AC649" s="505" t="s">
        <v>694</v>
      </c>
      <c r="AD649" s="505" t="s">
        <v>97</v>
      </c>
      <c r="AE649" s="505" t="s">
        <v>79</v>
      </c>
      <c r="AG649" s="171">
        <v>69</v>
      </c>
      <c r="AH649" s="171" t="s">
        <v>98</v>
      </c>
      <c r="AI649" s="171" t="s">
        <v>688</v>
      </c>
      <c r="AK649" s="299" t="s">
        <v>1359</v>
      </c>
      <c r="AL649" s="299" t="s">
        <v>81</v>
      </c>
      <c r="AM649" s="299" t="s">
        <v>79</v>
      </c>
      <c r="AO649" s="299">
        <v>17</v>
      </c>
      <c r="AP649" s="299" t="s">
        <v>81</v>
      </c>
      <c r="AQ649" s="299" t="s">
        <v>123</v>
      </c>
    </row>
    <row r="650" spans="13:43" ht="15" customHeight="1" x14ac:dyDescent="0.25">
      <c r="M650" s="171">
        <v>41</v>
      </c>
      <c r="N650" s="171" t="s">
        <v>97</v>
      </c>
      <c r="O650" s="171" t="s">
        <v>122</v>
      </c>
      <c r="Q650" s="298">
        <v>56</v>
      </c>
      <c r="R650" s="298" t="s">
        <v>97</v>
      </c>
      <c r="S650" s="397" t="s">
        <v>688</v>
      </c>
      <c r="U650"/>
      <c r="V650"/>
      <c r="W650"/>
      <c r="Y650" s="171">
        <v>27</v>
      </c>
      <c r="Z650" s="171" t="s">
        <v>97</v>
      </c>
      <c r="AA650" s="171" t="s">
        <v>688</v>
      </c>
      <c r="AC650" s="505" t="s">
        <v>1089</v>
      </c>
      <c r="AD650" s="505" t="s">
        <v>97</v>
      </c>
      <c r="AE650" s="505" t="s">
        <v>79</v>
      </c>
      <c r="AG650" s="171">
        <v>33</v>
      </c>
      <c r="AH650" s="171" t="s">
        <v>98</v>
      </c>
      <c r="AI650" s="171" t="s">
        <v>688</v>
      </c>
      <c r="AK650" s="299" t="s">
        <v>1351</v>
      </c>
      <c r="AL650" s="299" t="s">
        <v>81</v>
      </c>
      <c r="AM650" s="299" t="s">
        <v>79</v>
      </c>
      <c r="AO650" s="299">
        <v>90</v>
      </c>
      <c r="AP650" s="299" t="s">
        <v>81</v>
      </c>
      <c r="AQ650" s="299" t="s">
        <v>123</v>
      </c>
    </row>
    <row r="651" spans="13:43" ht="15" customHeight="1" x14ac:dyDescent="0.25">
      <c r="M651" s="171">
        <v>54</v>
      </c>
      <c r="N651" s="171" t="s">
        <v>97</v>
      </c>
      <c r="O651" s="171" t="s">
        <v>122</v>
      </c>
      <c r="Q651" s="298">
        <v>34</v>
      </c>
      <c r="R651" s="298" t="s">
        <v>98</v>
      </c>
      <c r="S651" s="397" t="s">
        <v>688</v>
      </c>
      <c r="U651"/>
      <c r="V651"/>
      <c r="W651"/>
      <c r="Y651" s="171">
        <v>84</v>
      </c>
      <c r="Z651" s="171" t="s">
        <v>98</v>
      </c>
      <c r="AA651" s="171" t="s">
        <v>688</v>
      </c>
      <c r="AC651" s="505" t="s">
        <v>697</v>
      </c>
      <c r="AD651" s="505" t="s">
        <v>97</v>
      </c>
      <c r="AE651" s="505" t="s">
        <v>79</v>
      </c>
      <c r="AG651" s="171">
        <v>31</v>
      </c>
      <c r="AH651" s="171" t="s">
        <v>98</v>
      </c>
      <c r="AI651" s="171" t="s">
        <v>688</v>
      </c>
      <c r="AK651" s="299" t="s">
        <v>1350</v>
      </c>
      <c r="AL651" s="299" t="s">
        <v>82</v>
      </c>
      <c r="AM651" s="299" t="s">
        <v>79</v>
      </c>
      <c r="AO651" s="299">
        <v>70</v>
      </c>
      <c r="AP651" s="299" t="s">
        <v>81</v>
      </c>
      <c r="AQ651" s="299" t="s">
        <v>123</v>
      </c>
    </row>
    <row r="652" spans="13:43" ht="15" customHeight="1" x14ac:dyDescent="0.25">
      <c r="M652" s="171">
        <v>45</v>
      </c>
      <c r="N652" s="171" t="s">
        <v>97</v>
      </c>
      <c r="O652" s="171" t="s">
        <v>122</v>
      </c>
      <c r="Q652" s="298">
        <v>79</v>
      </c>
      <c r="R652" s="298" t="s">
        <v>97</v>
      </c>
      <c r="S652" s="397" t="s">
        <v>688</v>
      </c>
      <c r="U652"/>
      <c r="V652"/>
      <c r="W652"/>
      <c r="Y652" s="171">
        <v>15</v>
      </c>
      <c r="Z652" s="171" t="s">
        <v>98</v>
      </c>
      <c r="AA652" s="171" t="s">
        <v>688</v>
      </c>
      <c r="AC652" s="505" t="s">
        <v>694</v>
      </c>
      <c r="AD652" s="505" t="s">
        <v>98</v>
      </c>
      <c r="AE652" s="505" t="s">
        <v>79</v>
      </c>
      <c r="AG652" s="171">
        <v>27</v>
      </c>
      <c r="AH652" s="171" t="s">
        <v>97</v>
      </c>
      <c r="AI652" s="171" t="s">
        <v>688</v>
      </c>
      <c r="AK652" s="299" t="s">
        <v>1360</v>
      </c>
      <c r="AL652" s="299" t="s">
        <v>81</v>
      </c>
      <c r="AM652" s="299" t="s">
        <v>79</v>
      </c>
      <c r="AO652" s="299">
        <v>27</v>
      </c>
      <c r="AP652" s="299" t="s">
        <v>81</v>
      </c>
      <c r="AQ652" s="299" t="s">
        <v>123</v>
      </c>
    </row>
    <row r="653" spans="13:43" ht="15" customHeight="1" x14ac:dyDescent="0.25">
      <c r="M653" s="171">
        <v>21</v>
      </c>
      <c r="N653" s="171" t="s">
        <v>97</v>
      </c>
      <c r="O653" s="171" t="s">
        <v>122</v>
      </c>
      <c r="Q653" s="298">
        <v>5</v>
      </c>
      <c r="R653" s="298" t="s">
        <v>97</v>
      </c>
      <c r="S653" s="397" t="s">
        <v>688</v>
      </c>
      <c r="U653"/>
      <c r="V653"/>
      <c r="W653"/>
      <c r="Y653" s="171">
        <v>20</v>
      </c>
      <c r="Z653" s="171" t="s">
        <v>98</v>
      </c>
      <c r="AA653" s="171" t="s">
        <v>688</v>
      </c>
      <c r="AC653" s="505" t="s">
        <v>694</v>
      </c>
      <c r="AD653" s="505" t="s">
        <v>98</v>
      </c>
      <c r="AE653" s="505" t="s">
        <v>79</v>
      </c>
      <c r="AG653" s="171">
        <v>53</v>
      </c>
      <c r="AH653" s="171" t="s">
        <v>98</v>
      </c>
      <c r="AI653" s="171" t="s">
        <v>688</v>
      </c>
      <c r="AK653" s="299" t="s">
        <v>1350</v>
      </c>
      <c r="AL653" s="299" t="s">
        <v>81</v>
      </c>
      <c r="AM653" s="299" t="s">
        <v>79</v>
      </c>
      <c r="AO653" s="299">
        <v>27</v>
      </c>
      <c r="AP653" s="299" t="s">
        <v>81</v>
      </c>
      <c r="AQ653" s="299" t="s">
        <v>123</v>
      </c>
    </row>
    <row r="654" spans="13:43" ht="15" customHeight="1" x14ac:dyDescent="0.25">
      <c r="M654" s="171">
        <v>48</v>
      </c>
      <c r="N654" s="171" t="s">
        <v>97</v>
      </c>
      <c r="O654" s="171" t="s">
        <v>122</v>
      </c>
      <c r="Q654" s="298">
        <v>40</v>
      </c>
      <c r="R654" s="298" t="s">
        <v>98</v>
      </c>
      <c r="S654" s="397" t="s">
        <v>688</v>
      </c>
      <c r="U654"/>
      <c r="V654"/>
      <c r="W654"/>
      <c r="Y654" s="171">
        <v>19</v>
      </c>
      <c r="Z654" s="171" t="s">
        <v>97</v>
      </c>
      <c r="AA654" s="171" t="s">
        <v>688</v>
      </c>
      <c r="AC654" s="505" t="s">
        <v>695</v>
      </c>
      <c r="AD654" s="505" t="s">
        <v>97</v>
      </c>
      <c r="AE654" s="505" t="s">
        <v>79</v>
      </c>
      <c r="AG654" s="171">
        <v>16</v>
      </c>
      <c r="AH654" s="171" t="s">
        <v>97</v>
      </c>
      <c r="AI654" s="171" t="s">
        <v>688</v>
      </c>
      <c r="AK654" s="299" t="s">
        <v>1350</v>
      </c>
      <c r="AL654" s="299" t="s">
        <v>82</v>
      </c>
      <c r="AM654" s="299" t="s">
        <v>79</v>
      </c>
      <c r="AO654" s="299">
        <v>34</v>
      </c>
      <c r="AP654" s="299" t="s">
        <v>81</v>
      </c>
      <c r="AQ654" s="299" t="s">
        <v>123</v>
      </c>
    </row>
    <row r="655" spans="13:43" ht="15" customHeight="1" x14ac:dyDescent="0.25">
      <c r="M655" s="171">
        <v>19</v>
      </c>
      <c r="N655" s="171" t="s">
        <v>97</v>
      </c>
      <c r="O655" s="171" t="s">
        <v>122</v>
      </c>
      <c r="Q655" s="298">
        <v>59</v>
      </c>
      <c r="R655" s="298" t="s">
        <v>98</v>
      </c>
      <c r="S655" s="397" t="s">
        <v>688</v>
      </c>
      <c r="U655"/>
      <c r="V655"/>
      <c r="W655"/>
      <c r="Y655" s="171">
        <v>55</v>
      </c>
      <c r="Z655" s="171" t="s">
        <v>98</v>
      </c>
      <c r="AA655" s="171" t="s">
        <v>688</v>
      </c>
      <c r="AC655" s="505" t="s">
        <v>695</v>
      </c>
      <c r="AD655" s="505" t="s">
        <v>98</v>
      </c>
      <c r="AE655" s="505" t="s">
        <v>79</v>
      </c>
      <c r="AG655" s="171">
        <v>85</v>
      </c>
      <c r="AH655" s="171" t="s">
        <v>98</v>
      </c>
      <c r="AI655" s="171" t="s">
        <v>688</v>
      </c>
      <c r="AK655" s="299" t="s">
        <v>1353</v>
      </c>
      <c r="AL655" s="299" t="s">
        <v>81</v>
      </c>
      <c r="AM655" s="299" t="s">
        <v>79</v>
      </c>
      <c r="AO655" s="299">
        <v>10</v>
      </c>
      <c r="AP655" s="299" t="s">
        <v>81</v>
      </c>
      <c r="AQ655" s="299" t="s">
        <v>134</v>
      </c>
    </row>
    <row r="656" spans="13:43" ht="15" customHeight="1" x14ac:dyDescent="0.25">
      <c r="M656" s="171">
        <v>19</v>
      </c>
      <c r="N656" s="171" t="s">
        <v>97</v>
      </c>
      <c r="O656" s="171" t="s">
        <v>122</v>
      </c>
      <c r="Q656" s="298">
        <v>45</v>
      </c>
      <c r="R656" s="298" t="s">
        <v>97</v>
      </c>
      <c r="S656" s="397" t="s">
        <v>688</v>
      </c>
      <c r="U656"/>
      <c r="V656"/>
      <c r="W656"/>
      <c r="Y656" s="171">
        <v>50</v>
      </c>
      <c r="Z656" s="171" t="s">
        <v>97</v>
      </c>
      <c r="AA656" s="171" t="s">
        <v>688</v>
      </c>
      <c r="AC656" s="505" t="s">
        <v>696</v>
      </c>
      <c r="AD656" s="505" t="s">
        <v>97</v>
      </c>
      <c r="AE656" s="505" t="s">
        <v>79</v>
      </c>
      <c r="AG656" s="171">
        <v>4</v>
      </c>
      <c r="AH656" s="171" t="s">
        <v>97</v>
      </c>
      <c r="AI656" s="171" t="s">
        <v>688</v>
      </c>
      <c r="AK656" s="299" t="s">
        <v>1360</v>
      </c>
      <c r="AL656" s="299" t="s">
        <v>82</v>
      </c>
      <c r="AM656" s="299" t="s">
        <v>79</v>
      </c>
      <c r="AO656" s="299">
        <v>10</v>
      </c>
      <c r="AP656" s="299" t="s">
        <v>81</v>
      </c>
      <c r="AQ656" s="299" t="s">
        <v>134</v>
      </c>
    </row>
    <row r="657" spans="13:43" ht="15" customHeight="1" x14ac:dyDescent="0.25">
      <c r="M657" s="171">
        <v>40</v>
      </c>
      <c r="N657" s="171" t="s">
        <v>97</v>
      </c>
      <c r="O657" s="171" t="s">
        <v>122</v>
      </c>
      <c r="Q657" s="298">
        <v>34</v>
      </c>
      <c r="R657" s="298" t="s">
        <v>98</v>
      </c>
      <c r="S657" s="397" t="s">
        <v>688</v>
      </c>
      <c r="U657"/>
      <c r="V657"/>
      <c r="W657"/>
      <c r="Y657" s="171">
        <v>43</v>
      </c>
      <c r="Z657" s="171" t="s">
        <v>97</v>
      </c>
      <c r="AA657" s="171" t="s">
        <v>688</v>
      </c>
      <c r="AC657" s="505" t="s">
        <v>684</v>
      </c>
      <c r="AD657" s="505" t="s">
        <v>98</v>
      </c>
      <c r="AE657" s="505" t="s">
        <v>79</v>
      </c>
      <c r="AG657" s="171">
        <v>34</v>
      </c>
      <c r="AH657" s="171" t="s">
        <v>98</v>
      </c>
      <c r="AI657" s="171" t="s">
        <v>688</v>
      </c>
      <c r="AK657" s="299" t="s">
        <v>1350</v>
      </c>
      <c r="AL657" s="299" t="s">
        <v>82</v>
      </c>
      <c r="AM657" s="299" t="s">
        <v>79</v>
      </c>
      <c r="AO657" s="299">
        <v>5</v>
      </c>
      <c r="AP657" s="299" t="s">
        <v>82</v>
      </c>
      <c r="AQ657" s="299" t="s">
        <v>134</v>
      </c>
    </row>
    <row r="658" spans="13:43" ht="15" customHeight="1" x14ac:dyDescent="0.25">
      <c r="M658" s="171">
        <v>57</v>
      </c>
      <c r="N658" s="171" t="s">
        <v>97</v>
      </c>
      <c r="O658" s="171" t="s">
        <v>122</v>
      </c>
      <c r="Q658" s="298">
        <v>68</v>
      </c>
      <c r="R658" s="298" t="s">
        <v>97</v>
      </c>
      <c r="S658" s="397" t="s">
        <v>688</v>
      </c>
      <c r="U658"/>
      <c r="V658"/>
      <c r="W658"/>
      <c r="Y658" s="171">
        <v>19</v>
      </c>
      <c r="Z658" s="171" t="s">
        <v>97</v>
      </c>
      <c r="AA658" s="171" t="s">
        <v>688</v>
      </c>
      <c r="AC658" s="505" t="s">
        <v>694</v>
      </c>
      <c r="AD658" s="505" t="s">
        <v>98</v>
      </c>
      <c r="AE658" s="505" t="s">
        <v>79</v>
      </c>
      <c r="AG658" s="171">
        <v>73</v>
      </c>
      <c r="AH658" s="171" t="s">
        <v>98</v>
      </c>
      <c r="AI658" s="171" t="s">
        <v>688</v>
      </c>
      <c r="AK658" s="299">
        <v>25</v>
      </c>
      <c r="AL658" s="299" t="s">
        <v>81</v>
      </c>
      <c r="AM658" s="299" t="s">
        <v>1332</v>
      </c>
      <c r="AO658" s="299">
        <v>6</v>
      </c>
      <c r="AP658" s="299" t="s">
        <v>82</v>
      </c>
      <c r="AQ658" s="299" t="s">
        <v>134</v>
      </c>
    </row>
    <row r="659" spans="13:43" ht="15" customHeight="1" x14ac:dyDescent="0.25">
      <c r="M659" s="171">
        <v>69</v>
      </c>
      <c r="N659" s="171" t="s">
        <v>97</v>
      </c>
      <c r="O659" s="171" t="s">
        <v>122</v>
      </c>
      <c r="Q659" s="298">
        <v>68</v>
      </c>
      <c r="R659" s="298" t="s">
        <v>98</v>
      </c>
      <c r="S659" s="397" t="s">
        <v>688</v>
      </c>
      <c r="U659"/>
      <c r="V659"/>
      <c r="W659"/>
      <c r="Y659" s="171">
        <v>53</v>
      </c>
      <c r="Z659" s="171" t="s">
        <v>98</v>
      </c>
      <c r="AA659" s="171" t="s">
        <v>688</v>
      </c>
      <c r="AC659" s="505" t="s">
        <v>694</v>
      </c>
      <c r="AD659" s="505" t="s">
        <v>98</v>
      </c>
      <c r="AE659" s="505" t="s">
        <v>79</v>
      </c>
      <c r="AG659" s="171">
        <v>57</v>
      </c>
      <c r="AH659" s="171" t="s">
        <v>98</v>
      </c>
      <c r="AI659" s="171" t="s">
        <v>688</v>
      </c>
      <c r="AK659" s="299">
        <v>92</v>
      </c>
      <c r="AL659" s="299" t="s">
        <v>81</v>
      </c>
      <c r="AM659" s="299" t="s">
        <v>688</v>
      </c>
      <c r="AO659" s="299" t="s">
        <v>1366</v>
      </c>
      <c r="AP659" s="299" t="s">
        <v>82</v>
      </c>
      <c r="AQ659" s="299" t="s">
        <v>134</v>
      </c>
    </row>
    <row r="660" spans="13:43" ht="15" customHeight="1" x14ac:dyDescent="0.25">
      <c r="M660" s="171">
        <v>74</v>
      </c>
      <c r="N660" s="171" t="s">
        <v>97</v>
      </c>
      <c r="O660" s="171" t="s">
        <v>122</v>
      </c>
      <c r="Q660" s="298">
        <v>31</v>
      </c>
      <c r="R660" s="298" t="s">
        <v>97</v>
      </c>
      <c r="S660" s="397" t="s">
        <v>688</v>
      </c>
      <c r="U660"/>
      <c r="V660"/>
      <c r="W660"/>
      <c r="Y660" s="171">
        <v>48</v>
      </c>
      <c r="Z660" s="171" t="s">
        <v>97</v>
      </c>
      <c r="AA660" s="171" t="s">
        <v>688</v>
      </c>
      <c r="AC660" s="505" t="s">
        <v>712</v>
      </c>
      <c r="AD660" s="505" t="s">
        <v>98</v>
      </c>
      <c r="AE660" s="505" t="s">
        <v>79</v>
      </c>
      <c r="AG660" s="171">
        <v>85</v>
      </c>
      <c r="AH660" s="171" t="s">
        <v>97</v>
      </c>
      <c r="AI660" s="171" t="s">
        <v>688</v>
      </c>
      <c r="AK660" s="299">
        <v>11</v>
      </c>
      <c r="AL660" s="299" t="s">
        <v>82</v>
      </c>
      <c r="AM660" s="299" t="s">
        <v>688</v>
      </c>
      <c r="AO660" s="299">
        <v>6</v>
      </c>
      <c r="AP660" s="299" t="s">
        <v>81</v>
      </c>
      <c r="AQ660" s="299" t="s">
        <v>134</v>
      </c>
    </row>
    <row r="661" spans="13:43" ht="15" customHeight="1" x14ac:dyDescent="0.25">
      <c r="M661" s="171">
        <v>63</v>
      </c>
      <c r="N661" s="171" t="s">
        <v>97</v>
      </c>
      <c r="O661" s="171" t="s">
        <v>122</v>
      </c>
      <c r="Q661" s="298">
        <v>52</v>
      </c>
      <c r="R661" s="298" t="s">
        <v>97</v>
      </c>
      <c r="S661" s="397" t="s">
        <v>688</v>
      </c>
      <c r="U661"/>
      <c r="V661"/>
      <c r="W661"/>
      <c r="Y661" s="171">
        <v>33</v>
      </c>
      <c r="Z661" s="171" t="s">
        <v>98</v>
      </c>
      <c r="AA661" s="171" t="s">
        <v>688</v>
      </c>
      <c r="AC661" s="505" t="s">
        <v>712</v>
      </c>
      <c r="AD661" s="505" t="s">
        <v>97</v>
      </c>
      <c r="AE661" s="505" t="s">
        <v>79</v>
      </c>
      <c r="AG661" s="171">
        <v>45</v>
      </c>
      <c r="AH661" s="171" t="s">
        <v>97</v>
      </c>
      <c r="AI661" s="171" t="s">
        <v>688</v>
      </c>
      <c r="AK661" s="299">
        <v>2</v>
      </c>
      <c r="AL661" s="299" t="s">
        <v>81</v>
      </c>
      <c r="AM661" s="299" t="s">
        <v>688</v>
      </c>
      <c r="AO661" s="299">
        <v>1</v>
      </c>
      <c r="AP661" s="299" t="s">
        <v>82</v>
      </c>
      <c r="AQ661" s="299" t="s">
        <v>134</v>
      </c>
    </row>
    <row r="662" spans="13:43" ht="15" customHeight="1" x14ac:dyDescent="0.25">
      <c r="M662" s="171">
        <v>80</v>
      </c>
      <c r="N662" s="171" t="s">
        <v>97</v>
      </c>
      <c r="O662" s="171" t="s">
        <v>122</v>
      </c>
      <c r="Q662" s="298">
        <v>37</v>
      </c>
      <c r="R662" s="298" t="s">
        <v>98</v>
      </c>
      <c r="S662" s="397" t="s">
        <v>688</v>
      </c>
      <c r="U662"/>
      <c r="V662"/>
      <c r="W662"/>
      <c r="Y662" s="171">
        <v>31</v>
      </c>
      <c r="Z662" s="171" t="s">
        <v>98</v>
      </c>
      <c r="AA662" s="171" t="s">
        <v>688</v>
      </c>
      <c r="AC662" s="505" t="s">
        <v>694</v>
      </c>
      <c r="AD662" s="505" t="s">
        <v>97</v>
      </c>
      <c r="AE662" s="505" t="s">
        <v>79</v>
      </c>
      <c r="AG662" s="171">
        <v>49</v>
      </c>
      <c r="AH662" s="171" t="s">
        <v>98</v>
      </c>
      <c r="AI662" s="171" t="s">
        <v>688</v>
      </c>
      <c r="AK662" s="299">
        <v>82</v>
      </c>
      <c r="AL662" s="299" t="s">
        <v>81</v>
      </c>
      <c r="AM662" s="299" t="s">
        <v>688</v>
      </c>
      <c r="AO662" s="299">
        <v>2</v>
      </c>
      <c r="AP662" s="299" t="s">
        <v>82</v>
      </c>
      <c r="AQ662" s="299" t="s">
        <v>134</v>
      </c>
    </row>
    <row r="663" spans="13:43" ht="15" customHeight="1" x14ac:dyDescent="0.25">
      <c r="M663" s="171">
        <v>13</v>
      </c>
      <c r="N663" s="171" t="s">
        <v>97</v>
      </c>
      <c r="O663" s="171" t="s">
        <v>122</v>
      </c>
      <c r="Q663" s="298">
        <v>14</v>
      </c>
      <c r="R663" s="298" t="s">
        <v>98</v>
      </c>
      <c r="S663" s="397" t="s">
        <v>688</v>
      </c>
      <c r="U663"/>
      <c r="V663"/>
      <c r="W663"/>
      <c r="Y663" s="171">
        <v>82</v>
      </c>
      <c r="Z663" s="171" t="s">
        <v>97</v>
      </c>
      <c r="AA663" s="171" t="s">
        <v>688</v>
      </c>
      <c r="AC663" s="505" t="s">
        <v>694</v>
      </c>
      <c r="AD663" s="505" t="s">
        <v>97</v>
      </c>
      <c r="AE663" s="505" t="s">
        <v>79</v>
      </c>
      <c r="AG663" s="171">
        <v>2</v>
      </c>
      <c r="AH663" s="171" t="s">
        <v>98</v>
      </c>
      <c r="AI663" s="171" t="s">
        <v>688</v>
      </c>
      <c r="AK663" s="299">
        <v>22</v>
      </c>
      <c r="AL663" s="299" t="s">
        <v>82</v>
      </c>
      <c r="AM663" s="299" t="s">
        <v>688</v>
      </c>
      <c r="AO663" s="299">
        <v>3</v>
      </c>
      <c r="AP663" s="299" t="s">
        <v>82</v>
      </c>
      <c r="AQ663" s="299" t="s">
        <v>134</v>
      </c>
    </row>
    <row r="664" spans="13:43" ht="15" customHeight="1" x14ac:dyDescent="0.25">
      <c r="M664" s="171">
        <v>37</v>
      </c>
      <c r="N664" s="171" t="s">
        <v>97</v>
      </c>
      <c r="O664" s="171" t="s">
        <v>122</v>
      </c>
      <c r="Q664" s="298">
        <v>10</v>
      </c>
      <c r="R664" s="298" t="s">
        <v>98</v>
      </c>
      <c r="S664" s="397" t="s">
        <v>688</v>
      </c>
      <c r="U664"/>
      <c r="V664"/>
      <c r="W664"/>
      <c r="Y664" s="171">
        <v>81</v>
      </c>
      <c r="Z664" s="171" t="s">
        <v>98</v>
      </c>
      <c r="AA664" s="171" t="s">
        <v>688</v>
      </c>
      <c r="AC664" s="505" t="s">
        <v>694</v>
      </c>
      <c r="AD664" s="505" t="s">
        <v>98</v>
      </c>
      <c r="AE664" s="505" t="s">
        <v>79</v>
      </c>
      <c r="AG664" s="171">
        <v>32</v>
      </c>
      <c r="AH664" s="171" t="s">
        <v>97</v>
      </c>
      <c r="AI664" s="171" t="s">
        <v>688</v>
      </c>
      <c r="AK664" s="299">
        <v>51</v>
      </c>
      <c r="AL664" s="299" t="s">
        <v>82</v>
      </c>
      <c r="AM664" s="299" t="s">
        <v>688</v>
      </c>
      <c r="AO664" s="299">
        <v>10</v>
      </c>
      <c r="AP664" s="299" t="s">
        <v>82</v>
      </c>
      <c r="AQ664" s="299" t="s">
        <v>134</v>
      </c>
    </row>
    <row r="665" spans="13:43" ht="15" customHeight="1" x14ac:dyDescent="0.25">
      <c r="M665" s="171">
        <v>80</v>
      </c>
      <c r="N665" s="171" t="s">
        <v>97</v>
      </c>
      <c r="O665" s="171" t="s">
        <v>122</v>
      </c>
      <c r="Q665" s="298">
        <v>50</v>
      </c>
      <c r="R665" s="298" t="s">
        <v>97</v>
      </c>
      <c r="S665" s="397" t="s">
        <v>688</v>
      </c>
      <c r="U665"/>
      <c r="V665"/>
      <c r="W665"/>
      <c r="Y665" s="171">
        <v>47</v>
      </c>
      <c r="Z665" s="171" t="s">
        <v>97</v>
      </c>
      <c r="AA665" s="171" t="s">
        <v>688</v>
      </c>
      <c r="AC665" s="505" t="s">
        <v>879</v>
      </c>
      <c r="AD665" s="505" t="s">
        <v>98</v>
      </c>
      <c r="AE665" s="505" t="s">
        <v>79</v>
      </c>
      <c r="AG665" s="505">
        <v>3</v>
      </c>
      <c r="AH665" s="505" t="s">
        <v>98</v>
      </c>
      <c r="AI665" s="171" t="s">
        <v>688</v>
      </c>
      <c r="AK665" s="503">
        <v>19</v>
      </c>
      <c r="AL665" s="503" t="s">
        <v>82</v>
      </c>
      <c r="AM665" s="299" t="s">
        <v>688</v>
      </c>
      <c r="AO665" s="503">
        <v>5</v>
      </c>
      <c r="AP665" s="503" t="s">
        <v>82</v>
      </c>
      <c r="AQ665" s="299" t="s">
        <v>134</v>
      </c>
    </row>
    <row r="666" spans="13:43" ht="15" customHeight="1" x14ac:dyDescent="0.25">
      <c r="M666" s="171">
        <v>79</v>
      </c>
      <c r="N666" s="171" t="s">
        <v>97</v>
      </c>
      <c r="O666" s="171" t="s">
        <v>122</v>
      </c>
      <c r="Q666" s="298">
        <v>14</v>
      </c>
      <c r="R666" s="298" t="s">
        <v>98</v>
      </c>
      <c r="S666" s="397" t="s">
        <v>688</v>
      </c>
      <c r="U666"/>
      <c r="V666"/>
      <c r="W666"/>
      <c r="Y666" s="171">
        <v>3</v>
      </c>
      <c r="Z666" s="171" t="s">
        <v>97</v>
      </c>
      <c r="AA666" s="171" t="s">
        <v>688</v>
      </c>
      <c r="AC666" s="505" t="s">
        <v>694</v>
      </c>
      <c r="AD666" s="505" t="s">
        <v>97</v>
      </c>
      <c r="AE666" s="505" t="s">
        <v>79</v>
      </c>
      <c r="AG666" s="171">
        <v>90</v>
      </c>
      <c r="AH666" s="171" t="s">
        <v>98</v>
      </c>
      <c r="AI666" s="171" t="s">
        <v>688</v>
      </c>
      <c r="AK666" s="299">
        <v>68</v>
      </c>
      <c r="AL666" s="299" t="s">
        <v>82</v>
      </c>
      <c r="AM666" s="299" t="s">
        <v>688</v>
      </c>
      <c r="AO666" s="299">
        <v>12</v>
      </c>
      <c r="AP666" s="299" t="s">
        <v>82</v>
      </c>
      <c r="AQ666" s="299" t="s">
        <v>134</v>
      </c>
    </row>
    <row r="667" spans="13:43" ht="15" customHeight="1" x14ac:dyDescent="0.25">
      <c r="M667" s="171">
        <v>23</v>
      </c>
      <c r="N667" s="171" t="s">
        <v>97</v>
      </c>
      <c r="O667" s="171" t="s">
        <v>688</v>
      </c>
      <c r="Q667" s="298">
        <v>76</v>
      </c>
      <c r="R667" s="298" t="s">
        <v>97</v>
      </c>
      <c r="S667" s="397" t="s">
        <v>688</v>
      </c>
      <c r="U667"/>
      <c r="V667"/>
      <c r="W667"/>
      <c r="Y667" s="171">
        <v>65</v>
      </c>
      <c r="Z667" s="171" t="s">
        <v>98</v>
      </c>
      <c r="AA667" s="171" t="s">
        <v>688</v>
      </c>
      <c r="AC667" s="505" t="s">
        <v>694</v>
      </c>
      <c r="AD667" s="505" t="s">
        <v>97</v>
      </c>
      <c r="AE667" s="505" t="s">
        <v>79</v>
      </c>
      <c r="AG667" s="171">
        <v>34</v>
      </c>
      <c r="AH667" s="171" t="s">
        <v>97</v>
      </c>
      <c r="AI667" s="171" t="s">
        <v>688</v>
      </c>
      <c r="AK667" s="299">
        <v>66</v>
      </c>
      <c r="AL667" s="299" t="s">
        <v>81</v>
      </c>
      <c r="AM667" s="299" t="s">
        <v>688</v>
      </c>
      <c r="AO667" s="299">
        <v>3</v>
      </c>
      <c r="AP667" s="299" t="s">
        <v>82</v>
      </c>
      <c r="AQ667" s="299" t="s">
        <v>134</v>
      </c>
    </row>
    <row r="668" spans="13:43" ht="15" customHeight="1" x14ac:dyDescent="0.25">
      <c r="M668" s="171">
        <v>35</v>
      </c>
      <c r="N668" s="171" t="s">
        <v>98</v>
      </c>
      <c r="O668" s="171" t="s">
        <v>688</v>
      </c>
      <c r="Q668" s="298">
        <v>66</v>
      </c>
      <c r="R668" s="298" t="s">
        <v>98</v>
      </c>
      <c r="S668" s="397" t="s">
        <v>688</v>
      </c>
      <c r="U668"/>
      <c r="V668"/>
      <c r="W668"/>
      <c r="Y668" s="171">
        <v>30</v>
      </c>
      <c r="Z668" s="171" t="s">
        <v>98</v>
      </c>
      <c r="AA668" s="171" t="s">
        <v>688</v>
      </c>
      <c r="AC668" s="505" t="s">
        <v>694</v>
      </c>
      <c r="AD668" s="505" t="s">
        <v>97</v>
      </c>
      <c r="AE668" s="505" t="s">
        <v>79</v>
      </c>
      <c r="AG668" s="171">
        <v>4</v>
      </c>
      <c r="AH668" s="171" t="s">
        <v>98</v>
      </c>
      <c r="AI668" s="171" t="s">
        <v>688</v>
      </c>
      <c r="AK668" s="299">
        <v>43</v>
      </c>
      <c r="AL668" s="299" t="s">
        <v>81</v>
      </c>
      <c r="AM668" s="299" t="s">
        <v>688</v>
      </c>
      <c r="AO668" s="299" t="s">
        <v>1341</v>
      </c>
      <c r="AP668" s="299" t="s">
        <v>81</v>
      </c>
      <c r="AQ668" s="299" t="s">
        <v>134</v>
      </c>
    </row>
    <row r="669" spans="13:43" ht="15" customHeight="1" x14ac:dyDescent="0.25">
      <c r="M669" s="171">
        <v>52</v>
      </c>
      <c r="N669" s="171" t="s">
        <v>97</v>
      </c>
      <c r="O669" s="171" t="s">
        <v>688</v>
      </c>
      <c r="Q669" s="298">
        <v>16</v>
      </c>
      <c r="R669" s="298" t="s">
        <v>98</v>
      </c>
      <c r="S669" s="397" t="s">
        <v>688</v>
      </c>
      <c r="U669"/>
      <c r="V669"/>
      <c r="W669"/>
      <c r="Y669" s="171">
        <v>47</v>
      </c>
      <c r="Z669" s="171" t="s">
        <v>98</v>
      </c>
      <c r="AA669" s="171" t="s">
        <v>688</v>
      </c>
      <c r="AC669" s="505">
        <v>48</v>
      </c>
      <c r="AD669" s="505" t="s">
        <v>98</v>
      </c>
      <c r="AE669" s="505" t="s">
        <v>688</v>
      </c>
      <c r="AG669" s="171">
        <v>60</v>
      </c>
      <c r="AH669" s="171" t="s">
        <v>97</v>
      </c>
      <c r="AI669" s="171" t="s">
        <v>688</v>
      </c>
      <c r="AK669" s="299">
        <v>76</v>
      </c>
      <c r="AL669" s="299" t="s">
        <v>81</v>
      </c>
      <c r="AM669" s="299" t="s">
        <v>688</v>
      </c>
      <c r="AO669" s="299">
        <v>5</v>
      </c>
      <c r="AP669" s="299" t="s">
        <v>81</v>
      </c>
      <c r="AQ669" s="299" t="s">
        <v>134</v>
      </c>
    </row>
    <row r="670" spans="13:43" ht="15" customHeight="1" x14ac:dyDescent="0.25">
      <c r="M670" s="171">
        <v>1</v>
      </c>
      <c r="N670" s="171" t="s">
        <v>98</v>
      </c>
      <c r="O670" s="171" t="s">
        <v>688</v>
      </c>
      <c r="Q670" s="298">
        <v>44</v>
      </c>
      <c r="R670" s="298" t="s">
        <v>98</v>
      </c>
      <c r="S670" s="397" t="s">
        <v>688</v>
      </c>
      <c r="U670"/>
      <c r="V670"/>
      <c r="W670"/>
      <c r="Y670" s="171">
        <v>40</v>
      </c>
      <c r="Z670" s="171" t="s">
        <v>97</v>
      </c>
      <c r="AA670" s="171" t="s">
        <v>688</v>
      </c>
      <c r="AC670" s="505">
        <v>63</v>
      </c>
      <c r="AD670" s="505" t="s">
        <v>97</v>
      </c>
      <c r="AE670" s="505" t="s">
        <v>688</v>
      </c>
      <c r="AG670" s="171">
        <v>83</v>
      </c>
      <c r="AH670" s="171" t="s">
        <v>98</v>
      </c>
      <c r="AI670" s="171" t="s">
        <v>688</v>
      </c>
      <c r="AK670" s="299">
        <v>57</v>
      </c>
      <c r="AL670" s="299" t="s">
        <v>82</v>
      </c>
      <c r="AM670" s="299" t="s">
        <v>688</v>
      </c>
      <c r="AO670" s="299">
        <v>9</v>
      </c>
      <c r="AP670" s="299" t="s">
        <v>81</v>
      </c>
      <c r="AQ670" s="299" t="s">
        <v>134</v>
      </c>
    </row>
    <row r="671" spans="13:43" ht="15" customHeight="1" x14ac:dyDescent="0.25">
      <c r="M671" s="171">
        <v>74</v>
      </c>
      <c r="N671" s="171" t="s">
        <v>953</v>
      </c>
      <c r="O671" s="171" t="s">
        <v>688</v>
      </c>
      <c r="Q671" s="298">
        <v>52</v>
      </c>
      <c r="R671" s="298" t="s">
        <v>97</v>
      </c>
      <c r="S671" s="397" t="s">
        <v>688</v>
      </c>
      <c r="U671"/>
      <c r="V671"/>
      <c r="W671"/>
      <c r="Y671" s="171">
        <v>46</v>
      </c>
      <c r="Z671" s="171" t="s">
        <v>97</v>
      </c>
      <c r="AA671" s="171" t="s">
        <v>688</v>
      </c>
      <c r="AC671" s="505">
        <v>65</v>
      </c>
      <c r="AD671" s="505" t="s">
        <v>97</v>
      </c>
      <c r="AE671" s="505" t="s">
        <v>688</v>
      </c>
      <c r="AG671" s="171">
        <v>33</v>
      </c>
      <c r="AH671" s="171" t="s">
        <v>97</v>
      </c>
      <c r="AI671" s="171" t="s">
        <v>688</v>
      </c>
      <c r="AK671" s="299">
        <v>61</v>
      </c>
      <c r="AL671" s="299" t="s">
        <v>81</v>
      </c>
      <c r="AM671" s="299" t="s">
        <v>688</v>
      </c>
      <c r="AO671" s="299" t="s">
        <v>1346</v>
      </c>
      <c r="AP671" s="299" t="s">
        <v>81</v>
      </c>
      <c r="AQ671" s="299" t="s">
        <v>134</v>
      </c>
    </row>
    <row r="672" spans="13:43" ht="15" customHeight="1" x14ac:dyDescent="0.25">
      <c r="M672" s="171">
        <v>69</v>
      </c>
      <c r="N672" s="171" t="s">
        <v>97</v>
      </c>
      <c r="O672" s="171" t="s">
        <v>688</v>
      </c>
      <c r="Q672" s="298">
        <v>58</v>
      </c>
      <c r="R672" s="298" t="s">
        <v>98</v>
      </c>
      <c r="S672" s="397" t="s">
        <v>688</v>
      </c>
      <c r="U672"/>
      <c r="V672"/>
      <c r="W672"/>
      <c r="Y672" s="171">
        <v>13</v>
      </c>
      <c r="Z672" s="171" t="s">
        <v>97</v>
      </c>
      <c r="AA672" s="171" t="s">
        <v>688</v>
      </c>
      <c r="AC672" s="505">
        <v>74</v>
      </c>
      <c r="AD672" s="505" t="s">
        <v>98</v>
      </c>
      <c r="AE672" s="505" t="s">
        <v>688</v>
      </c>
      <c r="AG672" s="171">
        <v>1</v>
      </c>
      <c r="AH672" s="171" t="s">
        <v>97</v>
      </c>
      <c r="AI672" s="171" t="s">
        <v>688</v>
      </c>
      <c r="AK672" s="299">
        <v>64</v>
      </c>
      <c r="AL672" s="299" t="s">
        <v>82</v>
      </c>
      <c r="AM672" s="299" t="s">
        <v>688</v>
      </c>
      <c r="AO672" s="299">
        <v>1</v>
      </c>
      <c r="AP672" s="299" t="s">
        <v>81</v>
      </c>
      <c r="AQ672" s="299" t="s">
        <v>134</v>
      </c>
    </row>
    <row r="673" spans="13:43" ht="15" customHeight="1" x14ac:dyDescent="0.25">
      <c r="M673" s="171">
        <v>15</v>
      </c>
      <c r="N673" s="171" t="s">
        <v>97</v>
      </c>
      <c r="O673" s="171" t="s">
        <v>688</v>
      </c>
      <c r="Q673" s="298">
        <v>25</v>
      </c>
      <c r="R673" s="298" t="s">
        <v>97</v>
      </c>
      <c r="S673" s="397" t="s">
        <v>688</v>
      </c>
      <c r="U673"/>
      <c r="V673"/>
      <c r="W673"/>
      <c r="Y673" s="171">
        <v>19</v>
      </c>
      <c r="Z673" s="171" t="s">
        <v>98</v>
      </c>
      <c r="AA673" s="171" t="s">
        <v>688</v>
      </c>
      <c r="AC673" s="505">
        <v>55</v>
      </c>
      <c r="AD673" s="505" t="s">
        <v>98</v>
      </c>
      <c r="AE673" s="505" t="s">
        <v>688</v>
      </c>
      <c r="AG673" s="171">
        <v>84</v>
      </c>
      <c r="AH673" s="171" t="s">
        <v>98</v>
      </c>
      <c r="AI673" s="171" t="s">
        <v>688</v>
      </c>
      <c r="AK673" s="299">
        <v>12</v>
      </c>
      <c r="AL673" s="299" t="s">
        <v>82</v>
      </c>
      <c r="AM673" s="299" t="s">
        <v>688</v>
      </c>
      <c r="AO673" s="299">
        <v>2</v>
      </c>
      <c r="AP673" s="299" t="s">
        <v>81</v>
      </c>
      <c r="AQ673" s="299" t="s">
        <v>134</v>
      </c>
    </row>
    <row r="674" spans="13:43" ht="15" customHeight="1" x14ac:dyDescent="0.25">
      <c r="M674" s="171">
        <v>77</v>
      </c>
      <c r="N674" s="171" t="s">
        <v>98</v>
      </c>
      <c r="O674" s="171" t="s">
        <v>688</v>
      </c>
      <c r="Q674" s="154" t="s">
        <v>694</v>
      </c>
      <c r="R674" s="154" t="s">
        <v>98</v>
      </c>
      <c r="S674" s="397" t="s">
        <v>79</v>
      </c>
      <c r="U674"/>
      <c r="V674"/>
      <c r="W674"/>
      <c r="Y674" s="171">
        <v>39</v>
      </c>
      <c r="Z674" s="171" t="s">
        <v>97</v>
      </c>
      <c r="AA674" s="171" t="s">
        <v>688</v>
      </c>
      <c r="AC674" s="505">
        <v>30</v>
      </c>
      <c r="AD674" s="505" t="s">
        <v>97</v>
      </c>
      <c r="AE674" s="505" t="s">
        <v>688</v>
      </c>
      <c r="AG674" s="171">
        <v>65</v>
      </c>
      <c r="AH674" s="171" t="s">
        <v>97</v>
      </c>
      <c r="AI674" s="171" t="s">
        <v>688</v>
      </c>
      <c r="AK674" s="299">
        <v>33</v>
      </c>
      <c r="AL674" s="299" t="s">
        <v>81</v>
      </c>
      <c r="AM674" s="299" t="s">
        <v>688</v>
      </c>
      <c r="AO674" s="299">
        <v>10</v>
      </c>
      <c r="AP674" s="299" t="s">
        <v>81</v>
      </c>
      <c r="AQ674" s="299" t="s">
        <v>134</v>
      </c>
    </row>
    <row r="675" spans="13:43" ht="15" customHeight="1" x14ac:dyDescent="0.25">
      <c r="M675" s="171">
        <v>45</v>
      </c>
      <c r="N675" s="171" t="s">
        <v>98</v>
      </c>
      <c r="O675" s="171" t="s">
        <v>688</v>
      </c>
      <c r="Q675" s="298" t="s">
        <v>956</v>
      </c>
      <c r="R675" s="298" t="s">
        <v>98</v>
      </c>
      <c r="S675" s="397" t="s">
        <v>79</v>
      </c>
      <c r="U675"/>
      <c r="V675"/>
      <c r="W675"/>
      <c r="Y675" s="171">
        <v>35</v>
      </c>
      <c r="Z675" s="171" t="s">
        <v>97</v>
      </c>
      <c r="AA675" s="171" t="s">
        <v>688</v>
      </c>
      <c r="AC675" s="505">
        <v>9</v>
      </c>
      <c r="AD675" s="505" t="s">
        <v>98</v>
      </c>
      <c r="AE675" s="505" t="s">
        <v>688</v>
      </c>
      <c r="AG675" s="171">
        <v>55</v>
      </c>
      <c r="AH675" s="171" t="s">
        <v>97</v>
      </c>
      <c r="AI675" s="171" t="s">
        <v>688</v>
      </c>
      <c r="AK675" s="299">
        <v>23</v>
      </c>
      <c r="AL675" s="299" t="s">
        <v>82</v>
      </c>
      <c r="AM675" s="299" t="s">
        <v>688</v>
      </c>
      <c r="AO675" s="299">
        <v>20</v>
      </c>
      <c r="AP675" s="299" t="s">
        <v>81</v>
      </c>
      <c r="AQ675" s="299" t="s">
        <v>1368</v>
      </c>
    </row>
    <row r="676" spans="13:43" ht="15" customHeight="1" x14ac:dyDescent="0.25">
      <c r="M676" s="171">
        <v>51</v>
      </c>
      <c r="N676" s="171" t="s">
        <v>97</v>
      </c>
      <c r="O676" s="171" t="s">
        <v>688</v>
      </c>
      <c r="Q676" s="298" t="s">
        <v>878</v>
      </c>
      <c r="R676" s="298" t="s">
        <v>98</v>
      </c>
      <c r="S676" s="397" t="s">
        <v>79</v>
      </c>
      <c r="U676"/>
      <c r="V676"/>
      <c r="W676"/>
      <c r="Y676" s="171">
        <v>62</v>
      </c>
      <c r="Z676" s="171" t="s">
        <v>97</v>
      </c>
      <c r="AA676" s="171" t="s">
        <v>688</v>
      </c>
      <c r="AC676" s="505">
        <v>22</v>
      </c>
      <c r="AD676" s="505" t="s">
        <v>97</v>
      </c>
      <c r="AE676" s="505" t="s">
        <v>688</v>
      </c>
      <c r="AG676" s="171">
        <v>11</v>
      </c>
      <c r="AH676" s="171" t="s">
        <v>98</v>
      </c>
      <c r="AI676" s="171" t="s">
        <v>688</v>
      </c>
      <c r="AK676" s="299">
        <v>62</v>
      </c>
      <c r="AL676" s="299" t="s">
        <v>81</v>
      </c>
      <c r="AM676" s="299" t="s">
        <v>688</v>
      </c>
      <c r="AO676" s="299">
        <v>28</v>
      </c>
      <c r="AP676" s="299" t="s">
        <v>81</v>
      </c>
      <c r="AQ676" s="299" t="s">
        <v>1368</v>
      </c>
    </row>
    <row r="677" spans="13:43" ht="15" customHeight="1" x14ac:dyDescent="0.25">
      <c r="M677" s="171">
        <v>92</v>
      </c>
      <c r="N677" s="171" t="s">
        <v>98</v>
      </c>
      <c r="O677" s="171" t="s">
        <v>688</v>
      </c>
      <c r="Q677" s="298" t="s">
        <v>696</v>
      </c>
      <c r="R677" s="298" t="s">
        <v>98</v>
      </c>
      <c r="S677" s="397" t="s">
        <v>79</v>
      </c>
      <c r="U677"/>
      <c r="V677"/>
      <c r="W677"/>
      <c r="Y677" s="171">
        <v>46</v>
      </c>
      <c r="Z677" s="171" t="s">
        <v>97</v>
      </c>
      <c r="AA677" s="171" t="s">
        <v>688</v>
      </c>
      <c r="AC677" s="505">
        <v>18</v>
      </c>
      <c r="AD677" s="505" t="s">
        <v>97</v>
      </c>
      <c r="AE677" s="505" t="s">
        <v>688</v>
      </c>
      <c r="AG677" s="171">
        <v>21</v>
      </c>
      <c r="AH677" s="171" t="s">
        <v>98</v>
      </c>
      <c r="AI677" s="171" t="s">
        <v>688</v>
      </c>
      <c r="AK677" s="299">
        <v>62</v>
      </c>
      <c r="AL677" s="299" t="s">
        <v>82</v>
      </c>
      <c r="AM677" s="299" t="s">
        <v>688</v>
      </c>
      <c r="AO677" s="299">
        <v>18</v>
      </c>
      <c r="AP677" s="299" t="s">
        <v>81</v>
      </c>
      <c r="AQ677" s="299" t="s">
        <v>1368</v>
      </c>
    </row>
    <row r="678" spans="13:43" ht="15" customHeight="1" x14ac:dyDescent="0.25">
      <c r="M678" s="171">
        <v>89</v>
      </c>
      <c r="N678" s="171" t="s">
        <v>97</v>
      </c>
      <c r="O678" s="171" t="s">
        <v>688</v>
      </c>
      <c r="Q678" s="298" t="s">
        <v>694</v>
      </c>
      <c r="R678" s="298" t="s">
        <v>97</v>
      </c>
      <c r="S678" s="397" t="s">
        <v>79</v>
      </c>
      <c r="U678"/>
      <c r="V678"/>
      <c r="W678"/>
      <c r="Y678" s="171">
        <v>55</v>
      </c>
      <c r="Z678" s="171" t="s">
        <v>97</v>
      </c>
      <c r="AA678" s="171" t="s">
        <v>688</v>
      </c>
      <c r="AC678" s="505">
        <v>63</v>
      </c>
      <c r="AD678" s="505" t="s">
        <v>97</v>
      </c>
      <c r="AE678" s="505" t="s">
        <v>688</v>
      </c>
      <c r="AG678" s="171">
        <v>35</v>
      </c>
      <c r="AH678" s="171" t="s">
        <v>97</v>
      </c>
      <c r="AI678" s="171" t="s">
        <v>688</v>
      </c>
      <c r="AK678" s="299">
        <v>35</v>
      </c>
      <c r="AL678" s="299" t="s">
        <v>82</v>
      </c>
      <c r="AM678" s="299" t="s">
        <v>688</v>
      </c>
      <c r="AO678" s="299">
        <v>24</v>
      </c>
      <c r="AP678" s="299" t="s">
        <v>81</v>
      </c>
      <c r="AQ678" s="299" t="s">
        <v>1368</v>
      </c>
    </row>
    <row r="679" spans="13:43" ht="15" customHeight="1" x14ac:dyDescent="0.25">
      <c r="M679" s="171">
        <v>58</v>
      </c>
      <c r="N679" s="171" t="s">
        <v>97</v>
      </c>
      <c r="O679" s="171" t="s">
        <v>688</v>
      </c>
      <c r="Q679" s="298" t="s">
        <v>695</v>
      </c>
      <c r="R679" s="298" t="s">
        <v>98</v>
      </c>
      <c r="S679" s="397" t="s">
        <v>79</v>
      </c>
      <c r="U679"/>
      <c r="V679"/>
      <c r="W679"/>
      <c r="Y679" s="171">
        <v>46</v>
      </c>
      <c r="Z679" s="171" t="s">
        <v>98</v>
      </c>
      <c r="AA679" s="171" t="s">
        <v>688</v>
      </c>
      <c r="AC679" s="505">
        <v>70</v>
      </c>
      <c r="AD679" s="505" t="s">
        <v>98</v>
      </c>
      <c r="AE679" s="505" t="s">
        <v>688</v>
      </c>
      <c r="AG679" s="171">
        <v>84</v>
      </c>
      <c r="AH679" s="171" t="s">
        <v>97</v>
      </c>
      <c r="AI679" s="171" t="s">
        <v>688</v>
      </c>
      <c r="AK679" s="299">
        <v>18</v>
      </c>
      <c r="AL679" s="299" t="s">
        <v>82</v>
      </c>
      <c r="AM679" s="299" t="s">
        <v>688</v>
      </c>
      <c r="AO679" s="299">
        <v>27</v>
      </c>
      <c r="AP679" s="299" t="s">
        <v>81</v>
      </c>
      <c r="AQ679" s="299" t="s">
        <v>1368</v>
      </c>
    </row>
    <row r="680" spans="13:43" ht="15" customHeight="1" x14ac:dyDescent="0.25">
      <c r="M680" s="171">
        <v>38</v>
      </c>
      <c r="N680" s="171" t="s">
        <v>97</v>
      </c>
      <c r="O680" s="171" t="s">
        <v>688</v>
      </c>
      <c r="Q680" s="298" t="s">
        <v>695</v>
      </c>
      <c r="R680" s="298" t="s">
        <v>97</v>
      </c>
      <c r="S680" s="397" t="s">
        <v>79</v>
      </c>
      <c r="U680"/>
      <c r="V680"/>
      <c r="W680"/>
      <c r="Y680" s="171">
        <v>43</v>
      </c>
      <c r="Z680" s="171" t="s">
        <v>97</v>
      </c>
      <c r="AA680" s="171" t="s">
        <v>688</v>
      </c>
      <c r="AC680" s="505">
        <v>61</v>
      </c>
      <c r="AD680" s="505" t="s">
        <v>97</v>
      </c>
      <c r="AE680" s="505" t="s">
        <v>688</v>
      </c>
      <c r="AG680" s="171">
        <v>58</v>
      </c>
      <c r="AH680" s="171" t="s">
        <v>98</v>
      </c>
      <c r="AI680" s="171" t="s">
        <v>688</v>
      </c>
      <c r="AK680" s="299">
        <v>32</v>
      </c>
      <c r="AL680" s="299" t="s">
        <v>81</v>
      </c>
      <c r="AM680" s="299" t="s">
        <v>688</v>
      </c>
      <c r="AO680" s="299">
        <v>27</v>
      </c>
      <c r="AP680" s="299" t="s">
        <v>81</v>
      </c>
      <c r="AQ680" s="299" t="s">
        <v>1368</v>
      </c>
    </row>
    <row r="681" spans="13:43" ht="15" customHeight="1" x14ac:dyDescent="0.25">
      <c r="M681" s="171">
        <v>13</v>
      </c>
      <c r="N681" s="171" t="s">
        <v>98</v>
      </c>
      <c r="O681" s="171" t="s">
        <v>688</v>
      </c>
      <c r="Q681" s="298" t="s">
        <v>694</v>
      </c>
      <c r="R681" s="298" t="s">
        <v>97</v>
      </c>
      <c r="S681" s="397" t="s">
        <v>79</v>
      </c>
      <c r="U681"/>
      <c r="V681"/>
      <c r="W681"/>
      <c r="Y681" s="171">
        <v>25</v>
      </c>
      <c r="Z681" s="171" t="s">
        <v>97</v>
      </c>
      <c r="AA681" s="171" t="s">
        <v>688</v>
      </c>
      <c r="AC681" s="505">
        <v>85</v>
      </c>
      <c r="AD681" s="505" t="s">
        <v>97</v>
      </c>
      <c r="AE681" s="505" t="s">
        <v>688</v>
      </c>
      <c r="AG681" s="171">
        <v>6</v>
      </c>
      <c r="AH681" s="171" t="s">
        <v>97</v>
      </c>
      <c r="AI681" s="171" t="s">
        <v>688</v>
      </c>
      <c r="AK681" s="299">
        <v>16</v>
      </c>
      <c r="AL681" s="299" t="s">
        <v>82</v>
      </c>
      <c r="AM681" s="299" t="s">
        <v>688</v>
      </c>
      <c r="AO681" s="299">
        <v>15</v>
      </c>
      <c r="AP681" s="299" t="s">
        <v>81</v>
      </c>
      <c r="AQ681" s="299" t="s">
        <v>1368</v>
      </c>
    </row>
    <row r="682" spans="13:43" ht="15" customHeight="1" x14ac:dyDescent="0.25">
      <c r="M682" s="171">
        <v>17</v>
      </c>
      <c r="N682" s="171" t="s">
        <v>97</v>
      </c>
      <c r="O682" s="171" t="s">
        <v>688</v>
      </c>
      <c r="Q682" s="298" t="s">
        <v>694</v>
      </c>
      <c r="R682" s="298" t="s">
        <v>98</v>
      </c>
      <c r="S682" s="397" t="s">
        <v>79</v>
      </c>
      <c r="U682"/>
      <c r="V682"/>
      <c r="W682"/>
      <c r="Y682" s="171">
        <v>68</v>
      </c>
      <c r="Z682" s="171" t="s">
        <v>98</v>
      </c>
      <c r="AA682" s="171" t="s">
        <v>688</v>
      </c>
      <c r="AC682" s="505">
        <v>68</v>
      </c>
      <c r="AD682" s="505" t="s">
        <v>98</v>
      </c>
      <c r="AE682" s="505" t="s">
        <v>688</v>
      </c>
      <c r="AG682" s="171">
        <v>89</v>
      </c>
      <c r="AH682" s="171" t="s">
        <v>97</v>
      </c>
      <c r="AI682" s="171" t="s">
        <v>688</v>
      </c>
      <c r="AK682" s="299">
        <v>63</v>
      </c>
      <c r="AL682" s="299" t="s">
        <v>82</v>
      </c>
      <c r="AM682" s="299" t="s">
        <v>688</v>
      </c>
      <c r="AO682" s="299">
        <v>40</v>
      </c>
      <c r="AP682" s="299" t="s">
        <v>81</v>
      </c>
      <c r="AQ682" s="299" t="s">
        <v>1368</v>
      </c>
    </row>
    <row r="683" spans="13:43" ht="15" customHeight="1" x14ac:dyDescent="0.25">
      <c r="M683" s="171">
        <v>46</v>
      </c>
      <c r="N683" s="171" t="s">
        <v>97</v>
      </c>
      <c r="O683" s="171" t="s">
        <v>688</v>
      </c>
      <c r="Q683" s="298" t="s">
        <v>694</v>
      </c>
      <c r="R683" s="298" t="s">
        <v>97</v>
      </c>
      <c r="S683" s="397" t="s">
        <v>79</v>
      </c>
      <c r="U683"/>
      <c r="V683"/>
      <c r="W683"/>
      <c r="Y683" s="171">
        <v>1</v>
      </c>
      <c r="Z683" s="171" t="s">
        <v>98</v>
      </c>
      <c r="AA683" s="171" t="s">
        <v>688</v>
      </c>
      <c r="AC683" s="505">
        <v>85</v>
      </c>
      <c r="AD683" s="505" t="s">
        <v>97</v>
      </c>
      <c r="AE683" s="505" t="s">
        <v>688</v>
      </c>
      <c r="AK683" s="299">
        <v>83</v>
      </c>
      <c r="AL683" s="299" t="s">
        <v>82</v>
      </c>
      <c r="AM683" s="299" t="s">
        <v>688</v>
      </c>
      <c r="AO683" s="299">
        <v>39</v>
      </c>
      <c r="AP683" s="299" t="s">
        <v>81</v>
      </c>
      <c r="AQ683" s="299" t="s">
        <v>1368</v>
      </c>
    </row>
    <row r="684" spans="13:43" ht="15" customHeight="1" x14ac:dyDescent="0.25">
      <c r="M684" s="171">
        <v>23</v>
      </c>
      <c r="N684" s="171" t="s">
        <v>97</v>
      </c>
      <c r="O684" s="171" t="s">
        <v>688</v>
      </c>
      <c r="Q684" s="298" t="s">
        <v>694</v>
      </c>
      <c r="R684" s="298" t="s">
        <v>98</v>
      </c>
      <c r="S684" s="397" t="s">
        <v>79</v>
      </c>
      <c r="U684"/>
      <c r="V684"/>
      <c r="W684"/>
      <c r="Y684" s="171">
        <v>55</v>
      </c>
      <c r="Z684" s="171" t="s">
        <v>97</v>
      </c>
      <c r="AA684" s="171" t="s">
        <v>688</v>
      </c>
      <c r="AC684" s="505">
        <v>10</v>
      </c>
      <c r="AD684" s="505" t="s">
        <v>98</v>
      </c>
      <c r="AE684" s="505" t="s">
        <v>688</v>
      </c>
      <c r="AK684" s="299">
        <v>70</v>
      </c>
      <c r="AL684" s="299" t="s">
        <v>81</v>
      </c>
      <c r="AM684" s="299" t="s">
        <v>688</v>
      </c>
      <c r="AO684" s="299">
        <v>36</v>
      </c>
      <c r="AP684" s="299" t="s">
        <v>81</v>
      </c>
      <c r="AQ684" s="299" t="s">
        <v>1368</v>
      </c>
    </row>
    <row r="685" spans="13:43" ht="15" customHeight="1" x14ac:dyDescent="0.25">
      <c r="M685" s="171">
        <v>65</v>
      </c>
      <c r="N685" s="171" t="s">
        <v>98</v>
      </c>
      <c r="O685" s="171" t="s">
        <v>688</v>
      </c>
      <c r="Q685" s="298" t="s">
        <v>694</v>
      </c>
      <c r="R685" s="298" t="s">
        <v>97</v>
      </c>
      <c r="S685" s="397" t="s">
        <v>79</v>
      </c>
      <c r="U685"/>
      <c r="V685"/>
      <c r="W685"/>
      <c r="Y685" s="171">
        <v>31</v>
      </c>
      <c r="Z685" s="171" t="s">
        <v>98</v>
      </c>
      <c r="AA685" s="171" t="s">
        <v>56</v>
      </c>
      <c r="AC685" s="505">
        <v>10</v>
      </c>
      <c r="AD685" s="505" t="s">
        <v>97</v>
      </c>
      <c r="AE685" s="505" t="s">
        <v>688</v>
      </c>
      <c r="AK685" s="299">
        <v>12</v>
      </c>
      <c r="AL685" s="299" t="s">
        <v>81</v>
      </c>
      <c r="AM685" s="299" t="s">
        <v>688</v>
      </c>
      <c r="AO685" s="299">
        <v>22</v>
      </c>
      <c r="AP685" s="299" t="s">
        <v>81</v>
      </c>
      <c r="AQ685" s="299" t="s">
        <v>1368</v>
      </c>
    </row>
    <row r="686" spans="13:43" ht="15" customHeight="1" x14ac:dyDescent="0.25">
      <c r="M686" s="171">
        <v>41</v>
      </c>
      <c r="N686" s="171" t="s">
        <v>98</v>
      </c>
      <c r="O686" s="171" t="s">
        <v>688</v>
      </c>
      <c r="Q686" s="298" t="s">
        <v>957</v>
      </c>
      <c r="R686" s="298" t="s">
        <v>97</v>
      </c>
      <c r="S686" s="397" t="s">
        <v>79</v>
      </c>
      <c r="U686"/>
      <c r="V686"/>
      <c r="W686"/>
      <c r="Y686" s="171">
        <v>30</v>
      </c>
      <c r="Z686" s="171" t="s">
        <v>98</v>
      </c>
      <c r="AA686" s="171" t="s">
        <v>56</v>
      </c>
      <c r="AC686" s="505">
        <v>62</v>
      </c>
      <c r="AD686" s="505" t="s">
        <v>97</v>
      </c>
      <c r="AE686" s="505" t="s">
        <v>688</v>
      </c>
      <c r="AK686" s="299">
        <v>62</v>
      </c>
      <c r="AL686" s="299" t="s">
        <v>81</v>
      </c>
      <c r="AM686" s="299" t="s">
        <v>688</v>
      </c>
      <c r="AO686" s="299">
        <v>23</v>
      </c>
      <c r="AP686" s="299" t="s">
        <v>81</v>
      </c>
      <c r="AQ686" s="299" t="s">
        <v>1368</v>
      </c>
    </row>
    <row r="687" spans="13:43" ht="15" customHeight="1" x14ac:dyDescent="0.25">
      <c r="M687" s="171">
        <v>14</v>
      </c>
      <c r="N687" s="171" t="s">
        <v>97</v>
      </c>
      <c r="O687" s="171" t="s">
        <v>688</v>
      </c>
      <c r="Q687" s="298" t="s">
        <v>712</v>
      </c>
      <c r="R687" s="298" t="s">
        <v>97</v>
      </c>
      <c r="S687" s="397" t="s">
        <v>79</v>
      </c>
      <c r="U687"/>
      <c r="V687"/>
      <c r="W687"/>
      <c r="Y687" s="171">
        <v>19</v>
      </c>
      <c r="Z687" s="171" t="s">
        <v>98</v>
      </c>
      <c r="AA687" s="171" t="s">
        <v>56</v>
      </c>
      <c r="AC687" s="505">
        <v>71</v>
      </c>
      <c r="AD687" s="505" t="s">
        <v>97</v>
      </c>
      <c r="AE687" s="505" t="s">
        <v>688</v>
      </c>
      <c r="AK687" s="299">
        <v>32</v>
      </c>
      <c r="AL687" s="299" t="s">
        <v>81</v>
      </c>
      <c r="AM687" s="299" t="s">
        <v>688</v>
      </c>
      <c r="AO687" s="299">
        <v>32</v>
      </c>
      <c r="AP687" s="299" t="s">
        <v>81</v>
      </c>
      <c r="AQ687" s="299" t="s">
        <v>1368</v>
      </c>
    </row>
    <row r="688" spans="13:43" ht="15" customHeight="1" x14ac:dyDescent="0.25">
      <c r="M688" s="171">
        <v>65</v>
      </c>
      <c r="N688" s="171" t="s">
        <v>97</v>
      </c>
      <c r="O688" s="171" t="s">
        <v>688</v>
      </c>
      <c r="Q688" s="298" t="s">
        <v>712</v>
      </c>
      <c r="R688" s="298" t="s">
        <v>97</v>
      </c>
      <c r="S688" s="397" t="s">
        <v>79</v>
      </c>
      <c r="U688"/>
      <c r="V688"/>
      <c r="W688"/>
      <c r="Y688" s="171">
        <v>32</v>
      </c>
      <c r="Z688" s="171" t="s">
        <v>98</v>
      </c>
      <c r="AA688" s="171" t="s">
        <v>56</v>
      </c>
      <c r="AC688" s="505">
        <v>70</v>
      </c>
      <c r="AD688" s="505" t="s">
        <v>98</v>
      </c>
      <c r="AE688" s="505" t="s">
        <v>688</v>
      </c>
      <c r="AK688" s="299">
        <v>75</v>
      </c>
      <c r="AL688" s="299" t="s">
        <v>81</v>
      </c>
      <c r="AM688" s="299" t="s">
        <v>688</v>
      </c>
      <c r="AO688" s="299">
        <v>20</v>
      </c>
      <c r="AP688" s="299" t="s">
        <v>81</v>
      </c>
      <c r="AQ688" s="299" t="s">
        <v>1368</v>
      </c>
    </row>
    <row r="689" spans="13:43" ht="15" customHeight="1" x14ac:dyDescent="0.25">
      <c r="M689" s="171">
        <v>57</v>
      </c>
      <c r="N689" s="171" t="s">
        <v>97</v>
      </c>
      <c r="O689" s="171" t="s">
        <v>688</v>
      </c>
      <c r="Q689" s="298" t="s">
        <v>694</v>
      </c>
      <c r="R689" s="298" t="s">
        <v>98</v>
      </c>
      <c r="S689" s="397" t="s">
        <v>79</v>
      </c>
      <c r="U689"/>
      <c r="V689"/>
      <c r="W689"/>
      <c r="Y689" s="470">
        <v>56</v>
      </c>
      <c r="Z689" s="171" t="s">
        <v>97</v>
      </c>
      <c r="AA689" s="171" t="s">
        <v>122</v>
      </c>
      <c r="AC689" s="505">
        <v>37</v>
      </c>
      <c r="AD689" s="505" t="s">
        <v>98</v>
      </c>
      <c r="AE689" s="505" t="s">
        <v>688</v>
      </c>
      <c r="AK689" s="299">
        <v>34</v>
      </c>
      <c r="AL689" s="299" t="s">
        <v>82</v>
      </c>
      <c r="AM689" s="299" t="s">
        <v>688</v>
      </c>
      <c r="AO689" s="299">
        <v>26</v>
      </c>
      <c r="AP689" s="299" t="s">
        <v>81</v>
      </c>
      <c r="AQ689" s="299" t="s">
        <v>1368</v>
      </c>
    </row>
    <row r="690" spans="13:43" ht="15" customHeight="1" x14ac:dyDescent="0.25">
      <c r="M690" s="171">
        <v>41</v>
      </c>
      <c r="N690" s="171" t="s">
        <v>97</v>
      </c>
      <c r="O690" s="171" t="s">
        <v>688</v>
      </c>
      <c r="Q690" s="298" t="s">
        <v>694</v>
      </c>
      <c r="R690" s="298" t="s">
        <v>97</v>
      </c>
      <c r="S690" s="397" t="s">
        <v>79</v>
      </c>
      <c r="U690"/>
      <c r="V690"/>
      <c r="W690"/>
      <c r="Y690" s="171">
        <v>13</v>
      </c>
      <c r="Z690" s="171" t="s">
        <v>97</v>
      </c>
      <c r="AA690" s="171" t="s">
        <v>122</v>
      </c>
      <c r="AC690" s="505">
        <v>33</v>
      </c>
      <c r="AD690" s="505" t="s">
        <v>97</v>
      </c>
      <c r="AE690" s="505" t="s">
        <v>688</v>
      </c>
      <c r="AK690" s="299">
        <v>41</v>
      </c>
      <c r="AL690" s="299" t="s">
        <v>82</v>
      </c>
      <c r="AM690" s="299" t="s">
        <v>688</v>
      </c>
      <c r="AO690" s="299">
        <v>16</v>
      </c>
      <c r="AP690" s="299" t="s">
        <v>81</v>
      </c>
      <c r="AQ690" s="299" t="s">
        <v>1368</v>
      </c>
    </row>
    <row r="691" spans="13:43" ht="15" customHeight="1" x14ac:dyDescent="0.25">
      <c r="M691" s="171">
        <v>4</v>
      </c>
      <c r="N691" s="171" t="s">
        <v>98</v>
      </c>
      <c r="O691" s="171" t="s">
        <v>688</v>
      </c>
      <c r="Q691" s="298" t="s">
        <v>694</v>
      </c>
      <c r="R691" s="298" t="s">
        <v>98</v>
      </c>
      <c r="S691" s="397" t="s">
        <v>79</v>
      </c>
      <c r="U691"/>
      <c r="V691"/>
      <c r="W691"/>
      <c r="Y691" s="171">
        <v>60</v>
      </c>
      <c r="Z691" s="171" t="s">
        <v>97</v>
      </c>
      <c r="AA691" s="171" t="s">
        <v>122</v>
      </c>
      <c r="AC691" s="505">
        <v>63</v>
      </c>
      <c r="AD691" s="505" t="s">
        <v>98</v>
      </c>
      <c r="AE691" s="505" t="s">
        <v>688</v>
      </c>
      <c r="AK691" s="299">
        <v>71</v>
      </c>
      <c r="AL691" s="299" t="s">
        <v>82</v>
      </c>
      <c r="AM691" s="299" t="s">
        <v>688</v>
      </c>
      <c r="AO691" s="299">
        <v>29</v>
      </c>
      <c r="AP691" s="299" t="s">
        <v>81</v>
      </c>
      <c r="AQ691" s="299" t="s">
        <v>1368</v>
      </c>
    </row>
    <row r="692" spans="13:43" ht="15" customHeight="1" x14ac:dyDescent="0.25">
      <c r="M692" s="171">
        <v>9</v>
      </c>
      <c r="N692" s="171" t="s">
        <v>97</v>
      </c>
      <c r="O692" s="171" t="s">
        <v>688</v>
      </c>
      <c r="Q692" s="298" t="s">
        <v>694</v>
      </c>
      <c r="R692" s="298" t="s">
        <v>97</v>
      </c>
      <c r="S692" s="397" t="s">
        <v>79</v>
      </c>
      <c r="U692"/>
      <c r="V692"/>
      <c r="W692"/>
      <c r="Y692" s="171">
        <v>38</v>
      </c>
      <c r="Z692" s="171" t="s">
        <v>97</v>
      </c>
      <c r="AA692" s="171" t="s">
        <v>122</v>
      </c>
      <c r="AC692" s="505">
        <v>41</v>
      </c>
      <c r="AD692" s="505" t="s">
        <v>97</v>
      </c>
      <c r="AE692" s="505" t="s">
        <v>688</v>
      </c>
      <c r="AK692" s="299">
        <v>63</v>
      </c>
      <c r="AL692" s="299" t="s">
        <v>81</v>
      </c>
      <c r="AM692" s="299" t="s">
        <v>688</v>
      </c>
      <c r="AO692" s="299">
        <v>20</v>
      </c>
      <c r="AP692" s="299" t="s">
        <v>81</v>
      </c>
      <c r="AQ692" s="299" t="s">
        <v>1368</v>
      </c>
    </row>
    <row r="693" spans="13:43" ht="15" customHeight="1" x14ac:dyDescent="0.25">
      <c r="M693" s="171">
        <v>83</v>
      </c>
      <c r="N693" s="171" t="s">
        <v>97</v>
      </c>
      <c r="O693" s="171" t="s">
        <v>688</v>
      </c>
      <c r="Q693" s="298" t="s">
        <v>694</v>
      </c>
      <c r="R693" s="298" t="s">
        <v>98</v>
      </c>
      <c r="S693" s="397" t="s">
        <v>79</v>
      </c>
      <c r="U693"/>
      <c r="V693"/>
      <c r="W693"/>
      <c r="Y693" s="171">
        <v>72</v>
      </c>
      <c r="Z693" s="171" t="s">
        <v>97</v>
      </c>
      <c r="AA693" s="171" t="s">
        <v>122</v>
      </c>
      <c r="AC693" s="505" t="s">
        <v>1154</v>
      </c>
      <c r="AD693" s="505" t="s">
        <v>97</v>
      </c>
      <c r="AE693" s="505" t="s">
        <v>688</v>
      </c>
      <c r="AK693" s="299">
        <v>40</v>
      </c>
      <c r="AL693" s="299" t="s">
        <v>81</v>
      </c>
      <c r="AM693" s="299" t="s">
        <v>688</v>
      </c>
      <c r="AO693" s="299">
        <v>43</v>
      </c>
      <c r="AP693" s="299" t="s">
        <v>81</v>
      </c>
      <c r="AQ693" s="299" t="s">
        <v>1368</v>
      </c>
    </row>
    <row r="694" spans="13:43" ht="15" customHeight="1" x14ac:dyDescent="0.25">
      <c r="M694" s="171">
        <v>68</v>
      </c>
      <c r="N694" s="171" t="s">
        <v>98</v>
      </c>
      <c r="O694" s="171" t="s">
        <v>688</v>
      </c>
      <c r="Q694" s="298" t="s">
        <v>694</v>
      </c>
      <c r="R694" s="298" t="s">
        <v>97</v>
      </c>
      <c r="S694" s="397" t="s">
        <v>79</v>
      </c>
      <c r="U694"/>
      <c r="V694"/>
      <c r="W694"/>
      <c r="Y694" s="171">
        <v>17</v>
      </c>
      <c r="Z694" s="171" t="s">
        <v>97</v>
      </c>
      <c r="AA694" s="171" t="s">
        <v>122</v>
      </c>
      <c r="AC694" s="505">
        <v>61</v>
      </c>
      <c r="AD694" s="505" t="s">
        <v>98</v>
      </c>
      <c r="AE694" s="505" t="s">
        <v>688</v>
      </c>
      <c r="AK694" s="299">
        <v>34</v>
      </c>
      <c r="AL694" s="299" t="s">
        <v>82</v>
      </c>
      <c r="AM694" s="299" t="s">
        <v>688</v>
      </c>
      <c r="AO694" s="299">
        <v>17</v>
      </c>
      <c r="AP694" s="299" t="s">
        <v>81</v>
      </c>
      <c r="AQ694" s="299" t="s">
        <v>1368</v>
      </c>
    </row>
    <row r="695" spans="13:43" ht="15" customHeight="1" x14ac:dyDescent="0.25">
      <c r="M695" s="171">
        <v>37</v>
      </c>
      <c r="N695" s="171" t="s">
        <v>97</v>
      </c>
      <c r="O695" s="171" t="s">
        <v>688</v>
      </c>
      <c r="Q695" s="298" t="s">
        <v>712</v>
      </c>
      <c r="R695" s="298" t="s">
        <v>97</v>
      </c>
      <c r="S695" s="397" t="s">
        <v>79</v>
      </c>
      <c r="U695"/>
      <c r="V695"/>
      <c r="W695"/>
      <c r="Y695" s="171">
        <v>80</v>
      </c>
      <c r="Z695" s="171" t="s">
        <v>97</v>
      </c>
      <c r="AA695" s="171" t="s">
        <v>122</v>
      </c>
      <c r="AC695" s="505">
        <v>68</v>
      </c>
      <c r="AD695" s="505" t="s">
        <v>98</v>
      </c>
      <c r="AE695" s="505" t="s">
        <v>688</v>
      </c>
      <c r="AK695" s="299">
        <v>43</v>
      </c>
      <c r="AL695" s="299" t="s">
        <v>82</v>
      </c>
      <c r="AM695" s="299" t="s">
        <v>688</v>
      </c>
      <c r="AO695" s="299">
        <v>23</v>
      </c>
      <c r="AP695" s="299" t="s">
        <v>81</v>
      </c>
      <c r="AQ695" s="299" t="s">
        <v>1368</v>
      </c>
    </row>
    <row r="696" spans="13:43" ht="15" customHeight="1" x14ac:dyDescent="0.25">
      <c r="M696" s="171">
        <v>7</v>
      </c>
      <c r="N696" s="171" t="s">
        <v>98</v>
      </c>
      <c r="O696" s="171" t="s">
        <v>688</v>
      </c>
      <c r="Q696" s="298" t="s">
        <v>712</v>
      </c>
      <c r="R696" s="298" t="s">
        <v>98</v>
      </c>
      <c r="S696" s="397" t="s">
        <v>79</v>
      </c>
      <c r="U696"/>
      <c r="V696"/>
      <c r="W696"/>
      <c r="Y696" s="171">
        <v>72</v>
      </c>
      <c r="Z696" s="171" t="s">
        <v>97</v>
      </c>
      <c r="AA696" s="171" t="s">
        <v>122</v>
      </c>
      <c r="AC696" s="505">
        <v>26</v>
      </c>
      <c r="AD696" s="505" t="s">
        <v>98</v>
      </c>
      <c r="AE696" s="505" t="s">
        <v>688</v>
      </c>
      <c r="AK696" s="299">
        <v>57</v>
      </c>
      <c r="AL696" s="299" t="s">
        <v>81</v>
      </c>
      <c r="AM696" s="299" t="s">
        <v>688</v>
      </c>
      <c r="AO696" s="299">
        <v>36</v>
      </c>
      <c r="AP696" s="299" t="s">
        <v>81</v>
      </c>
      <c r="AQ696" s="299" t="s">
        <v>1369</v>
      </c>
    </row>
    <row r="697" spans="13:43" ht="15" customHeight="1" x14ac:dyDescent="0.25">
      <c r="M697" s="171">
        <v>87</v>
      </c>
      <c r="N697" s="171" t="s">
        <v>98</v>
      </c>
      <c r="O697" s="171" t="s">
        <v>688</v>
      </c>
      <c r="Q697" s="298" t="s">
        <v>958</v>
      </c>
      <c r="R697" s="298" t="s">
        <v>97</v>
      </c>
      <c r="S697" s="397" t="s">
        <v>79</v>
      </c>
      <c r="U697"/>
      <c r="V697"/>
      <c r="W697"/>
      <c r="Y697" s="171">
        <v>76</v>
      </c>
      <c r="Z697" s="171" t="s">
        <v>97</v>
      </c>
      <c r="AA697" s="171" t="s">
        <v>122</v>
      </c>
      <c r="AC697" s="505">
        <v>3</v>
      </c>
      <c r="AD697" s="505" t="s">
        <v>98</v>
      </c>
      <c r="AE697" s="505" t="s">
        <v>688</v>
      </c>
      <c r="AK697" s="299">
        <v>2</v>
      </c>
      <c r="AL697" s="299" t="s">
        <v>81</v>
      </c>
      <c r="AM697" s="299" t="s">
        <v>688</v>
      </c>
      <c r="AO697" s="299">
        <v>17</v>
      </c>
      <c r="AP697" s="299" t="s">
        <v>81</v>
      </c>
      <c r="AQ697" s="299" t="s">
        <v>1369</v>
      </c>
    </row>
    <row r="698" spans="13:43" ht="15" customHeight="1" x14ac:dyDescent="0.25">
      <c r="M698" s="171">
        <v>77</v>
      </c>
      <c r="N698" s="171" t="s">
        <v>98</v>
      </c>
      <c r="O698" s="171" t="s">
        <v>688</v>
      </c>
      <c r="Q698" s="298" t="s">
        <v>695</v>
      </c>
      <c r="R698" s="298" t="s">
        <v>97</v>
      </c>
      <c r="S698" s="397" t="s">
        <v>79</v>
      </c>
      <c r="U698"/>
      <c r="V698"/>
      <c r="W698"/>
      <c r="Y698" s="171">
        <v>40</v>
      </c>
      <c r="Z698" s="171" t="s">
        <v>97</v>
      </c>
      <c r="AA698" s="171" t="s">
        <v>122</v>
      </c>
      <c r="AC698" s="505">
        <v>85</v>
      </c>
      <c r="AD698" s="505" t="s">
        <v>97</v>
      </c>
      <c r="AE698" s="505" t="s">
        <v>688</v>
      </c>
      <c r="AK698" s="299">
        <v>22</v>
      </c>
      <c r="AL698" s="299" t="s">
        <v>81</v>
      </c>
      <c r="AM698" s="299" t="s">
        <v>688</v>
      </c>
      <c r="AO698" s="299">
        <v>34</v>
      </c>
      <c r="AP698" s="299" t="s">
        <v>81</v>
      </c>
      <c r="AQ698" s="299" t="s">
        <v>1369</v>
      </c>
    </row>
    <row r="699" spans="13:43" ht="15" customHeight="1" x14ac:dyDescent="0.25">
      <c r="M699" s="171">
        <v>20</v>
      </c>
      <c r="N699" s="171" t="s">
        <v>97</v>
      </c>
      <c r="O699" s="171" t="s">
        <v>688</v>
      </c>
      <c r="Q699" s="298" t="s">
        <v>695</v>
      </c>
      <c r="R699" s="298" t="s">
        <v>97</v>
      </c>
      <c r="S699" s="397" t="s">
        <v>79</v>
      </c>
      <c r="U699"/>
      <c r="V699"/>
      <c r="W699"/>
      <c r="Y699" s="171">
        <v>30</v>
      </c>
      <c r="Z699" s="171" t="s">
        <v>97</v>
      </c>
      <c r="AA699" s="171" t="s">
        <v>122</v>
      </c>
      <c r="AC699" s="505">
        <v>55</v>
      </c>
      <c r="AD699" s="505" t="s">
        <v>98</v>
      </c>
      <c r="AE699" s="505" t="s">
        <v>688</v>
      </c>
      <c r="AK699" s="299">
        <v>46</v>
      </c>
      <c r="AL699" s="299" t="s">
        <v>81</v>
      </c>
      <c r="AM699" s="299" t="s">
        <v>688</v>
      </c>
      <c r="AO699" s="299">
        <v>33</v>
      </c>
      <c r="AP699" s="299" t="s">
        <v>81</v>
      </c>
      <c r="AQ699" s="299" t="s">
        <v>1369</v>
      </c>
    </row>
    <row r="700" spans="13:43" ht="15" customHeight="1" x14ac:dyDescent="0.25">
      <c r="M700" s="171">
        <v>92</v>
      </c>
      <c r="N700" s="171" t="s">
        <v>98</v>
      </c>
      <c r="O700" s="171" t="s">
        <v>688</v>
      </c>
      <c r="Q700" s="298" t="s">
        <v>694</v>
      </c>
      <c r="R700" s="298" t="s">
        <v>98</v>
      </c>
      <c r="S700" s="397" t="s">
        <v>79</v>
      </c>
      <c r="U700"/>
      <c r="V700"/>
      <c r="W700"/>
      <c r="Y700" s="171">
        <v>30</v>
      </c>
      <c r="Z700" s="171" t="s">
        <v>97</v>
      </c>
      <c r="AA700" s="171" t="s">
        <v>122</v>
      </c>
      <c r="AC700" s="505">
        <v>71</v>
      </c>
      <c r="AD700" s="505" t="s">
        <v>97</v>
      </c>
      <c r="AE700" s="505" t="s">
        <v>688</v>
      </c>
      <c r="AK700" s="299">
        <v>62</v>
      </c>
      <c r="AL700" s="299" t="s">
        <v>81</v>
      </c>
      <c r="AM700" s="299" t="s">
        <v>688</v>
      </c>
      <c r="AO700" s="299">
        <v>27</v>
      </c>
      <c r="AP700" s="299" t="s">
        <v>81</v>
      </c>
      <c r="AQ700" s="299" t="s">
        <v>1369</v>
      </c>
    </row>
    <row r="701" spans="13:43" ht="15" customHeight="1" x14ac:dyDescent="0.25">
      <c r="M701" s="171">
        <v>73</v>
      </c>
      <c r="N701" s="171" t="s">
        <v>98</v>
      </c>
      <c r="O701" s="171" t="s">
        <v>688</v>
      </c>
      <c r="Q701" s="298" t="s">
        <v>695</v>
      </c>
      <c r="R701" s="298" t="s">
        <v>97</v>
      </c>
      <c r="S701" s="397" t="s">
        <v>79</v>
      </c>
      <c r="U701"/>
      <c r="V701"/>
      <c r="W701"/>
      <c r="Y701" s="171">
        <v>44</v>
      </c>
      <c r="Z701" s="171" t="s">
        <v>97</v>
      </c>
      <c r="AA701" s="171" t="s">
        <v>122</v>
      </c>
      <c r="AC701" s="505">
        <v>80</v>
      </c>
      <c r="AD701" s="505" t="s">
        <v>98</v>
      </c>
      <c r="AE701" s="505" t="s">
        <v>688</v>
      </c>
      <c r="AK701" s="299">
        <v>29</v>
      </c>
      <c r="AL701" s="299" t="s">
        <v>81</v>
      </c>
      <c r="AM701" s="299" t="s">
        <v>688</v>
      </c>
      <c r="AO701" s="299">
        <v>36</v>
      </c>
      <c r="AP701" s="299" t="s">
        <v>81</v>
      </c>
      <c r="AQ701" s="299" t="s">
        <v>1369</v>
      </c>
    </row>
    <row r="702" spans="13:43" ht="15" customHeight="1" x14ac:dyDescent="0.25">
      <c r="M702" s="171">
        <v>64</v>
      </c>
      <c r="N702" s="171" t="s">
        <v>98</v>
      </c>
      <c r="O702" s="171" t="s">
        <v>688</v>
      </c>
      <c r="Q702" s="298" t="s">
        <v>712</v>
      </c>
      <c r="R702" s="298" t="s">
        <v>98</v>
      </c>
      <c r="S702" s="397" t="s">
        <v>79</v>
      </c>
      <c r="U702"/>
      <c r="V702"/>
      <c r="W702"/>
      <c r="Y702" s="171">
        <v>74</v>
      </c>
      <c r="Z702" s="171" t="s">
        <v>97</v>
      </c>
      <c r="AA702" s="171" t="s">
        <v>122</v>
      </c>
      <c r="AC702" s="505">
        <v>33</v>
      </c>
      <c r="AD702" s="505" t="s">
        <v>97</v>
      </c>
      <c r="AE702" s="505" t="s">
        <v>688</v>
      </c>
      <c r="AK702" s="299">
        <v>65</v>
      </c>
      <c r="AL702" s="299" t="s">
        <v>82</v>
      </c>
      <c r="AM702" s="299" t="s">
        <v>688</v>
      </c>
      <c r="AO702" s="299">
        <v>29</v>
      </c>
      <c r="AP702" s="299" t="s">
        <v>81</v>
      </c>
      <c r="AQ702" s="299" t="s">
        <v>1369</v>
      </c>
    </row>
    <row r="703" spans="13:43" ht="15" customHeight="1" x14ac:dyDescent="0.25">
      <c r="M703" s="171">
        <v>25</v>
      </c>
      <c r="N703" s="171" t="s">
        <v>98</v>
      </c>
      <c r="O703" s="171" t="s">
        <v>688</v>
      </c>
      <c r="Q703" s="298" t="s">
        <v>695</v>
      </c>
      <c r="R703" s="298" t="s">
        <v>97</v>
      </c>
      <c r="S703" s="397" t="s">
        <v>79</v>
      </c>
      <c r="U703"/>
      <c r="V703"/>
      <c r="W703"/>
      <c r="Y703" s="171">
        <v>13</v>
      </c>
      <c r="Z703" s="171" t="s">
        <v>97</v>
      </c>
      <c r="AA703" s="171" t="s">
        <v>122</v>
      </c>
      <c r="AC703" s="505">
        <v>21</v>
      </c>
      <c r="AD703" s="505" t="s">
        <v>97</v>
      </c>
      <c r="AE703" s="505" t="s">
        <v>688</v>
      </c>
      <c r="AK703" s="299">
        <v>55</v>
      </c>
      <c r="AL703" s="299" t="s">
        <v>81</v>
      </c>
      <c r="AM703" s="299" t="s">
        <v>688</v>
      </c>
      <c r="AO703" s="299">
        <v>31</v>
      </c>
      <c r="AP703" s="299" t="s">
        <v>81</v>
      </c>
      <c r="AQ703" s="299" t="s">
        <v>1369</v>
      </c>
    </row>
    <row r="704" spans="13:43" ht="15" customHeight="1" x14ac:dyDescent="0.25">
      <c r="M704" s="171">
        <v>38</v>
      </c>
      <c r="N704" s="171" t="s">
        <v>98</v>
      </c>
      <c r="O704" s="171" t="s">
        <v>688</v>
      </c>
      <c r="Q704" s="298" t="s">
        <v>712</v>
      </c>
      <c r="R704" s="298" t="s">
        <v>97</v>
      </c>
      <c r="S704" s="397" t="s">
        <v>79</v>
      </c>
      <c r="U704"/>
      <c r="V704"/>
      <c r="W704"/>
      <c r="Y704" s="171">
        <v>81</v>
      </c>
      <c r="Z704" s="171" t="s">
        <v>98</v>
      </c>
      <c r="AA704" s="171" t="s">
        <v>123</v>
      </c>
      <c r="AC704" s="505">
        <v>12</v>
      </c>
      <c r="AD704" s="505" t="s">
        <v>97</v>
      </c>
      <c r="AE704" s="505" t="s">
        <v>688</v>
      </c>
      <c r="AK704" s="299">
        <v>69</v>
      </c>
      <c r="AL704" s="299" t="s">
        <v>81</v>
      </c>
      <c r="AM704" s="299" t="s">
        <v>688</v>
      </c>
      <c r="AO704" s="299">
        <v>33</v>
      </c>
      <c r="AP704" s="299" t="s">
        <v>81</v>
      </c>
      <c r="AQ704" s="299" t="s">
        <v>1369</v>
      </c>
    </row>
    <row r="705" spans="13:43" ht="15" customHeight="1" x14ac:dyDescent="0.25">
      <c r="M705" s="171">
        <v>18</v>
      </c>
      <c r="N705" s="171" t="s">
        <v>98</v>
      </c>
      <c r="O705" s="171" t="s">
        <v>688</v>
      </c>
      <c r="Q705" s="298" t="s">
        <v>879</v>
      </c>
      <c r="R705" s="298" t="s">
        <v>97</v>
      </c>
      <c r="S705" s="397" t="s">
        <v>79</v>
      </c>
      <c r="U705"/>
      <c r="V705"/>
      <c r="W705"/>
      <c r="Y705" s="171">
        <v>35</v>
      </c>
      <c r="Z705" s="171" t="s">
        <v>98</v>
      </c>
      <c r="AA705" s="171" t="s">
        <v>123</v>
      </c>
      <c r="AC705" s="505">
        <v>59</v>
      </c>
      <c r="AD705" s="505" t="s">
        <v>98</v>
      </c>
      <c r="AE705" s="505" t="s">
        <v>688</v>
      </c>
      <c r="AK705" s="299">
        <v>40</v>
      </c>
      <c r="AL705" s="299" t="s">
        <v>81</v>
      </c>
      <c r="AM705" s="299" t="s">
        <v>688</v>
      </c>
      <c r="AO705" s="299">
        <v>20</v>
      </c>
      <c r="AP705" s="299" t="s">
        <v>81</v>
      </c>
      <c r="AQ705" s="299" t="s">
        <v>1369</v>
      </c>
    </row>
    <row r="706" spans="13:43" ht="15" customHeight="1" x14ac:dyDescent="0.25">
      <c r="M706" s="171">
        <v>85</v>
      </c>
      <c r="N706" s="171" t="s">
        <v>98</v>
      </c>
      <c r="O706" s="171" t="s">
        <v>688</v>
      </c>
      <c r="Q706" s="298" t="s">
        <v>694</v>
      </c>
      <c r="R706" s="298" t="s">
        <v>97</v>
      </c>
      <c r="S706" s="397" t="s">
        <v>79</v>
      </c>
      <c r="U706"/>
      <c r="V706"/>
      <c r="W706"/>
      <c r="Y706" s="171">
        <v>65</v>
      </c>
      <c r="Z706" s="171" t="s">
        <v>98</v>
      </c>
      <c r="AA706" s="171" t="s">
        <v>123</v>
      </c>
      <c r="AC706" s="505">
        <v>56</v>
      </c>
      <c r="AD706" s="505" t="s">
        <v>98</v>
      </c>
      <c r="AE706" s="505" t="s">
        <v>688</v>
      </c>
      <c r="AK706" s="299">
        <v>50</v>
      </c>
      <c r="AL706" s="299" t="s">
        <v>82</v>
      </c>
      <c r="AM706" s="299" t="s">
        <v>688</v>
      </c>
      <c r="AO706" s="299">
        <v>25</v>
      </c>
      <c r="AP706" s="299" t="s">
        <v>81</v>
      </c>
      <c r="AQ706" s="299" t="s">
        <v>1369</v>
      </c>
    </row>
    <row r="707" spans="13:43" ht="15" customHeight="1" x14ac:dyDescent="0.25">
      <c r="M707" s="171">
        <v>32</v>
      </c>
      <c r="N707" s="171" t="s">
        <v>97</v>
      </c>
      <c r="O707" s="171" t="s">
        <v>688</v>
      </c>
      <c r="Q707" s="298" t="s">
        <v>694</v>
      </c>
      <c r="R707" s="298" t="s">
        <v>98</v>
      </c>
      <c r="S707" s="397" t="s">
        <v>79</v>
      </c>
      <c r="U707"/>
      <c r="V707"/>
      <c r="W707"/>
      <c r="Y707" s="171">
        <v>32</v>
      </c>
      <c r="Z707" s="171" t="s">
        <v>98</v>
      </c>
      <c r="AA707" s="171" t="s">
        <v>123</v>
      </c>
      <c r="AC707" s="505">
        <v>38</v>
      </c>
      <c r="AD707" s="505" t="s">
        <v>98</v>
      </c>
      <c r="AE707" s="505" t="s">
        <v>688</v>
      </c>
      <c r="AK707" s="299">
        <v>36</v>
      </c>
      <c r="AL707" s="299" t="s">
        <v>82</v>
      </c>
      <c r="AM707" s="299" t="s">
        <v>688</v>
      </c>
      <c r="AO707" s="299">
        <v>28</v>
      </c>
      <c r="AP707" s="299" t="s">
        <v>81</v>
      </c>
      <c r="AQ707" s="299" t="s">
        <v>1369</v>
      </c>
    </row>
    <row r="708" spans="13:43" ht="15" customHeight="1" x14ac:dyDescent="0.25">
      <c r="M708" s="171">
        <v>8</v>
      </c>
      <c r="N708" s="171" t="s">
        <v>97</v>
      </c>
      <c r="O708" s="171" t="s">
        <v>688</v>
      </c>
      <c r="Q708" s="298" t="s">
        <v>694</v>
      </c>
      <c r="R708" s="298" t="s">
        <v>97</v>
      </c>
      <c r="S708" s="397" t="s">
        <v>79</v>
      </c>
      <c r="U708"/>
      <c r="V708"/>
      <c r="W708"/>
      <c r="Y708" s="171">
        <v>78</v>
      </c>
      <c r="Z708" s="171" t="s">
        <v>98</v>
      </c>
      <c r="AA708" s="171" t="s">
        <v>123</v>
      </c>
      <c r="AC708" s="505">
        <v>64</v>
      </c>
      <c r="AD708" s="505" t="s">
        <v>97</v>
      </c>
      <c r="AE708" s="505" t="s">
        <v>688</v>
      </c>
      <c r="AK708" s="299">
        <v>19</v>
      </c>
      <c r="AL708" s="299" t="s">
        <v>82</v>
      </c>
      <c r="AM708" s="299" t="s">
        <v>688</v>
      </c>
      <c r="AO708" s="299">
        <v>24</v>
      </c>
      <c r="AP708" s="299" t="s">
        <v>81</v>
      </c>
      <c r="AQ708" s="299" t="s">
        <v>1369</v>
      </c>
    </row>
    <row r="709" spans="13:43" ht="15" customHeight="1" x14ac:dyDescent="0.25">
      <c r="M709" s="171">
        <v>87</v>
      </c>
      <c r="N709" s="171" t="s">
        <v>98</v>
      </c>
      <c r="O709" s="171" t="s">
        <v>688</v>
      </c>
      <c r="Q709" s="298" t="s">
        <v>694</v>
      </c>
      <c r="R709" s="298" t="s">
        <v>97</v>
      </c>
      <c r="S709" s="397" t="s">
        <v>79</v>
      </c>
      <c r="U709"/>
      <c r="V709"/>
      <c r="W709"/>
      <c r="Y709" s="171">
        <v>70</v>
      </c>
      <c r="Z709" s="171" t="s">
        <v>98</v>
      </c>
      <c r="AA709" s="171" t="s">
        <v>123</v>
      </c>
      <c r="AC709" s="505">
        <v>65</v>
      </c>
      <c r="AD709" s="505" t="s">
        <v>98</v>
      </c>
      <c r="AE709" s="505" t="s">
        <v>688</v>
      </c>
      <c r="AK709" s="299">
        <v>27</v>
      </c>
      <c r="AL709" s="299" t="s">
        <v>82</v>
      </c>
      <c r="AM709" s="299" t="s">
        <v>688</v>
      </c>
      <c r="AO709" s="299">
        <v>19</v>
      </c>
      <c r="AP709" s="299" t="s">
        <v>81</v>
      </c>
      <c r="AQ709" s="299" t="s">
        <v>1369</v>
      </c>
    </row>
    <row r="710" spans="13:43" ht="15" customHeight="1" x14ac:dyDescent="0.25">
      <c r="M710" s="171">
        <v>86</v>
      </c>
      <c r="N710" s="171" t="s">
        <v>98</v>
      </c>
      <c r="O710" s="171" t="s">
        <v>688</v>
      </c>
      <c r="Q710" s="298" t="s">
        <v>694</v>
      </c>
      <c r="R710" s="298" t="s">
        <v>97</v>
      </c>
      <c r="S710" s="397" t="s">
        <v>79</v>
      </c>
      <c r="U710"/>
      <c r="V710"/>
      <c r="W710"/>
      <c r="Y710" s="171">
        <v>88</v>
      </c>
      <c r="Z710" s="171" t="s">
        <v>98</v>
      </c>
      <c r="AA710" s="171" t="s">
        <v>123</v>
      </c>
      <c r="AC710" s="505">
        <v>5</v>
      </c>
      <c r="AD710" s="505" t="s">
        <v>97</v>
      </c>
      <c r="AE710" s="505" t="s">
        <v>688</v>
      </c>
      <c r="AK710" s="299">
        <v>4</v>
      </c>
      <c r="AL710" s="299" t="s">
        <v>82</v>
      </c>
      <c r="AM710" s="299" t="s">
        <v>688</v>
      </c>
      <c r="AO710" s="299">
        <v>41</v>
      </c>
      <c r="AP710" s="299" t="s">
        <v>81</v>
      </c>
      <c r="AQ710" s="299" t="s">
        <v>1369</v>
      </c>
    </row>
    <row r="711" spans="13:43" ht="15" customHeight="1" x14ac:dyDescent="0.25">
      <c r="M711" s="171">
        <v>47</v>
      </c>
      <c r="N711" s="171" t="s">
        <v>98</v>
      </c>
      <c r="O711" s="171" t="s">
        <v>688</v>
      </c>
      <c r="Q711" s="298" t="s">
        <v>694</v>
      </c>
      <c r="R711" s="298" t="s">
        <v>97</v>
      </c>
      <c r="S711" s="397" t="s">
        <v>79</v>
      </c>
      <c r="U711"/>
      <c r="V711"/>
      <c r="W711"/>
      <c r="Y711" s="171">
        <v>63</v>
      </c>
      <c r="Z711" s="171" t="s">
        <v>98</v>
      </c>
      <c r="AA711" s="171" t="s">
        <v>123</v>
      </c>
      <c r="AC711" s="505">
        <v>29</v>
      </c>
      <c r="AD711" s="505" t="s">
        <v>98</v>
      </c>
      <c r="AE711" s="505" t="s">
        <v>688</v>
      </c>
      <c r="AK711" s="299">
        <v>77</v>
      </c>
      <c r="AL711" s="299" t="s">
        <v>82</v>
      </c>
      <c r="AM711" s="299" t="s">
        <v>688</v>
      </c>
      <c r="AO711" s="299">
        <v>27</v>
      </c>
      <c r="AP711" s="299" t="s">
        <v>81</v>
      </c>
      <c r="AQ711" s="299" t="s">
        <v>1369</v>
      </c>
    </row>
    <row r="712" spans="13:43" ht="15" customHeight="1" x14ac:dyDescent="0.25">
      <c r="M712" s="171">
        <v>44</v>
      </c>
      <c r="N712" s="171" t="s">
        <v>97</v>
      </c>
      <c r="O712" s="171" t="s">
        <v>688</v>
      </c>
      <c r="Q712" s="298" t="s">
        <v>694</v>
      </c>
      <c r="R712" s="298" t="s">
        <v>98</v>
      </c>
      <c r="S712" s="397" t="s">
        <v>79</v>
      </c>
      <c r="U712"/>
      <c r="V712"/>
      <c r="W712"/>
      <c r="Y712" s="171">
        <v>46</v>
      </c>
      <c r="Z712" s="171" t="s">
        <v>98</v>
      </c>
      <c r="AA712" s="171" t="s">
        <v>123</v>
      </c>
      <c r="AC712" s="505">
        <v>33</v>
      </c>
      <c r="AD712" s="505" t="s">
        <v>97</v>
      </c>
      <c r="AE712" s="505" t="s">
        <v>688</v>
      </c>
      <c r="AK712" s="299">
        <v>38</v>
      </c>
      <c r="AL712" s="299" t="s">
        <v>81</v>
      </c>
      <c r="AM712" s="299" t="s">
        <v>688</v>
      </c>
      <c r="AO712" s="299">
        <v>27</v>
      </c>
      <c r="AP712" s="299" t="s">
        <v>81</v>
      </c>
      <c r="AQ712" s="299" t="s">
        <v>1369</v>
      </c>
    </row>
    <row r="713" spans="13:43" ht="15" customHeight="1" x14ac:dyDescent="0.25">
      <c r="M713" s="171">
        <v>54</v>
      </c>
      <c r="N713" s="171" t="s">
        <v>97</v>
      </c>
      <c r="O713" s="171" t="s">
        <v>688</v>
      </c>
      <c r="Q713" s="298" t="s">
        <v>694</v>
      </c>
      <c r="R713" s="298" t="s">
        <v>97</v>
      </c>
      <c r="S713" s="397" t="s">
        <v>79</v>
      </c>
      <c r="U713"/>
      <c r="V713"/>
      <c r="W713"/>
      <c r="Y713" s="171">
        <v>19</v>
      </c>
      <c r="Z713" s="171" t="s">
        <v>98</v>
      </c>
      <c r="AA713" s="171" t="s">
        <v>123</v>
      </c>
      <c r="AC713" s="505">
        <v>65</v>
      </c>
      <c r="AD713" s="505" t="s">
        <v>98</v>
      </c>
      <c r="AE713" s="505" t="s">
        <v>688</v>
      </c>
      <c r="AK713" s="299" t="s">
        <v>1365</v>
      </c>
      <c r="AL713" s="299" t="s">
        <v>81</v>
      </c>
      <c r="AM713" s="299" t="s">
        <v>688</v>
      </c>
      <c r="AO713" s="299">
        <v>29</v>
      </c>
      <c r="AP713" s="299" t="s">
        <v>81</v>
      </c>
      <c r="AQ713" s="299" t="s">
        <v>1369</v>
      </c>
    </row>
    <row r="714" spans="13:43" ht="15" customHeight="1" x14ac:dyDescent="0.25">
      <c r="M714" s="171">
        <v>34</v>
      </c>
      <c r="N714" s="171" t="s">
        <v>98</v>
      </c>
      <c r="O714" s="171" t="s">
        <v>55</v>
      </c>
      <c r="Q714" s="298" t="s">
        <v>694</v>
      </c>
      <c r="R714" s="298" t="s">
        <v>98</v>
      </c>
      <c r="S714" s="397" t="s">
        <v>79</v>
      </c>
      <c r="U714"/>
      <c r="V714"/>
      <c r="W714"/>
      <c r="Y714" s="171">
        <v>90</v>
      </c>
      <c r="Z714" s="171" t="s">
        <v>98</v>
      </c>
      <c r="AA714" s="171" t="s">
        <v>123</v>
      </c>
      <c r="AC714" s="505">
        <v>35</v>
      </c>
      <c r="AD714" s="505" t="s">
        <v>97</v>
      </c>
      <c r="AE714" s="505" t="s">
        <v>688</v>
      </c>
      <c r="AK714" s="299">
        <v>67</v>
      </c>
      <c r="AL714" s="299" t="s">
        <v>82</v>
      </c>
      <c r="AM714" s="299" t="s">
        <v>688</v>
      </c>
      <c r="AO714" s="299">
        <v>32</v>
      </c>
      <c r="AP714" s="299" t="s">
        <v>81</v>
      </c>
      <c r="AQ714" s="299" t="s">
        <v>1369</v>
      </c>
    </row>
    <row r="715" spans="13:43" ht="15" customHeight="1" x14ac:dyDescent="0.25">
      <c r="Q715" s="298" t="s">
        <v>712</v>
      </c>
      <c r="R715" s="298" t="s">
        <v>97</v>
      </c>
      <c r="S715" s="397" t="s">
        <v>79</v>
      </c>
      <c r="U715"/>
      <c r="V715"/>
      <c r="W715"/>
      <c r="Y715" s="171">
        <v>36</v>
      </c>
      <c r="Z715" s="171" t="s">
        <v>98</v>
      </c>
      <c r="AA715" s="171" t="s">
        <v>123</v>
      </c>
      <c r="AC715" s="505">
        <v>61</v>
      </c>
      <c r="AD715" s="505" t="s">
        <v>97</v>
      </c>
      <c r="AE715" s="505" t="s">
        <v>688</v>
      </c>
      <c r="AK715" s="299">
        <v>42</v>
      </c>
      <c r="AL715" s="299" t="s">
        <v>82</v>
      </c>
      <c r="AM715" s="299" t="s">
        <v>688</v>
      </c>
      <c r="AO715" s="299">
        <v>37</v>
      </c>
      <c r="AP715" s="299" t="s">
        <v>81</v>
      </c>
      <c r="AQ715" s="299" t="s">
        <v>1369</v>
      </c>
    </row>
    <row r="716" spans="13:43" ht="15" customHeight="1" x14ac:dyDescent="0.25">
      <c r="Q716" s="298" t="s">
        <v>697</v>
      </c>
      <c r="R716" s="298" t="s">
        <v>98</v>
      </c>
      <c r="S716" s="397" t="s">
        <v>79</v>
      </c>
      <c r="U716"/>
      <c r="V716"/>
      <c r="W716"/>
      <c r="Y716" s="171">
        <v>5</v>
      </c>
      <c r="Z716" s="171" t="s">
        <v>98</v>
      </c>
      <c r="AA716" s="171" t="s">
        <v>134</v>
      </c>
      <c r="AC716" s="505">
        <v>87</v>
      </c>
      <c r="AD716" s="505" t="s">
        <v>98</v>
      </c>
      <c r="AE716" s="505" t="s">
        <v>688</v>
      </c>
      <c r="AK716" s="299">
        <v>29</v>
      </c>
      <c r="AL716" s="299" t="s">
        <v>82</v>
      </c>
      <c r="AM716" s="299" t="s">
        <v>688</v>
      </c>
      <c r="AO716" s="299">
        <v>24</v>
      </c>
      <c r="AP716" s="299" t="s">
        <v>81</v>
      </c>
      <c r="AQ716" s="299" t="s">
        <v>1369</v>
      </c>
    </row>
    <row r="717" spans="13:43" ht="15" customHeight="1" x14ac:dyDescent="0.25">
      <c r="Q717" s="298" t="s">
        <v>694</v>
      </c>
      <c r="R717" s="298" t="s">
        <v>97</v>
      </c>
      <c r="S717" s="397" t="s">
        <v>79</v>
      </c>
      <c r="U717"/>
      <c r="V717"/>
      <c r="W717"/>
      <c r="Y717" s="171">
        <v>8</v>
      </c>
      <c r="Z717" s="171" t="s">
        <v>97</v>
      </c>
      <c r="AA717" s="171" t="s">
        <v>134</v>
      </c>
      <c r="AC717" s="505">
        <v>51</v>
      </c>
      <c r="AD717" s="505" t="s">
        <v>97</v>
      </c>
      <c r="AE717" s="505" t="s">
        <v>688</v>
      </c>
      <c r="AK717" s="299">
        <v>45</v>
      </c>
      <c r="AL717" s="299" t="s">
        <v>82</v>
      </c>
      <c r="AM717" s="299" t="s">
        <v>688</v>
      </c>
      <c r="AO717" s="299">
        <v>15</v>
      </c>
      <c r="AP717" s="299" t="s">
        <v>81</v>
      </c>
      <c r="AQ717" s="299" t="s">
        <v>1369</v>
      </c>
    </row>
    <row r="718" spans="13:43" ht="15" customHeight="1" x14ac:dyDescent="0.25">
      <c r="Q718" s="298" t="s">
        <v>959</v>
      </c>
      <c r="R718" s="298" t="s">
        <v>98</v>
      </c>
      <c r="S718" s="397" t="s">
        <v>79</v>
      </c>
      <c r="U718"/>
      <c r="V718"/>
      <c r="W718"/>
      <c r="Y718" s="171">
        <v>7</v>
      </c>
      <c r="Z718" s="171" t="s">
        <v>98</v>
      </c>
      <c r="AA718" s="171" t="s">
        <v>134</v>
      </c>
      <c r="AC718" s="505">
        <v>53</v>
      </c>
      <c r="AD718" s="505" t="s">
        <v>98</v>
      </c>
      <c r="AE718" s="505" t="s">
        <v>688</v>
      </c>
      <c r="AK718" s="299">
        <v>8</v>
      </c>
      <c r="AL718" s="299" t="s">
        <v>81</v>
      </c>
      <c r="AM718" s="299" t="s">
        <v>688</v>
      </c>
      <c r="AO718" s="299">
        <v>38</v>
      </c>
      <c r="AP718" s="299" t="s">
        <v>81</v>
      </c>
      <c r="AQ718" s="299" t="s">
        <v>1369</v>
      </c>
    </row>
    <row r="719" spans="13:43" ht="15" customHeight="1" x14ac:dyDescent="0.25">
      <c r="Q719" s="298" t="s">
        <v>694</v>
      </c>
      <c r="R719" s="298" t="s">
        <v>98</v>
      </c>
      <c r="S719" s="397" t="s">
        <v>79</v>
      </c>
      <c r="U719"/>
      <c r="V719"/>
      <c r="W719"/>
      <c r="Y719" s="171">
        <v>3</v>
      </c>
      <c r="Z719" s="171" t="s">
        <v>98</v>
      </c>
      <c r="AA719" s="171" t="s">
        <v>134</v>
      </c>
      <c r="AC719" s="505">
        <v>74</v>
      </c>
      <c r="AD719" s="505" t="s">
        <v>97</v>
      </c>
      <c r="AE719" s="505" t="s">
        <v>688</v>
      </c>
      <c r="AK719" s="299">
        <v>63</v>
      </c>
      <c r="AL719" s="299" t="s">
        <v>81</v>
      </c>
      <c r="AM719" s="299" t="s">
        <v>688</v>
      </c>
      <c r="AO719" s="299">
        <v>36</v>
      </c>
      <c r="AP719" s="299" t="s">
        <v>81</v>
      </c>
      <c r="AQ719" s="299" t="s">
        <v>1369</v>
      </c>
    </row>
    <row r="720" spans="13:43" ht="15" customHeight="1" x14ac:dyDescent="0.25">
      <c r="Q720" s="298" t="s">
        <v>695</v>
      </c>
      <c r="R720" s="298" t="s">
        <v>97</v>
      </c>
      <c r="S720" s="397" t="s">
        <v>79</v>
      </c>
      <c r="U720"/>
      <c r="V720"/>
      <c r="W720"/>
      <c r="Y720" s="171">
        <v>3</v>
      </c>
      <c r="Z720" s="171" t="s">
        <v>97</v>
      </c>
      <c r="AA720" s="171" t="s">
        <v>134</v>
      </c>
      <c r="AC720" s="505">
        <v>45</v>
      </c>
      <c r="AD720" s="505" t="s">
        <v>98</v>
      </c>
      <c r="AE720" s="505" t="s">
        <v>688</v>
      </c>
      <c r="AK720" s="299">
        <v>36</v>
      </c>
      <c r="AL720" s="299" t="s">
        <v>82</v>
      </c>
      <c r="AM720" s="299" t="s">
        <v>688</v>
      </c>
      <c r="AO720" s="299">
        <v>31</v>
      </c>
      <c r="AP720" s="299" t="s">
        <v>81</v>
      </c>
      <c r="AQ720" s="299" t="s">
        <v>1369</v>
      </c>
    </row>
    <row r="721" spans="17:43" ht="15" customHeight="1" x14ac:dyDescent="0.25">
      <c r="Q721" s="298" t="s">
        <v>694</v>
      </c>
      <c r="R721" s="298" t="s">
        <v>97</v>
      </c>
      <c r="S721" s="397" t="s">
        <v>79</v>
      </c>
      <c r="U721"/>
      <c r="V721"/>
      <c r="W721"/>
      <c r="Y721" s="171">
        <v>11</v>
      </c>
      <c r="Z721" s="171" t="s">
        <v>97</v>
      </c>
      <c r="AA721" s="171" t="s">
        <v>134</v>
      </c>
      <c r="AC721" s="505">
        <v>76</v>
      </c>
      <c r="AD721" s="505" t="s">
        <v>97</v>
      </c>
      <c r="AE721" s="505" t="s">
        <v>688</v>
      </c>
      <c r="AK721" s="299">
        <v>62</v>
      </c>
      <c r="AL721" s="299" t="s">
        <v>81</v>
      </c>
      <c r="AM721" s="299" t="s">
        <v>688</v>
      </c>
      <c r="AO721" s="299">
        <v>26</v>
      </c>
      <c r="AP721" s="299" t="s">
        <v>81</v>
      </c>
      <c r="AQ721" s="299" t="s">
        <v>1369</v>
      </c>
    </row>
    <row r="722" spans="17:43" ht="15" customHeight="1" x14ac:dyDescent="0.25">
      <c r="Q722" s="298" t="s">
        <v>956</v>
      </c>
      <c r="R722" s="298" t="s">
        <v>98</v>
      </c>
      <c r="S722" s="397" t="s">
        <v>79</v>
      </c>
      <c r="U722"/>
      <c r="V722"/>
      <c r="W722"/>
      <c r="Y722" s="171">
        <v>5</v>
      </c>
      <c r="Z722" s="171" t="s">
        <v>97</v>
      </c>
      <c r="AA722" s="171" t="s">
        <v>134</v>
      </c>
      <c r="AC722" s="505">
        <v>44</v>
      </c>
      <c r="AD722" s="505" t="s">
        <v>98</v>
      </c>
      <c r="AE722" s="505" t="s">
        <v>688</v>
      </c>
      <c r="AK722" s="299">
        <v>49</v>
      </c>
      <c r="AL722" s="299" t="s">
        <v>81</v>
      </c>
      <c r="AM722" s="299" t="s">
        <v>688</v>
      </c>
      <c r="AO722" s="299">
        <v>26</v>
      </c>
      <c r="AP722" s="299" t="s">
        <v>81</v>
      </c>
      <c r="AQ722" s="299" t="s">
        <v>1369</v>
      </c>
    </row>
    <row r="723" spans="17:43" ht="15" customHeight="1" x14ac:dyDescent="0.25">
      <c r="Q723" s="298" t="s">
        <v>694</v>
      </c>
      <c r="R723" s="298" t="s">
        <v>98</v>
      </c>
      <c r="S723" s="397" t="s">
        <v>79</v>
      </c>
      <c r="U723"/>
      <c r="V723"/>
      <c r="W723"/>
      <c r="Y723" s="171" t="s">
        <v>1154</v>
      </c>
      <c r="Z723" s="171" t="s">
        <v>97</v>
      </c>
      <c r="AA723" s="171" t="s">
        <v>134</v>
      </c>
      <c r="AC723" s="505">
        <v>30</v>
      </c>
      <c r="AD723" s="505" t="s">
        <v>97</v>
      </c>
      <c r="AE723" s="505" t="s">
        <v>688</v>
      </c>
      <c r="AK723" s="299">
        <v>71</v>
      </c>
      <c r="AL723" s="299" t="s">
        <v>81</v>
      </c>
      <c r="AM723" s="299" t="s">
        <v>688</v>
      </c>
      <c r="AO723" s="299">
        <v>19</v>
      </c>
      <c r="AP723" s="299" t="s">
        <v>81</v>
      </c>
      <c r="AQ723" s="299" t="s">
        <v>1369</v>
      </c>
    </row>
    <row r="724" spans="17:43" ht="15" customHeight="1" x14ac:dyDescent="0.25">
      <c r="Q724" s="298" t="s">
        <v>695</v>
      </c>
      <c r="R724" s="298" t="s">
        <v>98</v>
      </c>
      <c r="S724" s="397" t="s">
        <v>79</v>
      </c>
      <c r="U724"/>
      <c r="V724"/>
      <c r="W724"/>
      <c r="Y724" s="171">
        <v>4</v>
      </c>
      <c r="Z724" s="171" t="s">
        <v>97</v>
      </c>
      <c r="AA724" s="171" t="s">
        <v>134</v>
      </c>
      <c r="AC724" s="505">
        <v>9</v>
      </c>
      <c r="AD724" s="505" t="s">
        <v>97</v>
      </c>
      <c r="AE724" s="505" t="s">
        <v>688</v>
      </c>
      <c r="AK724" s="299">
        <v>31</v>
      </c>
      <c r="AL724" s="299" t="s">
        <v>82</v>
      </c>
      <c r="AM724" s="299" t="s">
        <v>688</v>
      </c>
      <c r="AO724" s="299">
        <v>35</v>
      </c>
      <c r="AP724" s="299" t="s">
        <v>81</v>
      </c>
      <c r="AQ724" s="299" t="s">
        <v>1369</v>
      </c>
    </row>
    <row r="725" spans="17:43" ht="15" customHeight="1" x14ac:dyDescent="0.25">
      <c r="Q725" s="298" t="s">
        <v>712</v>
      </c>
      <c r="R725" s="298" t="s">
        <v>97</v>
      </c>
      <c r="S725" s="397" t="s">
        <v>79</v>
      </c>
      <c r="U725"/>
      <c r="V725"/>
      <c r="W725"/>
      <c r="Y725" s="171">
        <v>39</v>
      </c>
      <c r="Z725" s="171" t="s">
        <v>98</v>
      </c>
      <c r="AA725" s="171" t="s">
        <v>38</v>
      </c>
      <c r="AC725" s="505">
        <v>37</v>
      </c>
      <c r="AD725" s="505" t="s">
        <v>98</v>
      </c>
      <c r="AE725" s="505" t="s">
        <v>688</v>
      </c>
      <c r="AK725" s="299">
        <v>34</v>
      </c>
      <c r="AL725" s="299" t="s">
        <v>82</v>
      </c>
      <c r="AM725" s="299" t="s">
        <v>688</v>
      </c>
      <c r="AO725" s="299">
        <v>32</v>
      </c>
      <c r="AP725" s="299" t="s">
        <v>81</v>
      </c>
      <c r="AQ725" s="299" t="s">
        <v>1369</v>
      </c>
    </row>
    <row r="726" spans="17:43" ht="15" customHeight="1" x14ac:dyDescent="0.25">
      <c r="Q726" s="298" t="s">
        <v>694</v>
      </c>
      <c r="R726" s="298" t="s">
        <v>97</v>
      </c>
      <c r="S726" s="397" t="s">
        <v>79</v>
      </c>
      <c r="U726"/>
      <c r="V726"/>
      <c r="W726"/>
      <c r="Y726" s="171">
        <v>60</v>
      </c>
      <c r="Z726" s="171" t="s">
        <v>98</v>
      </c>
      <c r="AA726" s="171" t="s">
        <v>38</v>
      </c>
      <c r="AC726" s="505">
        <v>48</v>
      </c>
      <c r="AD726" s="505" t="s">
        <v>98</v>
      </c>
      <c r="AE726" s="505" t="s">
        <v>688</v>
      </c>
      <c r="AK726" s="299">
        <v>68</v>
      </c>
      <c r="AL726" s="299" t="s">
        <v>81</v>
      </c>
      <c r="AM726" s="299" t="s">
        <v>688</v>
      </c>
      <c r="AO726" s="299">
        <v>18</v>
      </c>
      <c r="AP726" s="299" t="s">
        <v>81</v>
      </c>
      <c r="AQ726" s="299" t="s">
        <v>1369</v>
      </c>
    </row>
    <row r="727" spans="17:43" ht="15" customHeight="1" x14ac:dyDescent="0.25">
      <c r="Q727" s="298" t="s">
        <v>694</v>
      </c>
      <c r="R727" s="298" t="s">
        <v>97</v>
      </c>
      <c r="S727" s="397" t="s">
        <v>79</v>
      </c>
      <c r="U727"/>
      <c r="V727"/>
      <c r="W727"/>
      <c r="Y727" s="171">
        <v>26</v>
      </c>
      <c r="Z727" s="171" t="s">
        <v>98</v>
      </c>
      <c r="AA727" s="171" t="s">
        <v>38</v>
      </c>
      <c r="AC727" s="505">
        <v>17</v>
      </c>
      <c r="AD727" s="505" t="s">
        <v>98</v>
      </c>
      <c r="AE727" s="505" t="s">
        <v>688</v>
      </c>
      <c r="AK727" s="299">
        <v>32</v>
      </c>
      <c r="AL727" s="299" t="s">
        <v>82</v>
      </c>
      <c r="AM727" s="299" t="s">
        <v>688</v>
      </c>
      <c r="AO727" s="299">
        <v>34</v>
      </c>
      <c r="AP727" s="299" t="s">
        <v>81</v>
      </c>
      <c r="AQ727" s="299" t="s">
        <v>1369</v>
      </c>
    </row>
    <row r="728" spans="17:43" ht="15" customHeight="1" x14ac:dyDescent="0.25">
      <c r="Q728" s="298" t="s">
        <v>695</v>
      </c>
      <c r="R728" s="298" t="s">
        <v>97</v>
      </c>
      <c r="S728" s="397" t="s">
        <v>79</v>
      </c>
      <c r="U728"/>
      <c r="V728"/>
      <c r="W728"/>
      <c r="Y728" s="171">
        <v>41</v>
      </c>
      <c r="Z728" s="171" t="s">
        <v>98</v>
      </c>
      <c r="AA728" s="171" t="s">
        <v>38</v>
      </c>
      <c r="AC728" s="505">
        <v>34</v>
      </c>
      <c r="AD728" s="505" t="s">
        <v>97</v>
      </c>
      <c r="AE728" s="505" t="s">
        <v>688</v>
      </c>
      <c r="AK728" s="299">
        <v>35</v>
      </c>
      <c r="AL728" s="299" t="s">
        <v>82</v>
      </c>
      <c r="AM728" s="299" t="s">
        <v>688</v>
      </c>
      <c r="AO728" s="299">
        <v>35</v>
      </c>
      <c r="AP728" s="299" t="s">
        <v>81</v>
      </c>
      <c r="AQ728" s="299" t="s">
        <v>1370</v>
      </c>
    </row>
    <row r="729" spans="17:43" ht="15" customHeight="1" x14ac:dyDescent="0.25">
      <c r="Q729" s="298" t="s">
        <v>958</v>
      </c>
      <c r="R729" s="298" t="s">
        <v>97</v>
      </c>
      <c r="S729" s="397" t="s">
        <v>79</v>
      </c>
      <c r="U729"/>
      <c r="V729"/>
      <c r="W729"/>
      <c r="Y729" s="171">
        <v>22</v>
      </c>
      <c r="Z729" s="171" t="s">
        <v>98</v>
      </c>
      <c r="AA729" s="171" t="s">
        <v>38</v>
      </c>
      <c r="AC729" s="505">
        <v>38</v>
      </c>
      <c r="AD729" s="505" t="s">
        <v>97</v>
      </c>
      <c r="AE729" s="505" t="s">
        <v>688</v>
      </c>
      <c r="AK729" s="299">
        <v>10</v>
      </c>
      <c r="AL729" s="299" t="s">
        <v>81</v>
      </c>
      <c r="AM729" s="299" t="s">
        <v>688</v>
      </c>
      <c r="AO729" s="299">
        <v>38</v>
      </c>
      <c r="AP729" s="299" t="s">
        <v>81</v>
      </c>
      <c r="AQ729" s="299" t="s">
        <v>1370</v>
      </c>
    </row>
    <row r="730" spans="17:43" ht="15" customHeight="1" x14ac:dyDescent="0.25">
      <c r="Q730" s="298" t="s">
        <v>960</v>
      </c>
      <c r="R730" s="298" t="s">
        <v>98</v>
      </c>
      <c r="S730" s="397" t="s">
        <v>79</v>
      </c>
      <c r="U730"/>
      <c r="V730"/>
      <c r="W730"/>
      <c r="Y730" s="171">
        <v>22</v>
      </c>
      <c r="Z730" s="171" t="s">
        <v>98</v>
      </c>
      <c r="AA730" s="171" t="s">
        <v>38</v>
      </c>
      <c r="AC730" s="505">
        <v>70</v>
      </c>
      <c r="AD730" s="505" t="s">
        <v>98</v>
      </c>
      <c r="AE730" s="505" t="s">
        <v>688</v>
      </c>
      <c r="AK730" s="299">
        <v>64</v>
      </c>
      <c r="AL730" s="299" t="s">
        <v>82</v>
      </c>
      <c r="AM730" s="299" t="s">
        <v>688</v>
      </c>
      <c r="AO730" s="299">
        <v>27</v>
      </c>
      <c r="AP730" s="299" t="s">
        <v>81</v>
      </c>
      <c r="AQ730" s="299" t="s">
        <v>1370</v>
      </c>
    </row>
    <row r="731" spans="17:43" ht="15" customHeight="1" x14ac:dyDescent="0.25">
      <c r="Q731" s="298" t="s">
        <v>705</v>
      </c>
      <c r="R731" s="298" t="s">
        <v>98</v>
      </c>
      <c r="S731" s="397" t="s">
        <v>79</v>
      </c>
      <c r="U731"/>
      <c r="V731"/>
      <c r="W731"/>
      <c r="Y731" s="171">
        <v>21</v>
      </c>
      <c r="Z731" s="171" t="s">
        <v>98</v>
      </c>
      <c r="AA731" s="171" t="s">
        <v>38</v>
      </c>
      <c r="AC731" s="505">
        <v>26</v>
      </c>
      <c r="AD731" s="505" t="s">
        <v>97</v>
      </c>
      <c r="AE731" s="505" t="s">
        <v>688</v>
      </c>
      <c r="AK731" s="299">
        <v>40</v>
      </c>
      <c r="AL731" s="299" t="s">
        <v>82</v>
      </c>
      <c r="AM731" s="299" t="s">
        <v>688</v>
      </c>
      <c r="AO731" s="299">
        <v>30</v>
      </c>
      <c r="AP731" s="299" t="s">
        <v>81</v>
      </c>
      <c r="AQ731" s="299" t="s">
        <v>1370</v>
      </c>
    </row>
    <row r="732" spans="17:43" ht="15" customHeight="1" x14ac:dyDescent="0.25">
      <c r="Q732" s="298" t="s">
        <v>694</v>
      </c>
      <c r="R732" s="298" t="s">
        <v>98</v>
      </c>
      <c r="S732" s="397" t="s">
        <v>79</v>
      </c>
      <c r="U732"/>
      <c r="V732"/>
      <c r="W732"/>
      <c r="Y732" s="171">
        <v>35</v>
      </c>
      <c r="Z732" s="171" t="s">
        <v>98</v>
      </c>
      <c r="AA732" s="171" t="s">
        <v>38</v>
      </c>
      <c r="AC732" s="505">
        <v>57</v>
      </c>
      <c r="AD732" s="505" t="s">
        <v>98</v>
      </c>
      <c r="AE732" s="505" t="s">
        <v>688</v>
      </c>
      <c r="AK732" s="299">
        <v>45</v>
      </c>
      <c r="AL732" s="299" t="s">
        <v>82</v>
      </c>
      <c r="AM732" s="299" t="s">
        <v>688</v>
      </c>
      <c r="AO732" s="299">
        <v>23</v>
      </c>
      <c r="AP732" s="299" t="s">
        <v>81</v>
      </c>
      <c r="AQ732" s="299" t="s">
        <v>1370</v>
      </c>
    </row>
    <row r="733" spans="17:43" ht="15" customHeight="1" x14ac:dyDescent="0.25">
      <c r="Q733" s="298" t="s">
        <v>956</v>
      </c>
      <c r="R733" s="298" t="s">
        <v>97</v>
      </c>
      <c r="S733" s="397" t="s">
        <v>79</v>
      </c>
      <c r="U733"/>
      <c r="V733"/>
      <c r="W733"/>
      <c r="Y733" s="171">
        <v>25</v>
      </c>
      <c r="Z733" s="171" t="s">
        <v>98</v>
      </c>
      <c r="AA733" s="171" t="s">
        <v>38</v>
      </c>
      <c r="AC733" s="505">
        <v>39</v>
      </c>
      <c r="AD733" s="505" t="s">
        <v>97</v>
      </c>
      <c r="AE733" s="505" t="s">
        <v>688</v>
      </c>
      <c r="AK733" s="299">
        <v>60</v>
      </c>
      <c r="AL733" s="299" t="s">
        <v>82</v>
      </c>
      <c r="AM733" s="299" t="s">
        <v>688</v>
      </c>
      <c r="AO733" s="299">
        <v>34</v>
      </c>
      <c r="AP733" s="299" t="s">
        <v>81</v>
      </c>
      <c r="AQ733" s="299" t="s">
        <v>1370</v>
      </c>
    </row>
    <row r="734" spans="17:43" ht="15" customHeight="1" x14ac:dyDescent="0.25">
      <c r="Q734" s="298" t="s">
        <v>710</v>
      </c>
      <c r="R734" s="298" t="s">
        <v>97</v>
      </c>
      <c r="S734" s="397" t="s">
        <v>79</v>
      </c>
      <c r="U734"/>
      <c r="V734"/>
      <c r="W734"/>
      <c r="Y734" s="171">
        <v>34</v>
      </c>
      <c r="Z734" s="171" t="s">
        <v>98</v>
      </c>
      <c r="AA734" s="171" t="s">
        <v>38</v>
      </c>
      <c r="AC734" s="505">
        <v>51</v>
      </c>
      <c r="AD734" s="505" t="s">
        <v>98</v>
      </c>
      <c r="AE734" s="505" t="s">
        <v>688</v>
      </c>
      <c r="AK734" s="299">
        <v>41</v>
      </c>
      <c r="AL734" s="299" t="s">
        <v>82</v>
      </c>
      <c r="AM734" s="299" t="s">
        <v>688</v>
      </c>
      <c r="AO734" s="299">
        <v>24</v>
      </c>
      <c r="AP734" s="299" t="s">
        <v>81</v>
      </c>
      <c r="AQ734" s="299" t="s">
        <v>1370</v>
      </c>
    </row>
    <row r="735" spans="17:43" ht="15" customHeight="1" x14ac:dyDescent="0.25">
      <c r="Q735" s="298" t="s">
        <v>697</v>
      </c>
      <c r="R735" s="298" t="s">
        <v>98</v>
      </c>
      <c r="S735" s="397" t="s">
        <v>79</v>
      </c>
      <c r="U735"/>
      <c r="V735"/>
      <c r="W735"/>
      <c r="Y735" s="171">
        <v>29</v>
      </c>
      <c r="Z735" s="171" t="s">
        <v>98</v>
      </c>
      <c r="AA735" s="171" t="s">
        <v>38</v>
      </c>
      <c r="AC735" s="505">
        <v>44</v>
      </c>
      <c r="AD735" s="505" t="s">
        <v>98</v>
      </c>
      <c r="AE735" s="505" t="s">
        <v>688</v>
      </c>
      <c r="AK735" s="299">
        <v>18</v>
      </c>
      <c r="AL735" s="299" t="s">
        <v>82</v>
      </c>
      <c r="AM735" s="299" t="s">
        <v>688</v>
      </c>
      <c r="AO735" s="299">
        <v>20</v>
      </c>
      <c r="AP735" s="299" t="s">
        <v>81</v>
      </c>
      <c r="AQ735" s="299" t="s">
        <v>1370</v>
      </c>
    </row>
    <row r="736" spans="17:43" ht="15" customHeight="1" x14ac:dyDescent="0.25">
      <c r="Q736" s="298" t="s">
        <v>712</v>
      </c>
      <c r="R736" s="298" t="s">
        <v>97</v>
      </c>
      <c r="S736" s="397" t="s">
        <v>79</v>
      </c>
      <c r="U736"/>
      <c r="V736"/>
      <c r="W736"/>
      <c r="Y736" s="171">
        <v>20</v>
      </c>
      <c r="Z736" s="171" t="s">
        <v>98</v>
      </c>
      <c r="AA736" s="171" t="s">
        <v>38</v>
      </c>
      <c r="AC736" s="505">
        <v>9</v>
      </c>
      <c r="AD736" s="505" t="s">
        <v>97</v>
      </c>
      <c r="AE736" s="505" t="s">
        <v>688</v>
      </c>
      <c r="AK736" s="299">
        <v>43</v>
      </c>
      <c r="AL736" s="299" t="s">
        <v>82</v>
      </c>
      <c r="AM736" s="299" t="s">
        <v>688</v>
      </c>
      <c r="AO736" s="299">
        <v>27</v>
      </c>
      <c r="AP736" s="299" t="s">
        <v>81</v>
      </c>
      <c r="AQ736" s="299" t="s">
        <v>1370</v>
      </c>
    </row>
    <row r="737" spans="17:43" ht="15" customHeight="1" x14ac:dyDescent="0.25">
      <c r="Q737" s="298" t="s">
        <v>694</v>
      </c>
      <c r="R737" s="298" t="s">
        <v>97</v>
      </c>
      <c r="S737" s="397" t="s">
        <v>79</v>
      </c>
      <c r="U737"/>
      <c r="V737"/>
      <c r="W737"/>
      <c r="Y737" s="171">
        <v>40</v>
      </c>
      <c r="Z737" s="171" t="s">
        <v>98</v>
      </c>
      <c r="AA737" s="171" t="s">
        <v>38</v>
      </c>
      <c r="AC737" s="505">
        <v>56</v>
      </c>
      <c r="AD737" s="505" t="s">
        <v>97</v>
      </c>
      <c r="AE737" s="505" t="s">
        <v>688</v>
      </c>
      <c r="AK737" s="299">
        <v>28</v>
      </c>
      <c r="AL737" s="299" t="s">
        <v>81</v>
      </c>
      <c r="AM737" s="299" t="s">
        <v>688</v>
      </c>
      <c r="AO737" s="299">
        <v>25</v>
      </c>
      <c r="AP737" s="299" t="s">
        <v>81</v>
      </c>
      <c r="AQ737" s="299" t="s">
        <v>1370</v>
      </c>
    </row>
    <row r="738" spans="17:43" ht="15" customHeight="1" x14ac:dyDescent="0.25">
      <c r="Q738" s="298" t="s">
        <v>695</v>
      </c>
      <c r="R738" s="298" t="s">
        <v>97</v>
      </c>
      <c r="S738" s="397" t="s">
        <v>79</v>
      </c>
      <c r="U738"/>
      <c r="V738"/>
      <c r="W738"/>
      <c r="Y738" s="171">
        <v>19</v>
      </c>
      <c r="Z738" s="171" t="s">
        <v>98</v>
      </c>
      <c r="AA738" s="171" t="s">
        <v>38</v>
      </c>
      <c r="AC738" s="505">
        <v>53</v>
      </c>
      <c r="AD738" s="505" t="s">
        <v>98</v>
      </c>
      <c r="AE738" s="505" t="s">
        <v>688</v>
      </c>
      <c r="AK738" s="299">
        <v>38</v>
      </c>
      <c r="AL738" s="299" t="s">
        <v>82</v>
      </c>
      <c r="AM738" s="299" t="s">
        <v>688</v>
      </c>
      <c r="AO738" s="299">
        <v>23</v>
      </c>
      <c r="AP738" s="299" t="s">
        <v>81</v>
      </c>
      <c r="AQ738" s="299" t="s">
        <v>1370</v>
      </c>
    </row>
    <row r="739" spans="17:43" ht="15" customHeight="1" x14ac:dyDescent="0.25">
      <c r="Q739" s="298" t="s">
        <v>712</v>
      </c>
      <c r="R739" s="298" t="s">
        <v>98</v>
      </c>
      <c r="S739" s="397" t="s">
        <v>79</v>
      </c>
      <c r="U739"/>
      <c r="V739"/>
      <c r="W739"/>
      <c r="Y739" s="171">
        <v>24</v>
      </c>
      <c r="Z739" s="171" t="s">
        <v>98</v>
      </c>
      <c r="AA739" s="171" t="s">
        <v>38</v>
      </c>
      <c r="AC739" s="505">
        <v>60</v>
      </c>
      <c r="AD739" s="505" t="s">
        <v>97</v>
      </c>
      <c r="AE739" s="505" t="s">
        <v>688</v>
      </c>
      <c r="AK739" s="299">
        <v>75</v>
      </c>
      <c r="AL739" s="299" t="s">
        <v>81</v>
      </c>
      <c r="AM739" s="299" t="s">
        <v>688</v>
      </c>
      <c r="AO739" s="299">
        <v>39</v>
      </c>
      <c r="AP739" s="299" t="s">
        <v>81</v>
      </c>
      <c r="AQ739" s="299" t="s">
        <v>1370</v>
      </c>
    </row>
    <row r="740" spans="17:43" ht="15" customHeight="1" x14ac:dyDescent="0.25">
      <c r="Q740" s="298" t="s">
        <v>694</v>
      </c>
      <c r="R740" s="298" t="s">
        <v>97</v>
      </c>
      <c r="S740" s="397" t="s">
        <v>79</v>
      </c>
      <c r="U740"/>
      <c r="V740"/>
      <c r="W740"/>
      <c r="Y740" s="171">
        <v>35</v>
      </c>
      <c r="Z740" s="171" t="s">
        <v>98</v>
      </c>
      <c r="AA740" s="171" t="s">
        <v>38</v>
      </c>
      <c r="AC740" s="505">
        <v>43</v>
      </c>
      <c r="AD740" s="505" t="s">
        <v>97</v>
      </c>
      <c r="AE740" s="505" t="s">
        <v>688</v>
      </c>
      <c r="AK740" s="299">
        <v>5</v>
      </c>
      <c r="AL740" s="299" t="s">
        <v>81</v>
      </c>
      <c r="AM740" s="299" t="s">
        <v>688</v>
      </c>
      <c r="AO740" s="299">
        <v>34</v>
      </c>
      <c r="AP740" s="299" t="s">
        <v>81</v>
      </c>
      <c r="AQ740" s="299" t="s">
        <v>1370</v>
      </c>
    </row>
    <row r="741" spans="17:43" ht="15" customHeight="1" x14ac:dyDescent="0.25">
      <c r="Q741" s="298" t="s">
        <v>695</v>
      </c>
      <c r="R741" s="298" t="s">
        <v>98</v>
      </c>
      <c r="S741" s="397" t="s">
        <v>79</v>
      </c>
      <c r="U741"/>
      <c r="V741"/>
      <c r="W741"/>
      <c r="Y741" s="171">
        <v>31</v>
      </c>
      <c r="Z741" s="171" t="s">
        <v>98</v>
      </c>
      <c r="AA741" s="171" t="s">
        <v>38</v>
      </c>
      <c r="AC741" s="505">
        <v>52</v>
      </c>
      <c r="AD741" s="505" t="s">
        <v>98</v>
      </c>
      <c r="AE741" s="505" t="s">
        <v>688</v>
      </c>
      <c r="AK741" s="299">
        <v>8</v>
      </c>
      <c r="AL741" s="299" t="s">
        <v>81</v>
      </c>
      <c r="AM741" s="299" t="s">
        <v>688</v>
      </c>
      <c r="AO741" s="299">
        <v>36</v>
      </c>
      <c r="AP741" s="299" t="s">
        <v>81</v>
      </c>
      <c r="AQ741" s="299" t="s">
        <v>1370</v>
      </c>
    </row>
    <row r="742" spans="17:43" ht="15" customHeight="1" x14ac:dyDescent="0.25">
      <c r="Q742" s="298" t="s">
        <v>695</v>
      </c>
      <c r="R742" s="298" t="s">
        <v>98</v>
      </c>
      <c r="S742" s="397" t="s">
        <v>79</v>
      </c>
      <c r="U742"/>
      <c r="V742"/>
      <c r="W742"/>
      <c r="Y742" s="171">
        <v>27</v>
      </c>
      <c r="Z742" s="171" t="s">
        <v>98</v>
      </c>
      <c r="AA742" s="171" t="s">
        <v>38</v>
      </c>
      <c r="AC742" s="505">
        <v>74</v>
      </c>
      <c r="AD742" s="505" t="s">
        <v>97</v>
      </c>
      <c r="AE742" s="505" t="s">
        <v>688</v>
      </c>
      <c r="AK742" s="299">
        <v>16</v>
      </c>
      <c r="AL742" s="299" t="s">
        <v>81</v>
      </c>
      <c r="AM742" s="299" t="s">
        <v>688</v>
      </c>
      <c r="AO742" s="299">
        <v>31</v>
      </c>
      <c r="AP742" s="299" t="s">
        <v>81</v>
      </c>
      <c r="AQ742" s="299" t="s">
        <v>1370</v>
      </c>
    </row>
    <row r="743" spans="17:43" ht="15" customHeight="1" x14ac:dyDescent="0.25">
      <c r="Q743" s="298" t="s">
        <v>694</v>
      </c>
      <c r="R743" s="298" t="s">
        <v>98</v>
      </c>
      <c r="S743" s="397" t="s">
        <v>79</v>
      </c>
      <c r="U743"/>
      <c r="V743"/>
      <c r="W743"/>
      <c r="Y743" s="171">
        <v>32</v>
      </c>
      <c r="Z743" s="171" t="s">
        <v>98</v>
      </c>
      <c r="AA743" s="171" t="s">
        <v>38</v>
      </c>
      <c r="AC743" s="505">
        <v>30</v>
      </c>
      <c r="AD743" s="505" t="s">
        <v>98</v>
      </c>
      <c r="AE743" s="505" t="s">
        <v>688</v>
      </c>
      <c r="AK743" s="299">
        <v>66</v>
      </c>
      <c r="AL743" s="299" t="s">
        <v>81</v>
      </c>
      <c r="AM743" s="299" t="s">
        <v>688</v>
      </c>
      <c r="AO743" s="299">
        <v>31</v>
      </c>
      <c r="AP743" s="299" t="s">
        <v>81</v>
      </c>
      <c r="AQ743" s="299" t="s">
        <v>1370</v>
      </c>
    </row>
    <row r="744" spans="17:43" ht="15" customHeight="1" x14ac:dyDescent="0.25">
      <c r="Q744" s="298" t="s">
        <v>694</v>
      </c>
      <c r="R744" s="298" t="s">
        <v>97</v>
      </c>
      <c r="S744" s="397" t="s">
        <v>79</v>
      </c>
      <c r="U744"/>
      <c r="V744"/>
      <c r="W744"/>
      <c r="Y744" s="171">
        <v>24</v>
      </c>
      <c r="Z744" s="171" t="s">
        <v>98</v>
      </c>
      <c r="AA744" s="171" t="s">
        <v>38</v>
      </c>
      <c r="AC744" s="505">
        <v>73</v>
      </c>
      <c r="AD744" s="505" t="s">
        <v>98</v>
      </c>
      <c r="AE744" s="505" t="s">
        <v>688</v>
      </c>
      <c r="AK744" s="299">
        <v>13</v>
      </c>
      <c r="AL744" s="299" t="s">
        <v>81</v>
      </c>
      <c r="AM744" s="299" t="s">
        <v>688</v>
      </c>
      <c r="AO744" s="299">
        <v>29</v>
      </c>
      <c r="AP744" s="299" t="s">
        <v>81</v>
      </c>
      <c r="AQ744" s="299" t="s">
        <v>1370</v>
      </c>
    </row>
    <row r="745" spans="17:43" ht="15" customHeight="1" x14ac:dyDescent="0.25">
      <c r="Q745" s="298" t="s">
        <v>694</v>
      </c>
      <c r="R745" s="298" t="s">
        <v>97</v>
      </c>
      <c r="S745" s="397" t="s">
        <v>79</v>
      </c>
      <c r="U745"/>
      <c r="V745"/>
      <c r="W745"/>
      <c r="Y745" s="171">
        <v>22</v>
      </c>
      <c r="Z745" s="171" t="s">
        <v>98</v>
      </c>
      <c r="AA745" s="171" t="s">
        <v>56</v>
      </c>
      <c r="AC745" s="505">
        <v>19</v>
      </c>
      <c r="AD745" s="505" t="s">
        <v>97</v>
      </c>
      <c r="AE745" s="505" t="s">
        <v>688</v>
      </c>
      <c r="AK745" s="299">
        <v>7</v>
      </c>
      <c r="AL745" s="299" t="s">
        <v>82</v>
      </c>
      <c r="AM745" s="299" t="s">
        <v>688</v>
      </c>
      <c r="AO745" s="299">
        <v>26</v>
      </c>
      <c r="AP745" s="299" t="s">
        <v>81</v>
      </c>
      <c r="AQ745" s="299" t="s">
        <v>1370</v>
      </c>
    </row>
    <row r="746" spans="17:43" ht="15" customHeight="1" x14ac:dyDescent="0.25">
      <c r="Q746" s="298" t="s">
        <v>695</v>
      </c>
      <c r="R746" s="298" t="s">
        <v>97</v>
      </c>
      <c r="S746" s="397" t="s">
        <v>79</v>
      </c>
      <c r="U746"/>
      <c r="V746"/>
      <c r="W746"/>
      <c r="Y746" s="171">
        <v>37</v>
      </c>
      <c r="Z746" s="171" t="s">
        <v>98</v>
      </c>
      <c r="AA746" s="171" t="s">
        <v>56</v>
      </c>
      <c r="AC746" s="505">
        <v>57</v>
      </c>
      <c r="AD746" s="505" t="s">
        <v>98</v>
      </c>
      <c r="AE746" s="505" t="s">
        <v>688</v>
      </c>
      <c r="AK746" s="299">
        <v>88</v>
      </c>
      <c r="AL746" s="299" t="s">
        <v>82</v>
      </c>
      <c r="AM746" s="299" t="s">
        <v>688</v>
      </c>
      <c r="AO746" s="299">
        <v>29</v>
      </c>
      <c r="AP746" s="299" t="s">
        <v>81</v>
      </c>
      <c r="AQ746" s="299" t="s">
        <v>1370</v>
      </c>
    </row>
    <row r="747" spans="17:43" ht="15" customHeight="1" x14ac:dyDescent="0.25">
      <c r="Q747" s="298" t="s">
        <v>694</v>
      </c>
      <c r="R747" s="298" t="s">
        <v>98</v>
      </c>
      <c r="S747" s="397" t="s">
        <v>79</v>
      </c>
      <c r="U747"/>
      <c r="V747"/>
      <c r="W747"/>
      <c r="Y747" s="171">
        <v>22</v>
      </c>
      <c r="Z747" s="171" t="s">
        <v>98</v>
      </c>
      <c r="AA747" s="171" t="s">
        <v>56</v>
      </c>
      <c r="AC747" s="505">
        <v>63</v>
      </c>
      <c r="AD747" s="505" t="s">
        <v>97</v>
      </c>
      <c r="AE747" s="505" t="s">
        <v>688</v>
      </c>
      <c r="AK747" s="299">
        <v>48</v>
      </c>
      <c r="AL747" s="299" t="s">
        <v>81</v>
      </c>
      <c r="AM747" s="299" t="s">
        <v>688</v>
      </c>
      <c r="AO747" s="299">
        <v>25</v>
      </c>
      <c r="AP747" s="299" t="s">
        <v>81</v>
      </c>
      <c r="AQ747" s="299" t="s">
        <v>1370</v>
      </c>
    </row>
    <row r="748" spans="17:43" ht="15" customHeight="1" x14ac:dyDescent="0.25">
      <c r="Q748" s="298" t="s">
        <v>694</v>
      </c>
      <c r="R748" s="298" t="s">
        <v>97</v>
      </c>
      <c r="S748" s="397" t="s">
        <v>79</v>
      </c>
      <c r="U748"/>
      <c r="V748"/>
      <c r="W748"/>
      <c r="Y748" s="171">
        <v>29</v>
      </c>
      <c r="Z748" s="171" t="s">
        <v>98</v>
      </c>
      <c r="AA748" s="171" t="s">
        <v>56</v>
      </c>
      <c r="AC748" s="505">
        <v>35</v>
      </c>
      <c r="AD748" s="505" t="s">
        <v>97</v>
      </c>
      <c r="AE748" s="505" t="s">
        <v>688</v>
      </c>
      <c r="AK748" s="299">
        <v>22</v>
      </c>
      <c r="AL748" s="299" t="s">
        <v>82</v>
      </c>
      <c r="AM748" s="299" t="s">
        <v>688</v>
      </c>
      <c r="AO748" s="299">
        <v>20</v>
      </c>
      <c r="AP748" s="299" t="s">
        <v>81</v>
      </c>
      <c r="AQ748" s="299" t="s">
        <v>1370</v>
      </c>
    </row>
    <row r="749" spans="17:43" ht="15" customHeight="1" x14ac:dyDescent="0.25">
      <c r="Q749" s="298" t="s">
        <v>961</v>
      </c>
      <c r="R749" s="298" t="s">
        <v>97</v>
      </c>
      <c r="S749" s="397" t="s">
        <v>79</v>
      </c>
      <c r="U749"/>
      <c r="V749"/>
      <c r="W749"/>
      <c r="Y749" s="171">
        <v>21</v>
      </c>
      <c r="Z749" s="171" t="s">
        <v>98</v>
      </c>
      <c r="AA749" s="171" t="s">
        <v>56</v>
      </c>
      <c r="AC749" s="505">
        <v>66</v>
      </c>
      <c r="AD749" s="505" t="s">
        <v>98</v>
      </c>
      <c r="AE749" s="505" t="s">
        <v>688</v>
      </c>
      <c r="AK749" s="299">
        <v>45</v>
      </c>
      <c r="AL749" s="299" t="s">
        <v>82</v>
      </c>
      <c r="AM749" s="299" t="s">
        <v>688</v>
      </c>
      <c r="AO749" s="299" t="s">
        <v>1351</v>
      </c>
      <c r="AP749" s="299" t="s">
        <v>82</v>
      </c>
      <c r="AQ749" s="299" t="s">
        <v>79</v>
      </c>
    </row>
    <row r="750" spans="17:43" ht="15" customHeight="1" x14ac:dyDescent="0.25">
      <c r="U750"/>
      <c r="V750"/>
      <c r="W750"/>
      <c r="Y750" s="171">
        <v>31</v>
      </c>
      <c r="Z750" s="171" t="s">
        <v>98</v>
      </c>
      <c r="AA750" s="171" t="s">
        <v>56</v>
      </c>
      <c r="AC750" s="505">
        <v>20</v>
      </c>
      <c r="AD750" s="505" t="s">
        <v>98</v>
      </c>
      <c r="AE750" s="505" t="s">
        <v>688</v>
      </c>
      <c r="AK750" s="299">
        <v>51</v>
      </c>
      <c r="AL750" s="299" t="s">
        <v>82</v>
      </c>
      <c r="AM750" s="299" t="s">
        <v>688</v>
      </c>
      <c r="AO750" s="299" t="s">
        <v>1350</v>
      </c>
      <c r="AP750" s="299" t="s">
        <v>82</v>
      </c>
      <c r="AQ750" s="299" t="s">
        <v>79</v>
      </c>
    </row>
    <row r="751" spans="17:43" ht="15" customHeight="1" x14ac:dyDescent="0.25">
      <c r="U751"/>
      <c r="V751"/>
      <c r="W751"/>
      <c r="Y751" s="171">
        <v>38</v>
      </c>
      <c r="Z751" s="171" t="s">
        <v>98</v>
      </c>
      <c r="AA751" s="171" t="s">
        <v>56</v>
      </c>
      <c r="AC751" s="505">
        <v>73</v>
      </c>
      <c r="AD751" s="505" t="s">
        <v>98</v>
      </c>
      <c r="AE751" s="505" t="s">
        <v>688</v>
      </c>
      <c r="AK751" s="299">
        <v>71</v>
      </c>
      <c r="AL751" s="299" t="s">
        <v>81</v>
      </c>
      <c r="AM751" s="299" t="s">
        <v>688</v>
      </c>
      <c r="AO751" s="299" t="s">
        <v>1356</v>
      </c>
      <c r="AP751" s="299" t="s">
        <v>81</v>
      </c>
      <c r="AQ751" s="299" t="s">
        <v>79</v>
      </c>
    </row>
    <row r="752" spans="17:43" ht="15" customHeight="1" x14ac:dyDescent="0.25">
      <c r="U752"/>
      <c r="V752"/>
      <c r="W752"/>
      <c r="Y752" s="171">
        <v>32</v>
      </c>
      <c r="Z752" s="171" t="s">
        <v>98</v>
      </c>
      <c r="AA752" s="171" t="s">
        <v>56</v>
      </c>
      <c r="AC752" s="505">
        <v>13</v>
      </c>
      <c r="AD752" s="505" t="s">
        <v>98</v>
      </c>
      <c r="AE752" s="505" t="s">
        <v>688</v>
      </c>
      <c r="AK752" s="299">
        <v>67</v>
      </c>
      <c r="AL752" s="299" t="s">
        <v>82</v>
      </c>
      <c r="AM752" s="299" t="s">
        <v>688</v>
      </c>
      <c r="AO752" s="299" t="s">
        <v>1351</v>
      </c>
      <c r="AP752" s="299" t="s">
        <v>82</v>
      </c>
      <c r="AQ752" s="299" t="s">
        <v>79</v>
      </c>
    </row>
    <row r="753" spans="21:43" ht="15" customHeight="1" x14ac:dyDescent="0.25">
      <c r="U753"/>
      <c r="V753"/>
      <c r="W753"/>
      <c r="Y753" s="171">
        <v>24</v>
      </c>
      <c r="Z753" s="171" t="s">
        <v>98</v>
      </c>
      <c r="AA753" s="171" t="s">
        <v>56</v>
      </c>
      <c r="AC753" s="505">
        <v>86</v>
      </c>
      <c r="AD753" s="505" t="s">
        <v>98</v>
      </c>
      <c r="AE753" s="505" t="s">
        <v>688</v>
      </c>
      <c r="AK753" s="299">
        <v>80</v>
      </c>
      <c r="AL753" s="299" t="s">
        <v>81</v>
      </c>
      <c r="AM753" s="299" t="s">
        <v>688</v>
      </c>
      <c r="AO753" s="299" t="s">
        <v>1350</v>
      </c>
      <c r="AP753" s="299" t="s">
        <v>81</v>
      </c>
      <c r="AQ753" s="299" t="s">
        <v>79</v>
      </c>
    </row>
    <row r="754" spans="21:43" ht="15" customHeight="1" x14ac:dyDescent="0.25">
      <c r="U754"/>
      <c r="V754"/>
      <c r="W754"/>
      <c r="Y754" s="171">
        <v>20</v>
      </c>
      <c r="Z754" s="171" t="s">
        <v>98</v>
      </c>
      <c r="AA754" s="171" t="s">
        <v>56</v>
      </c>
      <c r="AC754" s="505">
        <v>54</v>
      </c>
      <c r="AD754" s="505" t="s">
        <v>98</v>
      </c>
      <c r="AE754" s="505" t="s">
        <v>688</v>
      </c>
      <c r="AK754" s="299">
        <v>26</v>
      </c>
      <c r="AL754" s="299" t="s">
        <v>81</v>
      </c>
      <c r="AM754" s="299" t="s">
        <v>688</v>
      </c>
      <c r="AO754" s="299" t="s">
        <v>1350</v>
      </c>
      <c r="AP754" s="299" t="s">
        <v>81</v>
      </c>
      <c r="AQ754" s="299" t="s">
        <v>79</v>
      </c>
    </row>
    <row r="755" spans="21:43" ht="15" customHeight="1" x14ac:dyDescent="0.25">
      <c r="U755"/>
      <c r="V755"/>
      <c r="W755"/>
      <c r="Y755" s="171">
        <v>35</v>
      </c>
      <c r="Z755" s="171" t="s">
        <v>98</v>
      </c>
      <c r="AA755" s="171" t="s">
        <v>56</v>
      </c>
      <c r="AC755" s="505">
        <v>80</v>
      </c>
      <c r="AD755" s="505" t="s">
        <v>98</v>
      </c>
      <c r="AE755" s="505" t="s">
        <v>688</v>
      </c>
      <c r="AK755" s="299">
        <v>34</v>
      </c>
      <c r="AL755" s="299" t="s">
        <v>81</v>
      </c>
      <c r="AM755" s="299" t="s">
        <v>688</v>
      </c>
      <c r="AO755" s="299" t="s">
        <v>1350</v>
      </c>
      <c r="AP755" s="299" t="s">
        <v>82</v>
      </c>
      <c r="AQ755" s="299" t="s">
        <v>79</v>
      </c>
    </row>
    <row r="756" spans="21:43" ht="15" customHeight="1" x14ac:dyDescent="0.25">
      <c r="U756"/>
      <c r="V756"/>
      <c r="W756"/>
      <c r="Y756" s="171">
        <v>32</v>
      </c>
      <c r="Z756" s="171" t="s">
        <v>98</v>
      </c>
      <c r="AA756" s="171" t="s">
        <v>56</v>
      </c>
      <c r="AC756" s="505">
        <v>62</v>
      </c>
      <c r="AD756" s="505" t="s">
        <v>98</v>
      </c>
      <c r="AE756" s="505" t="s">
        <v>688</v>
      </c>
      <c r="AK756" s="299">
        <v>57</v>
      </c>
      <c r="AL756" s="299" t="s">
        <v>81</v>
      </c>
      <c r="AM756" s="299" t="s">
        <v>688</v>
      </c>
      <c r="AO756" s="299" t="s">
        <v>1350</v>
      </c>
      <c r="AP756" s="299" t="s">
        <v>81</v>
      </c>
      <c r="AQ756" s="299" t="s">
        <v>79</v>
      </c>
    </row>
    <row r="757" spans="21:43" ht="15" customHeight="1" x14ac:dyDescent="0.25">
      <c r="U757"/>
      <c r="V757"/>
      <c r="W757"/>
      <c r="Y757" s="171">
        <v>35</v>
      </c>
      <c r="Z757" s="171" t="s">
        <v>98</v>
      </c>
      <c r="AA757" s="171" t="s">
        <v>56</v>
      </c>
      <c r="AC757" s="505">
        <v>31</v>
      </c>
      <c r="AD757" s="505" t="s">
        <v>98</v>
      </c>
      <c r="AE757" s="505" t="s">
        <v>688</v>
      </c>
      <c r="AK757" s="299">
        <v>48</v>
      </c>
      <c r="AL757" s="299" t="s">
        <v>81</v>
      </c>
      <c r="AM757" s="299" t="s">
        <v>688</v>
      </c>
      <c r="AO757" s="299" t="s">
        <v>1350</v>
      </c>
      <c r="AP757" s="299" t="s">
        <v>81</v>
      </c>
      <c r="AQ757" s="299" t="s">
        <v>79</v>
      </c>
    </row>
    <row r="758" spans="21:43" ht="15" customHeight="1" x14ac:dyDescent="0.25">
      <c r="U758"/>
      <c r="V758"/>
      <c r="W758"/>
      <c r="Y758" s="171">
        <v>27</v>
      </c>
      <c r="Z758" s="171" t="s">
        <v>98</v>
      </c>
      <c r="AA758" s="171" t="s">
        <v>56</v>
      </c>
      <c r="AC758" s="505">
        <v>48</v>
      </c>
      <c r="AD758" s="505" t="s">
        <v>97</v>
      </c>
      <c r="AE758" s="505" t="s">
        <v>688</v>
      </c>
      <c r="AK758" s="299">
        <v>23</v>
      </c>
      <c r="AL758" s="299" t="s">
        <v>81</v>
      </c>
      <c r="AM758" s="299" t="s">
        <v>688</v>
      </c>
      <c r="AO758" s="299" t="s">
        <v>1350</v>
      </c>
      <c r="AP758" s="299" t="s">
        <v>82</v>
      </c>
      <c r="AQ758" s="299" t="s">
        <v>79</v>
      </c>
    </row>
    <row r="759" spans="21:43" ht="15" customHeight="1" x14ac:dyDescent="0.25">
      <c r="U759"/>
      <c r="V759"/>
      <c r="W759"/>
      <c r="Y759" s="171">
        <v>32</v>
      </c>
      <c r="Z759" s="171" t="s">
        <v>98</v>
      </c>
      <c r="AA759" s="171" t="s">
        <v>55</v>
      </c>
      <c r="AC759" s="505">
        <v>56</v>
      </c>
      <c r="AD759" s="505" t="s">
        <v>98</v>
      </c>
      <c r="AE759" s="505" t="s">
        <v>688</v>
      </c>
      <c r="AK759" s="299">
        <v>21</v>
      </c>
      <c r="AL759" s="299" t="s">
        <v>81</v>
      </c>
      <c r="AM759" s="299" t="s">
        <v>688</v>
      </c>
      <c r="AO759" s="299" t="s">
        <v>1350</v>
      </c>
      <c r="AP759" s="299" t="s">
        <v>82</v>
      </c>
      <c r="AQ759" s="299" t="s">
        <v>79</v>
      </c>
    </row>
    <row r="760" spans="21:43" ht="15" customHeight="1" x14ac:dyDescent="0.25">
      <c r="U760"/>
      <c r="V760"/>
      <c r="W760"/>
      <c r="Y760" s="171">
        <v>48</v>
      </c>
      <c r="Z760" s="171" t="s">
        <v>98</v>
      </c>
      <c r="AA760" s="171" t="s">
        <v>55</v>
      </c>
      <c r="AC760" s="505">
        <v>25</v>
      </c>
      <c r="AD760" s="505" t="s">
        <v>97</v>
      </c>
      <c r="AE760" s="505" t="s">
        <v>688</v>
      </c>
      <c r="AK760" s="299">
        <v>25</v>
      </c>
      <c r="AL760" s="299" t="s">
        <v>82</v>
      </c>
      <c r="AM760" s="299" t="s">
        <v>688</v>
      </c>
      <c r="AO760" s="299" t="s">
        <v>1350</v>
      </c>
      <c r="AP760" s="299" t="s">
        <v>82</v>
      </c>
      <c r="AQ760" s="299" t="s">
        <v>79</v>
      </c>
    </row>
    <row r="761" spans="21:43" ht="15" customHeight="1" x14ac:dyDescent="0.25">
      <c r="U761"/>
      <c r="V761"/>
      <c r="W761"/>
      <c r="Y761" s="171">
        <v>31</v>
      </c>
      <c r="Z761" s="171" t="s">
        <v>98</v>
      </c>
      <c r="AA761" s="171" t="s">
        <v>55</v>
      </c>
      <c r="AC761" s="505">
        <v>32</v>
      </c>
      <c r="AD761" s="505" t="s">
        <v>97</v>
      </c>
      <c r="AE761" s="505" t="s">
        <v>688</v>
      </c>
      <c r="AK761" s="299">
        <v>45</v>
      </c>
      <c r="AL761" s="299" t="s">
        <v>82</v>
      </c>
      <c r="AM761" s="299" t="s">
        <v>688</v>
      </c>
      <c r="AO761" s="299">
        <v>65</v>
      </c>
      <c r="AP761" s="299" t="s">
        <v>82</v>
      </c>
      <c r="AQ761" s="299" t="s">
        <v>688</v>
      </c>
    </row>
    <row r="762" spans="21:43" ht="15" customHeight="1" x14ac:dyDescent="0.25">
      <c r="U762"/>
      <c r="V762"/>
      <c r="W762"/>
      <c r="Y762" s="171">
        <v>31</v>
      </c>
      <c r="Z762" s="171" t="s">
        <v>98</v>
      </c>
      <c r="AA762" s="171" t="s">
        <v>55</v>
      </c>
      <c r="AC762" s="505">
        <v>71</v>
      </c>
      <c r="AD762" s="505" t="s">
        <v>97</v>
      </c>
      <c r="AE762" s="505" t="s">
        <v>688</v>
      </c>
      <c r="AK762" s="299">
        <v>19</v>
      </c>
      <c r="AL762" s="299" t="s">
        <v>81</v>
      </c>
      <c r="AM762" s="299" t="s">
        <v>688</v>
      </c>
      <c r="AO762" s="299">
        <v>53</v>
      </c>
      <c r="AP762" s="299" t="s">
        <v>81</v>
      </c>
      <c r="AQ762" s="299" t="s">
        <v>688</v>
      </c>
    </row>
    <row r="763" spans="21:43" ht="15" customHeight="1" x14ac:dyDescent="0.25">
      <c r="U763"/>
      <c r="V763"/>
      <c r="W763"/>
      <c r="Y763" s="171">
        <v>24</v>
      </c>
      <c r="Z763" s="171" t="s">
        <v>98</v>
      </c>
      <c r="AA763" s="171" t="s">
        <v>55</v>
      </c>
      <c r="AC763" s="505">
        <v>29</v>
      </c>
      <c r="AD763" s="505" t="s">
        <v>98</v>
      </c>
      <c r="AE763" s="505" t="s">
        <v>688</v>
      </c>
      <c r="AK763" s="299">
        <v>37</v>
      </c>
      <c r="AL763" s="299" t="s">
        <v>82</v>
      </c>
      <c r="AM763" s="299" t="s">
        <v>688</v>
      </c>
      <c r="AO763" s="299">
        <v>35</v>
      </c>
      <c r="AP763" s="299" t="s">
        <v>82</v>
      </c>
      <c r="AQ763" s="299" t="s">
        <v>688</v>
      </c>
    </row>
    <row r="764" spans="21:43" ht="15" customHeight="1" x14ac:dyDescent="0.25">
      <c r="U764"/>
      <c r="V764"/>
      <c r="W764"/>
      <c r="Y764" s="171">
        <v>32</v>
      </c>
      <c r="Z764" s="171" t="s">
        <v>98</v>
      </c>
      <c r="AA764" s="171" t="s">
        <v>55</v>
      </c>
      <c r="AC764" s="505">
        <v>15</v>
      </c>
      <c r="AD764" s="505" t="s">
        <v>98</v>
      </c>
      <c r="AE764" s="505" t="s">
        <v>688</v>
      </c>
      <c r="AK764" s="299">
        <v>52</v>
      </c>
      <c r="AL764" s="299" t="s">
        <v>81</v>
      </c>
      <c r="AM764" s="299" t="s">
        <v>688</v>
      </c>
      <c r="AO764" s="299">
        <v>11</v>
      </c>
      <c r="AP764" s="299" t="s">
        <v>81</v>
      </c>
      <c r="AQ764" s="299" t="s">
        <v>688</v>
      </c>
    </row>
    <row r="765" spans="21:43" ht="15" customHeight="1" x14ac:dyDescent="0.25">
      <c r="U765"/>
      <c r="V765"/>
      <c r="W765"/>
      <c r="Y765" s="171">
        <v>29</v>
      </c>
      <c r="Z765" s="171" t="s">
        <v>98</v>
      </c>
      <c r="AA765" s="171" t="s">
        <v>55</v>
      </c>
      <c r="AC765" s="505">
        <v>76</v>
      </c>
      <c r="AD765" s="505" t="s">
        <v>98</v>
      </c>
      <c r="AE765" s="505" t="s">
        <v>688</v>
      </c>
      <c r="AK765" s="299">
        <v>52</v>
      </c>
      <c r="AL765" s="299" t="s">
        <v>81</v>
      </c>
      <c r="AM765" s="299" t="s">
        <v>688</v>
      </c>
      <c r="AO765" s="299">
        <v>65</v>
      </c>
      <c r="AP765" s="299" t="s">
        <v>82</v>
      </c>
      <c r="AQ765" s="299" t="s">
        <v>688</v>
      </c>
    </row>
    <row r="766" spans="21:43" ht="15" customHeight="1" x14ac:dyDescent="0.25">
      <c r="U766"/>
      <c r="V766"/>
      <c r="W766"/>
      <c r="Y766" s="171">
        <v>25</v>
      </c>
      <c r="Z766" s="171" t="s">
        <v>98</v>
      </c>
      <c r="AA766" s="171" t="s">
        <v>55</v>
      </c>
      <c r="AC766" s="505">
        <v>62</v>
      </c>
      <c r="AD766" s="505" t="s">
        <v>98</v>
      </c>
      <c r="AE766" s="505" t="s">
        <v>688</v>
      </c>
      <c r="AK766" s="299">
        <v>49</v>
      </c>
      <c r="AL766" s="299" t="s">
        <v>82</v>
      </c>
      <c r="AM766" s="299" t="s">
        <v>688</v>
      </c>
      <c r="AO766" s="299">
        <v>46</v>
      </c>
      <c r="AP766" s="299" t="s">
        <v>81</v>
      </c>
      <c r="AQ766" s="299" t="s">
        <v>688</v>
      </c>
    </row>
    <row r="767" spans="21:43" ht="15" customHeight="1" x14ac:dyDescent="0.25">
      <c r="U767"/>
      <c r="V767"/>
      <c r="W767"/>
      <c r="Y767" s="171">
        <v>26</v>
      </c>
      <c r="Z767" s="171" t="s">
        <v>98</v>
      </c>
      <c r="AA767" s="171" t="s">
        <v>55</v>
      </c>
      <c r="AC767" s="505">
        <v>25</v>
      </c>
      <c r="AD767" s="505" t="s">
        <v>97</v>
      </c>
      <c r="AE767" s="505" t="s">
        <v>688</v>
      </c>
      <c r="AK767" s="299">
        <v>6</v>
      </c>
      <c r="AL767" s="299" t="s">
        <v>82</v>
      </c>
      <c r="AM767" s="299" t="s">
        <v>688</v>
      </c>
      <c r="AO767" s="299">
        <v>51</v>
      </c>
      <c r="AP767" s="299" t="s">
        <v>81</v>
      </c>
      <c r="AQ767" s="299" t="s">
        <v>688</v>
      </c>
    </row>
    <row r="768" spans="21:43" ht="15" customHeight="1" x14ac:dyDescent="0.25">
      <c r="U768"/>
      <c r="V768"/>
      <c r="W768"/>
      <c r="Y768" s="171">
        <v>22</v>
      </c>
      <c r="Z768" s="171" t="s">
        <v>98</v>
      </c>
      <c r="AA768" s="171" t="s">
        <v>55</v>
      </c>
      <c r="AC768" s="505">
        <v>5</v>
      </c>
      <c r="AD768" s="505" t="s">
        <v>98</v>
      </c>
      <c r="AE768" s="505" t="s">
        <v>688</v>
      </c>
      <c r="AK768" s="299">
        <v>69</v>
      </c>
      <c r="AL768" s="299" t="s">
        <v>82</v>
      </c>
      <c r="AM768" s="299" t="s">
        <v>688</v>
      </c>
      <c r="AO768" s="299">
        <v>22</v>
      </c>
      <c r="AP768" s="299" t="s">
        <v>82</v>
      </c>
      <c r="AQ768" s="299" t="s">
        <v>688</v>
      </c>
    </row>
    <row r="769" spans="21:43" ht="15" customHeight="1" x14ac:dyDescent="0.25">
      <c r="U769"/>
      <c r="V769"/>
      <c r="W769"/>
      <c r="Y769" s="171">
        <v>20</v>
      </c>
      <c r="Z769" s="171" t="s">
        <v>98</v>
      </c>
      <c r="AA769" s="171" t="s">
        <v>55</v>
      </c>
      <c r="AC769" s="505">
        <v>32</v>
      </c>
      <c r="AD769" s="505" t="s">
        <v>97</v>
      </c>
      <c r="AE769" s="505" t="s">
        <v>688</v>
      </c>
      <c r="AK769" s="299">
        <v>42</v>
      </c>
      <c r="AL769" s="299" t="s">
        <v>82</v>
      </c>
      <c r="AM769" s="299" t="s">
        <v>688</v>
      </c>
      <c r="AO769" s="299">
        <v>25</v>
      </c>
      <c r="AP769" s="299" t="s">
        <v>82</v>
      </c>
      <c r="AQ769" s="299" t="s">
        <v>688</v>
      </c>
    </row>
    <row r="770" spans="21:43" ht="15" customHeight="1" x14ac:dyDescent="0.25">
      <c r="U770"/>
      <c r="V770"/>
      <c r="W770"/>
      <c r="Y770" s="171">
        <v>21</v>
      </c>
      <c r="Z770" s="171" t="s">
        <v>98</v>
      </c>
      <c r="AA770" s="171" t="s">
        <v>55</v>
      </c>
      <c r="AC770" s="505">
        <v>36</v>
      </c>
      <c r="AD770" s="505" t="s">
        <v>97</v>
      </c>
      <c r="AE770" s="505" t="s">
        <v>688</v>
      </c>
      <c r="AK770" s="299">
        <v>40</v>
      </c>
      <c r="AL770" s="299" t="s">
        <v>82</v>
      </c>
      <c r="AM770" s="299" t="s">
        <v>688</v>
      </c>
      <c r="AO770" s="299">
        <v>84</v>
      </c>
      <c r="AP770" s="299" t="s">
        <v>82</v>
      </c>
      <c r="AQ770" s="299" t="s">
        <v>688</v>
      </c>
    </row>
    <row r="771" spans="21:43" ht="15" customHeight="1" x14ac:dyDescent="0.25">
      <c r="U771"/>
      <c r="V771"/>
      <c r="W771"/>
      <c r="Y771" s="171">
        <v>28</v>
      </c>
      <c r="Z771" s="171" t="s">
        <v>98</v>
      </c>
      <c r="AA771" s="171" t="s">
        <v>55</v>
      </c>
      <c r="AC771" s="505">
        <v>56</v>
      </c>
      <c r="AD771" s="505" t="s">
        <v>98</v>
      </c>
      <c r="AE771" s="505" t="s">
        <v>688</v>
      </c>
      <c r="AK771" s="299">
        <v>18</v>
      </c>
      <c r="AL771" s="299" t="s">
        <v>82</v>
      </c>
      <c r="AM771" s="299" t="s">
        <v>688</v>
      </c>
      <c r="AO771" s="299">
        <v>86</v>
      </c>
      <c r="AP771" s="299" t="s">
        <v>82</v>
      </c>
      <c r="AQ771" s="299" t="s">
        <v>688</v>
      </c>
    </row>
    <row r="772" spans="21:43" ht="15" customHeight="1" x14ac:dyDescent="0.25">
      <c r="U772"/>
      <c r="V772"/>
      <c r="W772"/>
      <c r="Y772" s="171">
        <v>24</v>
      </c>
      <c r="Z772" s="171" t="s">
        <v>98</v>
      </c>
      <c r="AA772" s="171" t="s">
        <v>55</v>
      </c>
      <c r="AC772" s="505">
        <v>31</v>
      </c>
      <c r="AD772" s="505" t="s">
        <v>98</v>
      </c>
      <c r="AE772" s="505" t="s">
        <v>688</v>
      </c>
      <c r="AK772" s="299">
        <v>80</v>
      </c>
      <c r="AL772" s="299" t="s">
        <v>82</v>
      </c>
      <c r="AM772" s="299" t="s">
        <v>688</v>
      </c>
      <c r="AO772" s="299">
        <v>64</v>
      </c>
      <c r="AP772" s="299" t="s">
        <v>82</v>
      </c>
      <c r="AQ772" s="299" t="s">
        <v>688</v>
      </c>
    </row>
    <row r="773" spans="21:43" ht="15" customHeight="1" x14ac:dyDescent="0.25">
      <c r="U773"/>
      <c r="V773"/>
      <c r="W773"/>
      <c r="Y773" s="171">
        <v>40</v>
      </c>
      <c r="Z773" s="171" t="s">
        <v>98</v>
      </c>
      <c r="AA773" s="171" t="s">
        <v>55</v>
      </c>
      <c r="AC773" s="505">
        <v>82</v>
      </c>
      <c r="AD773" s="505" t="s">
        <v>98</v>
      </c>
      <c r="AE773" s="505" t="s">
        <v>688</v>
      </c>
      <c r="AK773" s="299">
        <v>89</v>
      </c>
      <c r="AL773" s="299" t="s">
        <v>81</v>
      </c>
      <c r="AM773" s="299" t="s">
        <v>688</v>
      </c>
      <c r="AO773" s="299">
        <v>18</v>
      </c>
      <c r="AP773" s="299" t="s">
        <v>82</v>
      </c>
      <c r="AQ773" s="299" t="s">
        <v>688</v>
      </c>
    </row>
    <row r="774" spans="21:43" ht="15" customHeight="1" x14ac:dyDescent="0.25">
      <c r="U774"/>
      <c r="V774"/>
      <c r="W774"/>
      <c r="Y774" s="171">
        <v>40</v>
      </c>
      <c r="Z774" s="171" t="s">
        <v>98</v>
      </c>
      <c r="AA774" s="171" t="s">
        <v>55</v>
      </c>
      <c r="AC774" s="505">
        <v>33</v>
      </c>
      <c r="AD774" s="505" t="s">
        <v>98</v>
      </c>
      <c r="AE774" s="505" t="s">
        <v>688</v>
      </c>
      <c r="AK774" s="299">
        <v>37</v>
      </c>
      <c r="AL774" s="299" t="s">
        <v>82</v>
      </c>
      <c r="AM774" s="299" t="s">
        <v>688</v>
      </c>
      <c r="AO774" s="299">
        <v>40</v>
      </c>
      <c r="AP774" s="299" t="s">
        <v>82</v>
      </c>
      <c r="AQ774" s="299" t="s">
        <v>688</v>
      </c>
    </row>
    <row r="775" spans="21:43" ht="15" customHeight="1" x14ac:dyDescent="0.25">
      <c r="U775"/>
      <c r="V775"/>
      <c r="W775"/>
      <c r="Y775" s="171">
        <v>17</v>
      </c>
      <c r="Z775" s="171" t="s">
        <v>98</v>
      </c>
      <c r="AA775" s="171" t="s">
        <v>55</v>
      </c>
      <c r="AC775" s="505">
        <v>19</v>
      </c>
      <c r="AD775" s="505" t="s">
        <v>98</v>
      </c>
      <c r="AE775" s="505" t="s">
        <v>688</v>
      </c>
      <c r="AO775" s="299">
        <v>72</v>
      </c>
      <c r="AP775" s="299" t="s">
        <v>82</v>
      </c>
      <c r="AQ775" s="299" t="s">
        <v>688</v>
      </c>
    </row>
    <row r="776" spans="21:43" ht="15" customHeight="1" x14ac:dyDescent="0.25">
      <c r="U776"/>
      <c r="V776"/>
      <c r="W776"/>
      <c r="Y776" s="171">
        <v>30</v>
      </c>
      <c r="Z776" s="171" t="s">
        <v>98</v>
      </c>
      <c r="AA776" s="171" t="s">
        <v>55</v>
      </c>
      <c r="AC776" s="505">
        <v>24</v>
      </c>
      <c r="AD776" s="505" t="s">
        <v>98</v>
      </c>
      <c r="AE776" s="505" t="s">
        <v>688</v>
      </c>
      <c r="AO776" s="299">
        <v>56</v>
      </c>
      <c r="AP776" s="299" t="s">
        <v>82</v>
      </c>
      <c r="AQ776" s="299" t="s">
        <v>688</v>
      </c>
    </row>
    <row r="777" spans="21:43" ht="15" customHeight="1" x14ac:dyDescent="0.25">
      <c r="U777"/>
      <c r="V777"/>
      <c r="W777"/>
      <c r="Y777" s="171">
        <v>37</v>
      </c>
      <c r="Z777" s="171" t="s">
        <v>98</v>
      </c>
      <c r="AA777" s="171" t="s">
        <v>55</v>
      </c>
      <c r="AC777" s="505">
        <v>68</v>
      </c>
      <c r="AD777" s="505" t="s">
        <v>97</v>
      </c>
      <c r="AE777" s="505" t="s">
        <v>688</v>
      </c>
      <c r="AO777" s="299">
        <v>9</v>
      </c>
      <c r="AP777" s="299" t="s">
        <v>82</v>
      </c>
      <c r="AQ777" s="299" t="s">
        <v>688</v>
      </c>
    </row>
    <row r="778" spans="21:43" ht="15" customHeight="1" x14ac:dyDescent="0.25">
      <c r="U778"/>
      <c r="V778"/>
      <c r="W778"/>
      <c r="Y778" s="171">
        <v>23</v>
      </c>
      <c r="Z778" s="171" t="s">
        <v>98</v>
      </c>
      <c r="AA778" s="171" t="s">
        <v>55</v>
      </c>
      <c r="AC778" s="505">
        <v>13</v>
      </c>
      <c r="AD778" s="505" t="s">
        <v>98</v>
      </c>
      <c r="AE778" s="505" t="s">
        <v>688</v>
      </c>
      <c r="AO778" s="299">
        <v>72</v>
      </c>
      <c r="AP778" s="299" t="s">
        <v>81</v>
      </c>
      <c r="AQ778" s="299" t="s">
        <v>688</v>
      </c>
    </row>
    <row r="779" spans="21:43" ht="15" customHeight="1" x14ac:dyDescent="0.25">
      <c r="U779"/>
      <c r="V779"/>
      <c r="W779"/>
      <c r="Y779" s="171">
        <v>26</v>
      </c>
      <c r="Z779" s="171" t="s">
        <v>98</v>
      </c>
      <c r="AA779" s="171" t="s">
        <v>55</v>
      </c>
      <c r="AC779" s="505">
        <v>2</v>
      </c>
      <c r="AD779" s="505" t="s">
        <v>98</v>
      </c>
      <c r="AE779" s="505" t="s">
        <v>688</v>
      </c>
      <c r="AO779" s="299">
        <v>57</v>
      </c>
      <c r="AP779" s="299" t="s">
        <v>81</v>
      </c>
      <c r="AQ779" s="299" t="s">
        <v>688</v>
      </c>
    </row>
    <row r="780" spans="21:43" ht="15" customHeight="1" x14ac:dyDescent="0.25">
      <c r="U780"/>
      <c r="V780"/>
      <c r="W780"/>
      <c r="Y780" s="171">
        <v>25</v>
      </c>
      <c r="Z780" s="171" t="s">
        <v>98</v>
      </c>
      <c r="AA780" s="171" t="s">
        <v>55</v>
      </c>
      <c r="AC780" s="505">
        <v>47</v>
      </c>
      <c r="AD780" s="505" t="s">
        <v>97</v>
      </c>
      <c r="AE780" s="505" t="s">
        <v>688</v>
      </c>
      <c r="AO780" s="299">
        <v>85</v>
      </c>
      <c r="AP780" s="299" t="s">
        <v>82</v>
      </c>
      <c r="AQ780" s="299" t="s">
        <v>688</v>
      </c>
    </row>
    <row r="781" spans="21:43" ht="15" customHeight="1" x14ac:dyDescent="0.25">
      <c r="U781"/>
      <c r="V781"/>
      <c r="W781"/>
      <c r="Y781" s="171" t="s">
        <v>957</v>
      </c>
      <c r="Z781" s="171" t="s">
        <v>98</v>
      </c>
      <c r="AA781" s="171" t="s">
        <v>79</v>
      </c>
      <c r="AC781" s="505">
        <v>53</v>
      </c>
      <c r="AD781" s="505" t="s">
        <v>98</v>
      </c>
      <c r="AE781" s="505" t="s">
        <v>688</v>
      </c>
      <c r="AO781" s="299">
        <v>3</v>
      </c>
      <c r="AP781" s="299" t="s">
        <v>82</v>
      </c>
      <c r="AQ781" s="299" t="s">
        <v>688</v>
      </c>
    </row>
    <row r="782" spans="21:43" ht="15" customHeight="1" x14ac:dyDescent="0.25">
      <c r="U782"/>
      <c r="V782"/>
      <c r="W782"/>
      <c r="Y782" s="171" t="s">
        <v>957</v>
      </c>
      <c r="Z782" s="171" t="s">
        <v>98</v>
      </c>
      <c r="AA782" s="171" t="s">
        <v>79</v>
      </c>
      <c r="AC782" s="505">
        <v>29</v>
      </c>
      <c r="AD782" s="505" t="s">
        <v>97</v>
      </c>
      <c r="AE782" s="505" t="s">
        <v>688</v>
      </c>
      <c r="AO782" s="299">
        <v>72</v>
      </c>
      <c r="AP782" s="299" t="s">
        <v>82</v>
      </c>
      <c r="AQ782" s="299" t="s">
        <v>688</v>
      </c>
    </row>
    <row r="783" spans="21:43" ht="15" customHeight="1" x14ac:dyDescent="0.25">
      <c r="U783"/>
      <c r="V783"/>
      <c r="W783"/>
      <c r="Y783" s="171" t="s">
        <v>694</v>
      </c>
      <c r="Z783" s="171" t="s">
        <v>98</v>
      </c>
      <c r="AA783" s="171" t="s">
        <v>79</v>
      </c>
      <c r="AC783" s="505">
        <v>42</v>
      </c>
      <c r="AD783" s="505" t="s">
        <v>98</v>
      </c>
      <c r="AE783" s="505" t="s">
        <v>688</v>
      </c>
      <c r="AO783" s="299">
        <v>25</v>
      </c>
      <c r="AP783" s="299" t="s">
        <v>81</v>
      </c>
      <c r="AQ783" s="299" t="s">
        <v>688</v>
      </c>
    </row>
    <row r="784" spans="21:43" ht="15" customHeight="1" x14ac:dyDescent="0.25">
      <c r="U784"/>
      <c r="V784"/>
      <c r="W784"/>
      <c r="Y784" s="171" t="s">
        <v>694</v>
      </c>
      <c r="Z784" s="171" t="s">
        <v>98</v>
      </c>
      <c r="AA784" s="171" t="s">
        <v>79</v>
      </c>
      <c r="AC784" s="505">
        <v>28</v>
      </c>
      <c r="AD784" s="505" t="s">
        <v>97</v>
      </c>
      <c r="AE784" s="505" t="s">
        <v>688</v>
      </c>
      <c r="AO784" s="299">
        <v>68</v>
      </c>
      <c r="AP784" s="299" t="s">
        <v>82</v>
      </c>
      <c r="AQ784" s="299" t="s">
        <v>688</v>
      </c>
    </row>
    <row r="785" spans="21:43" ht="15" customHeight="1" x14ac:dyDescent="0.25">
      <c r="U785"/>
      <c r="V785"/>
      <c r="W785"/>
      <c r="Y785" s="171" t="s">
        <v>694</v>
      </c>
      <c r="Z785" s="171" t="s">
        <v>98</v>
      </c>
      <c r="AA785" s="171" t="s">
        <v>79</v>
      </c>
      <c r="AC785" s="505">
        <v>34</v>
      </c>
      <c r="AD785" s="505" t="s">
        <v>97</v>
      </c>
      <c r="AE785" s="505" t="s">
        <v>688</v>
      </c>
      <c r="AO785" s="299">
        <v>22</v>
      </c>
      <c r="AP785" s="299" t="s">
        <v>82</v>
      </c>
      <c r="AQ785" s="299" t="s">
        <v>688</v>
      </c>
    </row>
    <row r="786" spans="21:43" ht="15" customHeight="1" x14ac:dyDescent="0.25">
      <c r="U786"/>
      <c r="V786"/>
      <c r="W786"/>
      <c r="Y786" s="171" t="s">
        <v>712</v>
      </c>
      <c r="Z786" s="171" t="s">
        <v>98</v>
      </c>
      <c r="AA786" s="171" t="s">
        <v>79</v>
      </c>
      <c r="AC786" s="505">
        <v>28</v>
      </c>
      <c r="AD786" s="505" t="s">
        <v>98</v>
      </c>
      <c r="AE786" s="505" t="s">
        <v>688</v>
      </c>
      <c r="AO786" s="299">
        <v>59</v>
      </c>
      <c r="AP786" s="299" t="s">
        <v>81</v>
      </c>
      <c r="AQ786" s="299" t="s">
        <v>688</v>
      </c>
    </row>
    <row r="787" spans="21:43" ht="15" customHeight="1" x14ac:dyDescent="0.25">
      <c r="U787"/>
      <c r="V787"/>
      <c r="W787"/>
      <c r="Y787" s="171" t="s">
        <v>694</v>
      </c>
      <c r="Z787" s="171" t="s">
        <v>98</v>
      </c>
      <c r="AA787" s="171" t="s">
        <v>79</v>
      </c>
      <c r="AC787" s="505">
        <v>13</v>
      </c>
      <c r="AD787" s="505" t="s">
        <v>98</v>
      </c>
      <c r="AE787" s="505" t="s">
        <v>688</v>
      </c>
      <c r="AO787" s="299">
        <v>42</v>
      </c>
      <c r="AP787" s="299" t="s">
        <v>81</v>
      </c>
      <c r="AQ787" s="299" t="s">
        <v>688</v>
      </c>
    </row>
    <row r="788" spans="21:43" ht="15" customHeight="1" x14ac:dyDescent="0.25">
      <c r="U788"/>
      <c r="V788"/>
      <c r="W788"/>
      <c r="Y788" s="171">
        <v>91</v>
      </c>
      <c r="Z788" s="171" t="s">
        <v>98</v>
      </c>
      <c r="AA788" s="171" t="s">
        <v>688</v>
      </c>
      <c r="AC788" s="505">
        <v>70</v>
      </c>
      <c r="AD788" s="505" t="s">
        <v>97</v>
      </c>
      <c r="AE788" s="505" t="s">
        <v>688</v>
      </c>
      <c r="AO788" s="299">
        <v>72</v>
      </c>
      <c r="AP788" s="299" t="s">
        <v>82</v>
      </c>
      <c r="AQ788" s="299" t="s">
        <v>688</v>
      </c>
    </row>
    <row r="789" spans="21:43" ht="15" customHeight="1" x14ac:dyDescent="0.25">
      <c r="U789"/>
      <c r="V789"/>
      <c r="W789"/>
      <c r="Y789" s="171">
        <v>23</v>
      </c>
      <c r="Z789" s="171" t="s">
        <v>98</v>
      </c>
      <c r="AA789" s="171" t="s">
        <v>688</v>
      </c>
      <c r="AC789" s="505">
        <v>47</v>
      </c>
      <c r="AD789" s="505" t="s">
        <v>98</v>
      </c>
      <c r="AE789" s="505" t="s">
        <v>688</v>
      </c>
      <c r="AO789" s="299">
        <v>57</v>
      </c>
      <c r="AP789" s="299" t="s">
        <v>82</v>
      </c>
      <c r="AQ789" s="299" t="s">
        <v>688</v>
      </c>
    </row>
    <row r="790" spans="21:43" ht="15" customHeight="1" x14ac:dyDescent="0.25">
      <c r="U790"/>
      <c r="V790"/>
      <c r="W790"/>
      <c r="Y790" s="171">
        <v>65</v>
      </c>
      <c r="Z790" s="171" t="s">
        <v>98</v>
      </c>
      <c r="AA790" s="171" t="s">
        <v>688</v>
      </c>
      <c r="AC790" s="505">
        <v>43</v>
      </c>
      <c r="AD790" s="505" t="s">
        <v>97</v>
      </c>
      <c r="AE790" s="505" t="s">
        <v>688</v>
      </c>
      <c r="AO790" s="299">
        <v>41</v>
      </c>
      <c r="AP790" s="299" t="s">
        <v>81</v>
      </c>
      <c r="AQ790" s="299" t="s">
        <v>688</v>
      </c>
    </row>
    <row r="791" spans="21:43" ht="15" customHeight="1" x14ac:dyDescent="0.25">
      <c r="U791"/>
      <c r="V791"/>
      <c r="W791"/>
      <c r="Y791" s="171">
        <v>43</v>
      </c>
      <c r="Z791" s="171" t="s">
        <v>98</v>
      </c>
      <c r="AA791" s="171" t="s">
        <v>688</v>
      </c>
      <c r="AC791" s="505">
        <v>6</v>
      </c>
      <c r="AD791" s="505" t="s">
        <v>97</v>
      </c>
      <c r="AE791" s="505" t="s">
        <v>688</v>
      </c>
      <c r="AO791" s="299">
        <v>14</v>
      </c>
      <c r="AP791" s="299" t="s">
        <v>82</v>
      </c>
      <c r="AQ791" s="299" t="s">
        <v>688</v>
      </c>
    </row>
    <row r="792" spans="21:43" ht="15" customHeight="1" x14ac:dyDescent="0.25">
      <c r="U792"/>
      <c r="V792"/>
      <c r="W792"/>
      <c r="Y792" s="171">
        <v>68</v>
      </c>
      <c r="Z792" s="171" t="s">
        <v>97</v>
      </c>
      <c r="AA792" s="171" t="s">
        <v>688</v>
      </c>
      <c r="AC792" s="505">
        <v>59</v>
      </c>
      <c r="AD792" s="505" t="s">
        <v>98</v>
      </c>
      <c r="AE792" s="505" t="s">
        <v>688</v>
      </c>
      <c r="AO792" s="299">
        <v>85</v>
      </c>
      <c r="AP792" s="299" t="s">
        <v>81</v>
      </c>
      <c r="AQ792" s="299" t="s">
        <v>688</v>
      </c>
    </row>
    <row r="793" spans="21:43" ht="15" customHeight="1" x14ac:dyDescent="0.25">
      <c r="U793"/>
      <c r="V793"/>
      <c r="W793"/>
      <c r="Y793" s="171">
        <v>71</v>
      </c>
      <c r="Z793" s="171" t="s">
        <v>98</v>
      </c>
      <c r="AA793" s="171" t="s">
        <v>688</v>
      </c>
      <c r="AC793" s="505">
        <v>3</v>
      </c>
      <c r="AD793" s="505" t="s">
        <v>97</v>
      </c>
      <c r="AE793" s="505" t="s">
        <v>688</v>
      </c>
      <c r="AO793" s="299">
        <v>53</v>
      </c>
      <c r="AP793" s="299" t="s">
        <v>81</v>
      </c>
      <c r="AQ793" s="299" t="s">
        <v>688</v>
      </c>
    </row>
    <row r="794" spans="21:43" ht="15" customHeight="1" x14ac:dyDescent="0.25">
      <c r="U794"/>
      <c r="V794"/>
      <c r="W794"/>
      <c r="Y794" s="171">
        <v>1</v>
      </c>
      <c r="Z794" s="171" t="s">
        <v>97</v>
      </c>
      <c r="AA794" s="171" t="s">
        <v>688</v>
      </c>
      <c r="AC794" s="505">
        <v>3</v>
      </c>
      <c r="AD794" s="505" t="s">
        <v>98</v>
      </c>
      <c r="AE794" s="505" t="s">
        <v>688</v>
      </c>
      <c r="AO794" s="299">
        <v>52</v>
      </c>
      <c r="AP794" s="299" t="s">
        <v>82</v>
      </c>
      <c r="AQ794" s="299" t="s">
        <v>688</v>
      </c>
    </row>
    <row r="795" spans="21:43" ht="15" customHeight="1" x14ac:dyDescent="0.25">
      <c r="U795" s="423"/>
      <c r="Y795" s="171">
        <v>1</v>
      </c>
      <c r="Z795" s="171" t="s">
        <v>97</v>
      </c>
      <c r="AA795" s="171" t="s">
        <v>688</v>
      </c>
      <c r="AC795" s="505">
        <v>7</v>
      </c>
      <c r="AD795" s="505" t="s">
        <v>97</v>
      </c>
      <c r="AE795" s="505" t="s">
        <v>688</v>
      </c>
    </row>
    <row r="796" spans="21:43" ht="15" customHeight="1" x14ac:dyDescent="0.25">
      <c r="U796" s="423"/>
      <c r="Y796" s="171">
        <v>2</v>
      </c>
      <c r="Z796" s="171" t="s">
        <v>97</v>
      </c>
      <c r="AA796" s="171" t="s">
        <v>688</v>
      </c>
      <c r="AC796" s="505">
        <v>23</v>
      </c>
      <c r="AD796" s="505" t="s">
        <v>98</v>
      </c>
      <c r="AE796" s="505" t="s">
        <v>688</v>
      </c>
    </row>
    <row r="797" spans="21:43" ht="15" customHeight="1" x14ac:dyDescent="0.25">
      <c r="Y797" s="171">
        <v>15</v>
      </c>
      <c r="Z797" s="171" t="s">
        <v>97</v>
      </c>
      <c r="AA797" s="171" t="s">
        <v>688</v>
      </c>
    </row>
    <row r="798" spans="21:43" ht="15" customHeight="1" x14ac:dyDescent="0.25">
      <c r="Y798" s="171">
        <v>25</v>
      </c>
      <c r="Z798" s="171" t="s">
        <v>97</v>
      </c>
      <c r="AA798" s="171" t="s">
        <v>688</v>
      </c>
    </row>
    <row r="799" spans="21:43" ht="15" customHeight="1" x14ac:dyDescent="0.25">
      <c r="Y799" s="171">
        <v>96</v>
      </c>
      <c r="Z799" s="171" t="s">
        <v>98</v>
      </c>
      <c r="AA799" s="171" t="s">
        <v>688</v>
      </c>
    </row>
    <row r="800" spans="21:43" ht="15" customHeight="1" x14ac:dyDescent="0.25">
      <c r="Y800" s="171">
        <v>81</v>
      </c>
      <c r="Z800" s="171" t="s">
        <v>97</v>
      </c>
      <c r="AA800" s="171" t="s">
        <v>688</v>
      </c>
    </row>
    <row r="801" spans="25:27" ht="15" customHeight="1" x14ac:dyDescent="0.25">
      <c r="Y801" s="171">
        <v>2</v>
      </c>
      <c r="Z801" s="171" t="s">
        <v>98</v>
      </c>
      <c r="AA801" s="171" t="s">
        <v>688</v>
      </c>
    </row>
    <row r="802" spans="25:27" ht="15" customHeight="1" x14ac:dyDescent="0.25">
      <c r="Y802" s="171">
        <v>2</v>
      </c>
      <c r="Z802" s="171" t="s">
        <v>98</v>
      </c>
      <c r="AA802" s="171" t="s">
        <v>688</v>
      </c>
    </row>
    <row r="803" spans="25:27" ht="15" customHeight="1" x14ac:dyDescent="0.25">
      <c r="Y803" s="171">
        <v>75</v>
      </c>
      <c r="Z803" s="171" t="s">
        <v>97</v>
      </c>
      <c r="AA803" s="171" t="s">
        <v>688</v>
      </c>
    </row>
    <row r="804" spans="25:27" ht="15" customHeight="1" x14ac:dyDescent="0.25">
      <c r="Y804" s="171">
        <v>56</v>
      </c>
      <c r="Z804" s="171" t="s">
        <v>98</v>
      </c>
      <c r="AA804" s="171" t="s">
        <v>688</v>
      </c>
    </row>
    <row r="805" spans="25:27" ht="15" customHeight="1" x14ac:dyDescent="0.25">
      <c r="Y805" s="171">
        <v>5</v>
      </c>
      <c r="Z805" s="171" t="s">
        <v>97</v>
      </c>
      <c r="AA805" s="171" t="s">
        <v>688</v>
      </c>
    </row>
    <row r="806" spans="25:27" ht="15" customHeight="1" x14ac:dyDescent="0.25"/>
    <row r="807" spans="25:27" ht="15" customHeight="1" x14ac:dyDescent="0.25"/>
    <row r="808" spans="25:27" ht="15" customHeight="1" x14ac:dyDescent="0.25"/>
    <row r="809" spans="25:27" ht="15" customHeight="1" x14ac:dyDescent="0.25"/>
    <row r="810" spans="25:27" ht="15" customHeight="1" x14ac:dyDescent="0.25"/>
    <row r="811" spans="25:27" ht="15" customHeight="1" x14ac:dyDescent="0.25"/>
    <row r="812" spans="25:27" ht="15" customHeight="1" x14ac:dyDescent="0.25"/>
    <row r="813" spans="25:27" ht="15" customHeight="1" x14ac:dyDescent="0.25"/>
    <row r="814" spans="25:27" ht="15" customHeight="1" x14ac:dyDescent="0.25"/>
    <row r="815" spans="25:27" ht="15" customHeight="1" x14ac:dyDescent="0.25"/>
    <row r="816" spans="25:27" ht="15" customHeight="1" x14ac:dyDescent="0.25"/>
    <row r="817" ht="15" customHeight="1" x14ac:dyDescent="0.25"/>
    <row r="818" ht="15" customHeight="1" x14ac:dyDescent="0.25"/>
    <row r="819" ht="15" customHeight="1" x14ac:dyDescent="0.25"/>
    <row r="820" ht="15" customHeight="1" x14ac:dyDescent="0.25"/>
    <row r="821" ht="15" customHeight="1" x14ac:dyDescent="0.25"/>
    <row r="822" ht="15" customHeight="1" x14ac:dyDescent="0.25"/>
    <row r="823" ht="15" customHeight="1" x14ac:dyDescent="0.25"/>
    <row r="824" ht="15" customHeight="1" x14ac:dyDescent="0.25"/>
    <row r="825" ht="15" customHeight="1" x14ac:dyDescent="0.25"/>
    <row r="826" ht="15" customHeight="1" x14ac:dyDescent="0.25"/>
    <row r="827" ht="15" customHeight="1" x14ac:dyDescent="0.25"/>
    <row r="828" ht="15" customHeight="1" x14ac:dyDescent="0.25"/>
    <row r="829" ht="15" customHeight="1" x14ac:dyDescent="0.25"/>
    <row r="830" ht="15" customHeight="1" x14ac:dyDescent="0.25"/>
    <row r="831" ht="15" customHeight="1" x14ac:dyDescent="0.25"/>
    <row r="832" ht="15" customHeight="1" x14ac:dyDescent="0.25"/>
    <row r="833" ht="15" customHeight="1" x14ac:dyDescent="0.25"/>
    <row r="834" ht="15" customHeight="1" x14ac:dyDescent="0.25"/>
    <row r="835" ht="15" customHeight="1" x14ac:dyDescent="0.25"/>
    <row r="836" ht="15" customHeight="1" x14ac:dyDescent="0.25"/>
    <row r="837" ht="15" customHeight="1" x14ac:dyDescent="0.25"/>
    <row r="838" ht="15" customHeight="1" x14ac:dyDescent="0.25"/>
    <row r="839" ht="15" customHeight="1" x14ac:dyDescent="0.25"/>
    <row r="840" ht="15" customHeight="1" x14ac:dyDescent="0.25"/>
    <row r="841" ht="15" customHeight="1" x14ac:dyDescent="0.25"/>
    <row r="842" ht="15" customHeight="1" x14ac:dyDescent="0.25"/>
    <row r="843" ht="15" customHeight="1" x14ac:dyDescent="0.25"/>
    <row r="844" ht="15" customHeight="1" x14ac:dyDescent="0.25"/>
    <row r="845" ht="15" customHeight="1" x14ac:dyDescent="0.25"/>
    <row r="846" ht="15" customHeight="1" x14ac:dyDescent="0.25"/>
    <row r="847" ht="15" customHeight="1" x14ac:dyDescent="0.25"/>
    <row r="848" ht="15" customHeight="1" x14ac:dyDescent="0.25"/>
    <row r="849" ht="15" customHeight="1" x14ac:dyDescent="0.25"/>
    <row r="850" ht="15" customHeight="1" x14ac:dyDescent="0.25"/>
    <row r="851" ht="15" customHeight="1" x14ac:dyDescent="0.25"/>
    <row r="852" ht="15" customHeight="1" x14ac:dyDescent="0.25"/>
    <row r="853" ht="15" customHeight="1" x14ac:dyDescent="0.25"/>
    <row r="854" ht="15" customHeight="1" x14ac:dyDescent="0.25"/>
    <row r="855" ht="15" customHeight="1" x14ac:dyDescent="0.25"/>
    <row r="856" ht="15" customHeight="1" x14ac:dyDescent="0.25"/>
    <row r="857" ht="15" customHeight="1" x14ac:dyDescent="0.25"/>
    <row r="858" ht="15" customHeight="1" x14ac:dyDescent="0.25"/>
    <row r="859" ht="15" customHeight="1" x14ac:dyDescent="0.25"/>
    <row r="860" ht="15" customHeight="1" x14ac:dyDescent="0.25"/>
    <row r="861" ht="15" customHeight="1" x14ac:dyDescent="0.25"/>
    <row r="862" ht="15" customHeight="1" x14ac:dyDescent="0.25"/>
    <row r="863" ht="15" customHeight="1" x14ac:dyDescent="0.25"/>
    <row r="864" ht="15" customHeight="1" x14ac:dyDescent="0.25"/>
    <row r="865" ht="15" customHeight="1" x14ac:dyDescent="0.25"/>
    <row r="866" ht="15" customHeight="1" x14ac:dyDescent="0.25"/>
    <row r="867" ht="15" customHeight="1" x14ac:dyDescent="0.25"/>
    <row r="868" ht="15" customHeight="1" x14ac:dyDescent="0.25"/>
    <row r="869" ht="15" customHeight="1" x14ac:dyDescent="0.25"/>
    <row r="870" ht="15" customHeight="1" x14ac:dyDescent="0.25"/>
    <row r="871" ht="15" customHeight="1" x14ac:dyDescent="0.25"/>
    <row r="872" ht="15" customHeight="1" x14ac:dyDescent="0.25"/>
    <row r="873" ht="15" customHeight="1" x14ac:dyDescent="0.25"/>
    <row r="874" ht="15" customHeight="1" x14ac:dyDescent="0.25"/>
    <row r="875" ht="15" customHeight="1" x14ac:dyDescent="0.25"/>
    <row r="876" ht="15" customHeight="1" x14ac:dyDescent="0.25"/>
    <row r="877" ht="15" customHeight="1" x14ac:dyDescent="0.25"/>
    <row r="878" ht="15" customHeight="1" x14ac:dyDescent="0.25"/>
    <row r="879" ht="15" customHeight="1" x14ac:dyDescent="0.25"/>
    <row r="880" ht="15" customHeight="1" x14ac:dyDescent="0.25"/>
    <row r="881" ht="15" customHeight="1" x14ac:dyDescent="0.25"/>
    <row r="882" ht="15" customHeight="1" x14ac:dyDescent="0.25"/>
    <row r="883" ht="15" customHeight="1" x14ac:dyDescent="0.25"/>
    <row r="884" ht="15" customHeight="1" x14ac:dyDescent="0.25"/>
    <row r="885" ht="15" customHeight="1" x14ac:dyDescent="0.25"/>
    <row r="886" ht="15" customHeight="1" x14ac:dyDescent="0.25"/>
    <row r="887" ht="15" customHeight="1" x14ac:dyDescent="0.25"/>
    <row r="888" ht="15" customHeight="1" x14ac:dyDescent="0.25"/>
    <row r="889" ht="15" customHeight="1" x14ac:dyDescent="0.25"/>
    <row r="890" ht="15" customHeight="1" x14ac:dyDescent="0.25"/>
    <row r="891" ht="15" customHeight="1" x14ac:dyDescent="0.25"/>
    <row r="892" ht="15" customHeight="1" x14ac:dyDescent="0.25"/>
    <row r="893" ht="15" customHeight="1" x14ac:dyDescent="0.25"/>
    <row r="894" ht="15" customHeight="1" x14ac:dyDescent="0.25"/>
    <row r="895" ht="15" customHeight="1" x14ac:dyDescent="0.25"/>
    <row r="896" ht="15" customHeight="1" x14ac:dyDescent="0.25"/>
    <row r="897" ht="15" customHeight="1" x14ac:dyDescent="0.25"/>
    <row r="898" ht="15" customHeight="1" x14ac:dyDescent="0.25"/>
    <row r="899" ht="15" customHeight="1" x14ac:dyDescent="0.25"/>
    <row r="900" ht="15" customHeight="1" x14ac:dyDescent="0.25"/>
    <row r="901" ht="15" customHeight="1" x14ac:dyDescent="0.25"/>
    <row r="902" ht="15" customHeight="1" x14ac:dyDescent="0.25"/>
    <row r="903" ht="15" customHeight="1" x14ac:dyDescent="0.25"/>
    <row r="904" ht="15" customHeight="1" x14ac:dyDescent="0.25"/>
    <row r="905" ht="15" customHeight="1" x14ac:dyDescent="0.25"/>
    <row r="906" ht="15" customHeight="1" x14ac:dyDescent="0.25"/>
    <row r="907" ht="15" customHeight="1" x14ac:dyDescent="0.25"/>
    <row r="908" ht="15" customHeight="1" x14ac:dyDescent="0.25"/>
    <row r="909" ht="15" customHeight="1" x14ac:dyDescent="0.25"/>
    <row r="910" ht="15" customHeight="1" x14ac:dyDescent="0.25"/>
    <row r="911" ht="15" customHeight="1" x14ac:dyDescent="0.25"/>
    <row r="912" ht="15" customHeight="1" x14ac:dyDescent="0.25"/>
    <row r="913" ht="15" customHeight="1" x14ac:dyDescent="0.25"/>
    <row r="914" ht="15" customHeight="1" x14ac:dyDescent="0.25"/>
    <row r="915" ht="15" customHeight="1" x14ac:dyDescent="0.25"/>
    <row r="916" ht="15" customHeight="1" x14ac:dyDescent="0.25"/>
    <row r="917" ht="15" customHeight="1" x14ac:dyDescent="0.25"/>
    <row r="918" ht="15" customHeight="1" x14ac:dyDescent="0.25"/>
    <row r="919" ht="15" customHeight="1" x14ac:dyDescent="0.25"/>
    <row r="920" ht="15" customHeight="1" x14ac:dyDescent="0.25"/>
    <row r="921" ht="15" customHeight="1" x14ac:dyDescent="0.25"/>
    <row r="922" ht="15" customHeight="1" x14ac:dyDescent="0.25"/>
    <row r="923" ht="15" customHeight="1" x14ac:dyDescent="0.25"/>
    <row r="924" ht="15" customHeight="1" x14ac:dyDescent="0.25"/>
    <row r="925" ht="15" customHeight="1" x14ac:dyDescent="0.25"/>
    <row r="926" ht="15" customHeight="1" x14ac:dyDescent="0.25"/>
    <row r="927" ht="15" customHeight="1" x14ac:dyDescent="0.25"/>
    <row r="928" ht="15" customHeight="1" x14ac:dyDescent="0.25"/>
    <row r="929" ht="15" customHeight="1" x14ac:dyDescent="0.25"/>
    <row r="930" ht="15" customHeight="1" x14ac:dyDescent="0.25"/>
    <row r="931" ht="15" customHeight="1" x14ac:dyDescent="0.25"/>
    <row r="932" ht="15" customHeight="1" x14ac:dyDescent="0.25"/>
    <row r="933" ht="15" customHeight="1" x14ac:dyDescent="0.25"/>
    <row r="934" ht="15" customHeight="1" x14ac:dyDescent="0.25"/>
    <row r="935" ht="15" customHeight="1" x14ac:dyDescent="0.25"/>
    <row r="936" ht="15" customHeight="1" x14ac:dyDescent="0.25"/>
    <row r="937" ht="15" customHeight="1" x14ac:dyDescent="0.25"/>
    <row r="938" ht="15" customHeight="1" x14ac:dyDescent="0.25"/>
    <row r="939" ht="15" customHeight="1" x14ac:dyDescent="0.25"/>
    <row r="940" ht="15" customHeight="1" x14ac:dyDescent="0.25"/>
    <row r="941" ht="15" customHeight="1" x14ac:dyDescent="0.25"/>
    <row r="942" ht="15" customHeight="1" x14ac:dyDescent="0.25"/>
    <row r="943" ht="15" customHeight="1" x14ac:dyDescent="0.25"/>
    <row r="944" ht="15" customHeight="1" x14ac:dyDescent="0.25"/>
    <row r="945" ht="15" customHeight="1" x14ac:dyDescent="0.25"/>
    <row r="946" ht="15" customHeight="1" x14ac:dyDescent="0.25"/>
    <row r="947" ht="15" customHeight="1" x14ac:dyDescent="0.25"/>
    <row r="948" ht="15" customHeight="1" x14ac:dyDescent="0.25"/>
    <row r="949" ht="15" customHeight="1" x14ac:dyDescent="0.25"/>
    <row r="950" ht="15" customHeight="1" x14ac:dyDescent="0.25"/>
    <row r="951" ht="15" customHeight="1" x14ac:dyDescent="0.25"/>
    <row r="952" ht="15" customHeight="1" x14ac:dyDescent="0.25"/>
    <row r="953" ht="15" customHeight="1" x14ac:dyDescent="0.25"/>
    <row r="954" ht="15" customHeight="1" x14ac:dyDescent="0.25"/>
    <row r="955" ht="15" customHeight="1" x14ac:dyDescent="0.25"/>
    <row r="956" ht="15" customHeight="1" x14ac:dyDescent="0.25"/>
    <row r="957" ht="15" customHeight="1" x14ac:dyDescent="0.25"/>
    <row r="958" ht="15" customHeight="1" x14ac:dyDescent="0.25"/>
    <row r="959" ht="15" customHeight="1" x14ac:dyDescent="0.25"/>
    <row r="960" ht="15" customHeight="1" x14ac:dyDescent="0.25"/>
    <row r="961" ht="15" customHeight="1" x14ac:dyDescent="0.25"/>
    <row r="962" ht="15" customHeight="1" x14ac:dyDescent="0.25"/>
    <row r="963" ht="15" customHeight="1" x14ac:dyDescent="0.25"/>
    <row r="964" ht="15" customHeight="1" x14ac:dyDescent="0.25"/>
    <row r="965" ht="15" customHeight="1" x14ac:dyDescent="0.25"/>
    <row r="966" ht="15" customHeight="1" x14ac:dyDescent="0.25"/>
    <row r="967" ht="15" customHeight="1" x14ac:dyDescent="0.25"/>
    <row r="968" ht="15" customHeight="1" x14ac:dyDescent="0.25"/>
    <row r="969" ht="15" customHeight="1" x14ac:dyDescent="0.25"/>
    <row r="970" ht="15" customHeight="1" x14ac:dyDescent="0.25"/>
    <row r="971" ht="15" customHeight="1" x14ac:dyDescent="0.25"/>
    <row r="972" ht="15" customHeight="1" x14ac:dyDescent="0.25"/>
    <row r="973" ht="15" customHeight="1" x14ac:dyDescent="0.25"/>
    <row r="974" ht="15" customHeight="1" x14ac:dyDescent="0.25"/>
    <row r="975" ht="15" customHeight="1" x14ac:dyDescent="0.25"/>
    <row r="976" ht="15" customHeight="1" x14ac:dyDescent="0.25"/>
    <row r="977" ht="15" customHeight="1" x14ac:dyDescent="0.25"/>
    <row r="978" ht="15" customHeight="1" x14ac:dyDescent="0.25"/>
    <row r="979" ht="15" customHeight="1" x14ac:dyDescent="0.25"/>
    <row r="980" ht="15" customHeight="1" x14ac:dyDescent="0.25"/>
    <row r="981" ht="15" customHeight="1" x14ac:dyDescent="0.25"/>
    <row r="982" ht="15" customHeight="1" x14ac:dyDescent="0.25"/>
    <row r="983" ht="15" customHeight="1" x14ac:dyDescent="0.25"/>
    <row r="984" ht="15" customHeight="1" x14ac:dyDescent="0.25"/>
    <row r="985" ht="15" customHeight="1" x14ac:dyDescent="0.25"/>
    <row r="986" ht="15" customHeight="1" x14ac:dyDescent="0.25"/>
    <row r="987" ht="15" customHeight="1" x14ac:dyDescent="0.25"/>
    <row r="988" ht="15" customHeight="1" x14ac:dyDescent="0.25"/>
    <row r="989" ht="15" customHeight="1" x14ac:dyDescent="0.25"/>
    <row r="990" ht="15" customHeight="1" x14ac:dyDescent="0.25"/>
    <row r="991" ht="15" customHeight="1" x14ac:dyDescent="0.25"/>
    <row r="992" ht="15" customHeight="1" x14ac:dyDescent="0.25"/>
    <row r="993" ht="15" customHeight="1" x14ac:dyDescent="0.25"/>
    <row r="994" ht="15" customHeight="1" x14ac:dyDescent="0.25"/>
    <row r="995" ht="15" customHeight="1" x14ac:dyDescent="0.25"/>
    <row r="996" ht="15" customHeight="1" x14ac:dyDescent="0.25"/>
    <row r="997" ht="15" customHeight="1" x14ac:dyDescent="0.25"/>
    <row r="998" ht="15" customHeight="1" x14ac:dyDescent="0.25"/>
    <row r="999" ht="15" customHeight="1" x14ac:dyDescent="0.25"/>
    <row r="1000" ht="15" customHeight="1" x14ac:dyDescent="0.25"/>
    <row r="1001" ht="15" customHeight="1" x14ac:dyDescent="0.25"/>
    <row r="1002" ht="15" customHeight="1" x14ac:dyDescent="0.25"/>
    <row r="1003" ht="15" customHeight="1" x14ac:dyDescent="0.25"/>
    <row r="1004" ht="15" customHeight="1" x14ac:dyDescent="0.25"/>
    <row r="1005" ht="15" customHeight="1" x14ac:dyDescent="0.25"/>
    <row r="1006" ht="15" customHeight="1" x14ac:dyDescent="0.25"/>
    <row r="1007" ht="15" customHeight="1" x14ac:dyDescent="0.25"/>
    <row r="1008" ht="15" customHeight="1" x14ac:dyDescent="0.25"/>
    <row r="1009" ht="15" customHeight="1" x14ac:dyDescent="0.25"/>
    <row r="1010" ht="15" customHeight="1" x14ac:dyDescent="0.25"/>
    <row r="1011" ht="15" customHeight="1" x14ac:dyDescent="0.25"/>
    <row r="1012" ht="15" customHeight="1" x14ac:dyDescent="0.25"/>
    <row r="1013" ht="15" customHeight="1" x14ac:dyDescent="0.25"/>
    <row r="1014" ht="15" customHeight="1" x14ac:dyDescent="0.25"/>
    <row r="1015" ht="15" customHeight="1" x14ac:dyDescent="0.25"/>
    <row r="1016" ht="15" customHeight="1" x14ac:dyDescent="0.25"/>
    <row r="1017" ht="15" customHeight="1" x14ac:dyDescent="0.25"/>
    <row r="1018" ht="15" customHeight="1" x14ac:dyDescent="0.25"/>
    <row r="1019" ht="15" customHeight="1" x14ac:dyDescent="0.25"/>
    <row r="1020" ht="15" customHeight="1" x14ac:dyDescent="0.25"/>
    <row r="1021" ht="15" customHeight="1" x14ac:dyDescent="0.25"/>
    <row r="1022" ht="15" customHeight="1" x14ac:dyDescent="0.25"/>
    <row r="1023" ht="15" customHeight="1" x14ac:dyDescent="0.25"/>
    <row r="1024" ht="15" customHeight="1" x14ac:dyDescent="0.25"/>
    <row r="1025" ht="15" customHeight="1" x14ac:dyDescent="0.25"/>
    <row r="1026" ht="15" customHeight="1" x14ac:dyDescent="0.25"/>
    <row r="1027" ht="15" customHeight="1" x14ac:dyDescent="0.25"/>
    <row r="1028" ht="15" customHeight="1" x14ac:dyDescent="0.25"/>
    <row r="1029" ht="15" customHeight="1" x14ac:dyDescent="0.25"/>
    <row r="1030" ht="15" customHeight="1" x14ac:dyDescent="0.25"/>
    <row r="1031" ht="15" customHeight="1" x14ac:dyDescent="0.25"/>
    <row r="1032" ht="15" customHeight="1" x14ac:dyDescent="0.25"/>
    <row r="1033" ht="15" customHeight="1" x14ac:dyDescent="0.25"/>
    <row r="1034" ht="15" customHeight="1" x14ac:dyDescent="0.25"/>
    <row r="1035" ht="15" customHeight="1" x14ac:dyDescent="0.25"/>
    <row r="1036" ht="15" customHeight="1" x14ac:dyDescent="0.25"/>
    <row r="1037" ht="15" customHeight="1" x14ac:dyDescent="0.25"/>
    <row r="1038" ht="15" customHeight="1" x14ac:dyDescent="0.25"/>
    <row r="1039" ht="15" customHeight="1" x14ac:dyDescent="0.25"/>
    <row r="1040" ht="15" customHeight="1" x14ac:dyDescent="0.25"/>
    <row r="1041" ht="15" customHeight="1" x14ac:dyDescent="0.25"/>
    <row r="1042" ht="15" customHeight="1" x14ac:dyDescent="0.25"/>
    <row r="1043" ht="15" customHeight="1" x14ac:dyDescent="0.25"/>
    <row r="1044" ht="15" customHeight="1" x14ac:dyDescent="0.25"/>
    <row r="1045" ht="15" customHeight="1" x14ac:dyDescent="0.25"/>
    <row r="1046" ht="15" customHeight="1" x14ac:dyDescent="0.25"/>
    <row r="1047" ht="15" customHeight="1" x14ac:dyDescent="0.25"/>
    <row r="1048" ht="15" customHeight="1" x14ac:dyDescent="0.25"/>
    <row r="1049" ht="15" customHeight="1" x14ac:dyDescent="0.25"/>
    <row r="1050" ht="15" customHeight="1" x14ac:dyDescent="0.25"/>
    <row r="1051" ht="15" customHeight="1" x14ac:dyDescent="0.25"/>
    <row r="1052" ht="15" customHeight="1" x14ac:dyDescent="0.25"/>
    <row r="1053" ht="15" customHeight="1" x14ac:dyDescent="0.25"/>
    <row r="1054" ht="15" customHeight="1" x14ac:dyDescent="0.25"/>
    <row r="1055" ht="15" customHeight="1" x14ac:dyDescent="0.25"/>
    <row r="1056" ht="15" customHeight="1" x14ac:dyDescent="0.25"/>
    <row r="1057" ht="15" customHeight="1" x14ac:dyDescent="0.25"/>
    <row r="1058" ht="15" customHeight="1" x14ac:dyDescent="0.25"/>
    <row r="1059" ht="15" customHeight="1" x14ac:dyDescent="0.25"/>
    <row r="1060" ht="15" customHeight="1" x14ac:dyDescent="0.25"/>
    <row r="1061" ht="15" customHeight="1" x14ac:dyDescent="0.25"/>
    <row r="1062" ht="15" customHeight="1" x14ac:dyDescent="0.25"/>
    <row r="1063" ht="15" customHeight="1" x14ac:dyDescent="0.25"/>
    <row r="1064" ht="15" customHeight="1" x14ac:dyDescent="0.25"/>
    <row r="1065" ht="15" customHeight="1" x14ac:dyDescent="0.25"/>
    <row r="1066" ht="15" customHeight="1" x14ac:dyDescent="0.25"/>
    <row r="1067" ht="15" customHeight="1" x14ac:dyDescent="0.25"/>
    <row r="1068" ht="15" customHeight="1" x14ac:dyDescent="0.25"/>
    <row r="1069" ht="15" customHeight="1" x14ac:dyDescent="0.25"/>
    <row r="1070" ht="15" customHeight="1" x14ac:dyDescent="0.25"/>
    <row r="1071" ht="15" customHeight="1" x14ac:dyDescent="0.25"/>
    <row r="1072" ht="15" customHeight="1" x14ac:dyDescent="0.25"/>
    <row r="1073" ht="15" customHeight="1" x14ac:dyDescent="0.25"/>
    <row r="1074" ht="15" customHeight="1" x14ac:dyDescent="0.25"/>
    <row r="1075" ht="15" customHeight="1" x14ac:dyDescent="0.25"/>
    <row r="1076" ht="15" customHeight="1" x14ac:dyDescent="0.25"/>
    <row r="1077" ht="15" customHeight="1" x14ac:dyDescent="0.25"/>
    <row r="1078" ht="15" customHeight="1" x14ac:dyDescent="0.25"/>
    <row r="1079" ht="15" customHeight="1" x14ac:dyDescent="0.25"/>
    <row r="1080" ht="15" customHeight="1" x14ac:dyDescent="0.25"/>
    <row r="1081" ht="15" customHeight="1" x14ac:dyDescent="0.25"/>
    <row r="1082" ht="15" customHeight="1" x14ac:dyDescent="0.25"/>
    <row r="1083" ht="15" customHeight="1" x14ac:dyDescent="0.25"/>
    <row r="1084" ht="15" customHeight="1" x14ac:dyDescent="0.25"/>
    <row r="1085" ht="15" customHeight="1" x14ac:dyDescent="0.25"/>
    <row r="1086" ht="15" customHeight="1" x14ac:dyDescent="0.25"/>
    <row r="1087" ht="15" customHeight="1" x14ac:dyDescent="0.25"/>
    <row r="1088" ht="15" customHeight="1" x14ac:dyDescent="0.25"/>
    <row r="1089" ht="15" customHeight="1" x14ac:dyDescent="0.25"/>
    <row r="1090" ht="15" customHeight="1" x14ac:dyDescent="0.25"/>
    <row r="1091" ht="15" customHeight="1" x14ac:dyDescent="0.25"/>
    <row r="1092" ht="15" customHeight="1" x14ac:dyDescent="0.25"/>
    <row r="1093" ht="15" customHeight="1" x14ac:dyDescent="0.25"/>
    <row r="1094" ht="15" customHeight="1" x14ac:dyDescent="0.25"/>
    <row r="1095" ht="15" customHeight="1" x14ac:dyDescent="0.25"/>
    <row r="1096" ht="15" customHeight="1" x14ac:dyDescent="0.25"/>
    <row r="1097" ht="15" customHeight="1" x14ac:dyDescent="0.25"/>
    <row r="1098" ht="15" customHeight="1" x14ac:dyDescent="0.25"/>
    <row r="1099" ht="15" customHeight="1" x14ac:dyDescent="0.25"/>
    <row r="1100" ht="15" customHeight="1" x14ac:dyDescent="0.25"/>
    <row r="1101" ht="15" customHeight="1" x14ac:dyDescent="0.25"/>
    <row r="1102" ht="15" customHeight="1" x14ac:dyDescent="0.25"/>
    <row r="1103" ht="15" customHeight="1" x14ac:dyDescent="0.25"/>
    <row r="1104" ht="15" customHeight="1" x14ac:dyDescent="0.25"/>
    <row r="1105" ht="15" customHeight="1" x14ac:dyDescent="0.25"/>
    <row r="1106" ht="15" customHeight="1" x14ac:dyDescent="0.25"/>
    <row r="1107" ht="15" customHeight="1" x14ac:dyDescent="0.25"/>
    <row r="1108" ht="15" customHeight="1" x14ac:dyDescent="0.25"/>
    <row r="1109" ht="15" customHeight="1" x14ac:dyDescent="0.25"/>
    <row r="1110" ht="15" customHeight="1" x14ac:dyDescent="0.25"/>
    <row r="1111" ht="15" customHeight="1" x14ac:dyDescent="0.25"/>
    <row r="1112" ht="15" customHeight="1" x14ac:dyDescent="0.25"/>
    <row r="1113" ht="15" customHeight="1" x14ac:dyDescent="0.25"/>
    <row r="1114" ht="15" customHeight="1" x14ac:dyDescent="0.25"/>
    <row r="1115" ht="15" customHeight="1" x14ac:dyDescent="0.25"/>
    <row r="1116" ht="15" customHeight="1" x14ac:dyDescent="0.25"/>
    <row r="1117" ht="15" customHeight="1" x14ac:dyDescent="0.25"/>
    <row r="1118" ht="15" customHeight="1" x14ac:dyDescent="0.25"/>
    <row r="1119" ht="15" customHeight="1" x14ac:dyDescent="0.25"/>
    <row r="1120" ht="15" customHeight="1" x14ac:dyDescent="0.25"/>
    <row r="1121" ht="15" customHeight="1" x14ac:dyDescent="0.25"/>
    <row r="1122" ht="15" customHeight="1" x14ac:dyDescent="0.25"/>
    <row r="1123" ht="15" customHeight="1" x14ac:dyDescent="0.25"/>
    <row r="1124" ht="15" customHeight="1" x14ac:dyDescent="0.25"/>
    <row r="1125" ht="15" customHeight="1" x14ac:dyDescent="0.25"/>
    <row r="1126" ht="15" customHeight="1" x14ac:dyDescent="0.25"/>
    <row r="1127" ht="15" customHeight="1" x14ac:dyDescent="0.25"/>
    <row r="1128" ht="15" customHeight="1" x14ac:dyDescent="0.25"/>
    <row r="1129" ht="15" customHeight="1" x14ac:dyDescent="0.25"/>
    <row r="1130" ht="15" customHeight="1" x14ac:dyDescent="0.25"/>
    <row r="1131" ht="15" customHeight="1" x14ac:dyDescent="0.25"/>
    <row r="1132" ht="15" customHeight="1" x14ac:dyDescent="0.25"/>
    <row r="1133" ht="15" customHeight="1" x14ac:dyDescent="0.25"/>
    <row r="1134" ht="15" customHeight="1" x14ac:dyDescent="0.25"/>
    <row r="1135" ht="15" customHeight="1" x14ac:dyDescent="0.25"/>
    <row r="1136" ht="15" customHeight="1" x14ac:dyDescent="0.25"/>
    <row r="1137" ht="15" customHeight="1" x14ac:dyDescent="0.25"/>
    <row r="1138" ht="15" customHeight="1" x14ac:dyDescent="0.25"/>
    <row r="1139" ht="15" customHeight="1" x14ac:dyDescent="0.25"/>
    <row r="1140" ht="15" customHeight="1" x14ac:dyDescent="0.25"/>
    <row r="1141" ht="15" customHeight="1" x14ac:dyDescent="0.25"/>
    <row r="1142" ht="15" customHeight="1" x14ac:dyDescent="0.25"/>
    <row r="1143" ht="15" customHeight="1" x14ac:dyDescent="0.25"/>
    <row r="1144" ht="15" customHeight="1" x14ac:dyDescent="0.25"/>
    <row r="1145" ht="15" customHeight="1" x14ac:dyDescent="0.25"/>
    <row r="1146" ht="15" customHeight="1" x14ac:dyDescent="0.25"/>
    <row r="1147" ht="15" customHeight="1" x14ac:dyDescent="0.25"/>
    <row r="1148" ht="15" customHeight="1" x14ac:dyDescent="0.25"/>
    <row r="1149" ht="15" customHeight="1" x14ac:dyDescent="0.25"/>
    <row r="1150" ht="15" customHeight="1" x14ac:dyDescent="0.25"/>
    <row r="1151" ht="15" customHeight="1" x14ac:dyDescent="0.25"/>
    <row r="1152" ht="15" customHeight="1" x14ac:dyDescent="0.25"/>
    <row r="1153" ht="15" customHeight="1" x14ac:dyDescent="0.25"/>
    <row r="1154" ht="15" customHeight="1" x14ac:dyDescent="0.25"/>
    <row r="1155" ht="15" customHeight="1" x14ac:dyDescent="0.25"/>
    <row r="1156" ht="15" customHeight="1" x14ac:dyDescent="0.25"/>
    <row r="1157" ht="15" customHeight="1" x14ac:dyDescent="0.25"/>
    <row r="1158" ht="15" customHeight="1" x14ac:dyDescent="0.25"/>
    <row r="1159" ht="15" customHeight="1" x14ac:dyDescent="0.25"/>
    <row r="1160" ht="15" customHeight="1" x14ac:dyDescent="0.25"/>
    <row r="1161" ht="15" customHeight="1" x14ac:dyDescent="0.25"/>
    <row r="1162" ht="15" customHeight="1" x14ac:dyDescent="0.25"/>
    <row r="1163" ht="15" customHeight="1" x14ac:dyDescent="0.25"/>
    <row r="1164" ht="15" customHeight="1" x14ac:dyDescent="0.25"/>
    <row r="1165" ht="15" customHeight="1" x14ac:dyDescent="0.25"/>
    <row r="1166" ht="15" customHeight="1" x14ac:dyDescent="0.25"/>
    <row r="1167" ht="15" customHeight="1" x14ac:dyDescent="0.25"/>
    <row r="1168" ht="15" customHeight="1" x14ac:dyDescent="0.25"/>
    <row r="1169" ht="15" customHeight="1" x14ac:dyDescent="0.25"/>
    <row r="1170" ht="15" customHeight="1" x14ac:dyDescent="0.25"/>
    <row r="1171" ht="15" customHeight="1" x14ac:dyDescent="0.25"/>
    <row r="1172" ht="15" customHeight="1" x14ac:dyDescent="0.25"/>
    <row r="1173" ht="15" customHeight="1" x14ac:dyDescent="0.25"/>
    <row r="1174" ht="15" customHeight="1" x14ac:dyDescent="0.25"/>
    <row r="1175" ht="15" customHeight="1" x14ac:dyDescent="0.25"/>
    <row r="1176" ht="15" customHeight="1" x14ac:dyDescent="0.25"/>
    <row r="1177" ht="15" customHeight="1" x14ac:dyDescent="0.25"/>
    <row r="1178" ht="15" customHeight="1" x14ac:dyDescent="0.25"/>
    <row r="1179" ht="15" customHeight="1" x14ac:dyDescent="0.25"/>
    <row r="1180" ht="15" customHeight="1" x14ac:dyDescent="0.25"/>
    <row r="1181" ht="15" customHeight="1" x14ac:dyDescent="0.25"/>
    <row r="1182" ht="15" customHeight="1" x14ac:dyDescent="0.25"/>
    <row r="1183" ht="15" customHeight="1" x14ac:dyDescent="0.25"/>
    <row r="1184" ht="15" customHeight="1" x14ac:dyDescent="0.25"/>
    <row r="1185" ht="15" customHeight="1" x14ac:dyDescent="0.25"/>
    <row r="1186" ht="15" customHeight="1" x14ac:dyDescent="0.25"/>
    <row r="1187" ht="15" customHeight="1" x14ac:dyDescent="0.25"/>
    <row r="1188" ht="15" customHeight="1" x14ac:dyDescent="0.25"/>
    <row r="1189" ht="15" customHeight="1" x14ac:dyDescent="0.25"/>
    <row r="1190" ht="15" customHeight="1" x14ac:dyDescent="0.25"/>
    <row r="1191" ht="16.5" customHeight="1" x14ac:dyDescent="0.25"/>
    <row r="1192" ht="16.5" customHeight="1" x14ac:dyDescent="0.25"/>
    <row r="1193" ht="16.5" customHeight="1" x14ac:dyDescent="0.25"/>
    <row r="1194" ht="16.5" customHeight="1" x14ac:dyDescent="0.25"/>
    <row r="1195" ht="16.5" customHeight="1" x14ac:dyDescent="0.25"/>
    <row r="1196" ht="16.5" customHeight="1" x14ac:dyDescent="0.25"/>
    <row r="1197" ht="16.5" customHeight="1" x14ac:dyDescent="0.25"/>
    <row r="1198" ht="16.5" customHeight="1" x14ac:dyDescent="0.25"/>
    <row r="1199" ht="16.5" customHeight="1" x14ac:dyDescent="0.25"/>
    <row r="1200" ht="16.5" customHeight="1" x14ac:dyDescent="0.25"/>
    <row r="1201" ht="16.5" customHeight="1" x14ac:dyDescent="0.25"/>
    <row r="1202" ht="16.5" customHeight="1" x14ac:dyDescent="0.25"/>
    <row r="1203" ht="16.5" customHeight="1" x14ac:dyDescent="0.25"/>
    <row r="1204" ht="16.5" customHeight="1" x14ac:dyDescent="0.25"/>
    <row r="1205" ht="16.5" customHeight="1" x14ac:dyDescent="0.25"/>
    <row r="1206" ht="16.5" customHeight="1" x14ac:dyDescent="0.25"/>
    <row r="1207" ht="16.5" customHeight="1" x14ac:dyDescent="0.25"/>
    <row r="1208" ht="16.5" customHeight="1" x14ac:dyDescent="0.25"/>
    <row r="1209" ht="16.5" customHeight="1" x14ac:dyDescent="0.25"/>
    <row r="1210" ht="16.5" customHeight="1" x14ac:dyDescent="0.25"/>
    <row r="1211" ht="16.5" customHeight="1" x14ac:dyDescent="0.25"/>
    <row r="1212" ht="15" customHeight="1" x14ac:dyDescent="0.25"/>
    <row r="1213" ht="15" customHeight="1" x14ac:dyDescent="0.25"/>
    <row r="1214" ht="15" customHeight="1" x14ac:dyDescent="0.25"/>
    <row r="1215" ht="15" customHeight="1" x14ac:dyDescent="0.25"/>
    <row r="1216" ht="15" customHeight="1" x14ac:dyDescent="0.25"/>
    <row r="1217" ht="15" customHeight="1" x14ac:dyDescent="0.25"/>
    <row r="1218" ht="15" customHeight="1" x14ac:dyDescent="0.25"/>
    <row r="1219" ht="15" customHeight="1" x14ac:dyDescent="0.25"/>
    <row r="1220" ht="15" customHeight="1" x14ac:dyDescent="0.25"/>
    <row r="1221" ht="15" customHeight="1" x14ac:dyDescent="0.25"/>
    <row r="1222" ht="15" customHeight="1" x14ac:dyDescent="0.25"/>
    <row r="1223" ht="15" customHeight="1" x14ac:dyDescent="0.25"/>
    <row r="1224" ht="15" customHeight="1" x14ac:dyDescent="0.25"/>
    <row r="1225" ht="15" customHeight="1" x14ac:dyDescent="0.25"/>
    <row r="1226" ht="15" customHeight="1" x14ac:dyDescent="0.25"/>
    <row r="1227" ht="15" customHeight="1" x14ac:dyDescent="0.25"/>
    <row r="1228" ht="15" customHeight="1" x14ac:dyDescent="0.25"/>
    <row r="1229" ht="15" customHeight="1" x14ac:dyDescent="0.25"/>
    <row r="1230" ht="15" customHeight="1" x14ac:dyDescent="0.25"/>
    <row r="1231" ht="15" customHeight="1" x14ac:dyDescent="0.25"/>
    <row r="1232" ht="15" customHeight="1" x14ac:dyDescent="0.25"/>
    <row r="1233" ht="15" customHeight="1" x14ac:dyDescent="0.25"/>
    <row r="1234" ht="15" customHeight="1" x14ac:dyDescent="0.25"/>
    <row r="1235" ht="15" customHeight="1" x14ac:dyDescent="0.25"/>
    <row r="1236" ht="15" customHeight="1" x14ac:dyDescent="0.25"/>
    <row r="1237" ht="15" customHeight="1" x14ac:dyDescent="0.25"/>
    <row r="1238" ht="15" customHeight="1" x14ac:dyDescent="0.25"/>
    <row r="1239" ht="15" customHeight="1" x14ac:dyDescent="0.25"/>
    <row r="1240" ht="15" customHeight="1" x14ac:dyDescent="0.25"/>
    <row r="1241" ht="15" customHeight="1" x14ac:dyDescent="0.25"/>
    <row r="1242" ht="15" customHeight="1" x14ac:dyDescent="0.25"/>
    <row r="1243" ht="15" customHeight="1" x14ac:dyDescent="0.25"/>
    <row r="1244" ht="15" customHeight="1" x14ac:dyDescent="0.25"/>
    <row r="1245" ht="15" customHeight="1" x14ac:dyDescent="0.25"/>
    <row r="1246" ht="15" customHeight="1" x14ac:dyDescent="0.25"/>
    <row r="1247" ht="15" customHeight="1" x14ac:dyDescent="0.25"/>
    <row r="1248" ht="15" customHeight="1" x14ac:dyDescent="0.25"/>
    <row r="1249" ht="15" customHeight="1" x14ac:dyDescent="0.25"/>
    <row r="1250" ht="15" customHeight="1" x14ac:dyDescent="0.25"/>
    <row r="1251" ht="15" customHeight="1" x14ac:dyDescent="0.25"/>
    <row r="1252" ht="15" customHeight="1" x14ac:dyDescent="0.25"/>
    <row r="1253" ht="15" customHeight="1" x14ac:dyDescent="0.25"/>
    <row r="1254" ht="15" customHeight="1" x14ac:dyDescent="0.25"/>
    <row r="1255" ht="15" customHeight="1" x14ac:dyDescent="0.25"/>
    <row r="1256" ht="15" customHeight="1" x14ac:dyDescent="0.25"/>
    <row r="1257" ht="15" customHeight="1" x14ac:dyDescent="0.25"/>
    <row r="1258" ht="15" customHeight="1" x14ac:dyDescent="0.25"/>
    <row r="1259" ht="15" customHeight="1" x14ac:dyDescent="0.25"/>
    <row r="1260" ht="15" customHeight="1" x14ac:dyDescent="0.25"/>
    <row r="1261" ht="15" customHeight="1" x14ac:dyDescent="0.25"/>
    <row r="1262" ht="15" customHeight="1" x14ac:dyDescent="0.25"/>
    <row r="1263" ht="15" customHeight="1" x14ac:dyDescent="0.25"/>
    <row r="1264" ht="15" customHeight="1" x14ac:dyDescent="0.25"/>
    <row r="1265" ht="15" customHeight="1" x14ac:dyDescent="0.25"/>
    <row r="1266" ht="15" customHeight="1" x14ac:dyDescent="0.25"/>
    <row r="1267" ht="15" customHeight="1" x14ac:dyDescent="0.25"/>
    <row r="1268" ht="15" customHeight="1" x14ac:dyDescent="0.25"/>
    <row r="1269" ht="15" customHeight="1" x14ac:dyDescent="0.25"/>
    <row r="1270" ht="15" customHeight="1" x14ac:dyDescent="0.25"/>
    <row r="1271" ht="15" customHeight="1" x14ac:dyDescent="0.25"/>
    <row r="1272" ht="15" customHeight="1" x14ac:dyDescent="0.25"/>
    <row r="1273" ht="15" customHeight="1" x14ac:dyDescent="0.25"/>
    <row r="1274" ht="15" customHeight="1" x14ac:dyDescent="0.25"/>
    <row r="1275" ht="15" customHeight="1" x14ac:dyDescent="0.25"/>
    <row r="1276" ht="15" customHeight="1" x14ac:dyDescent="0.25"/>
    <row r="1277" ht="15" customHeight="1" x14ac:dyDescent="0.25"/>
    <row r="1278" ht="15" customHeight="1" x14ac:dyDescent="0.25"/>
    <row r="1279" ht="15" customHeight="1" x14ac:dyDescent="0.25"/>
    <row r="1280" ht="15" customHeight="1" x14ac:dyDescent="0.25"/>
    <row r="1281" ht="15" customHeight="1" x14ac:dyDescent="0.25"/>
    <row r="1282" ht="15" customHeight="1" x14ac:dyDescent="0.25"/>
    <row r="1283" ht="15" customHeight="1" x14ac:dyDescent="0.25"/>
    <row r="1284" ht="15" customHeight="1" x14ac:dyDescent="0.25"/>
    <row r="1285" ht="15" customHeight="1" x14ac:dyDescent="0.25"/>
    <row r="1286" ht="15" customHeight="1" x14ac:dyDescent="0.25"/>
    <row r="1287" ht="15" customHeight="1" x14ac:dyDescent="0.25"/>
    <row r="1288" ht="15" customHeight="1" x14ac:dyDescent="0.25"/>
    <row r="1289" ht="15" customHeight="1" x14ac:dyDescent="0.25"/>
    <row r="1290" ht="15" customHeight="1" x14ac:dyDescent="0.25"/>
    <row r="1291" ht="15" customHeight="1" x14ac:dyDescent="0.25"/>
    <row r="1292" ht="15" customHeight="1" x14ac:dyDescent="0.25"/>
    <row r="1293" ht="15" customHeight="1" x14ac:dyDescent="0.25"/>
    <row r="1294" ht="15" customHeight="1" x14ac:dyDescent="0.25"/>
    <row r="1295" ht="15" customHeight="1" x14ac:dyDescent="0.25"/>
    <row r="1296" ht="15" customHeight="1" x14ac:dyDescent="0.25"/>
    <row r="1297" ht="15" customHeight="1" x14ac:dyDescent="0.25"/>
    <row r="1298" ht="15" customHeight="1" x14ac:dyDescent="0.25"/>
    <row r="1299" ht="15" customHeight="1" x14ac:dyDescent="0.25"/>
    <row r="1300" ht="15" customHeight="1" x14ac:dyDescent="0.25"/>
    <row r="1301" ht="15" customHeight="1" x14ac:dyDescent="0.25"/>
    <row r="1302" ht="15" customHeight="1" x14ac:dyDescent="0.25"/>
    <row r="1303" ht="15" customHeight="1" x14ac:dyDescent="0.25"/>
    <row r="1304" ht="15" customHeight="1" x14ac:dyDescent="0.25"/>
    <row r="1305" ht="15" customHeight="1" x14ac:dyDescent="0.25"/>
    <row r="1306" ht="15" customHeight="1" x14ac:dyDescent="0.25"/>
    <row r="1307" ht="15" customHeight="1" x14ac:dyDescent="0.25"/>
    <row r="1308" ht="15" customHeight="1" x14ac:dyDescent="0.25"/>
    <row r="1309" ht="15" customHeight="1" x14ac:dyDescent="0.25"/>
    <row r="1310" ht="15" customHeight="1" x14ac:dyDescent="0.25"/>
    <row r="1311" ht="15" customHeight="1" x14ac:dyDescent="0.25"/>
    <row r="1312" ht="15" customHeight="1" x14ac:dyDescent="0.25"/>
    <row r="1313" ht="15" customHeight="1" x14ac:dyDescent="0.25"/>
    <row r="1314" ht="15" customHeight="1" x14ac:dyDescent="0.25"/>
    <row r="1315" ht="15" customHeight="1" x14ac:dyDescent="0.25"/>
    <row r="1316" ht="15" customHeight="1" x14ac:dyDescent="0.25"/>
    <row r="1317" ht="15" customHeight="1" x14ac:dyDescent="0.25"/>
    <row r="1318" ht="15" customHeight="1" x14ac:dyDescent="0.25"/>
    <row r="1319" ht="15" customHeight="1" x14ac:dyDescent="0.25"/>
    <row r="1320" ht="15" customHeight="1" x14ac:dyDescent="0.25"/>
    <row r="1321" ht="15" customHeight="1" x14ac:dyDescent="0.25"/>
    <row r="1322" ht="15" customHeight="1" x14ac:dyDescent="0.25"/>
    <row r="1323" ht="15" customHeight="1" x14ac:dyDescent="0.25"/>
    <row r="1324" ht="15" customHeight="1" x14ac:dyDescent="0.25"/>
    <row r="1325" ht="15" customHeight="1" x14ac:dyDescent="0.25"/>
    <row r="1326" ht="15" customHeight="1" x14ac:dyDescent="0.25"/>
    <row r="1327" ht="15" customHeight="1" x14ac:dyDescent="0.25"/>
    <row r="1328" ht="15" customHeight="1" x14ac:dyDescent="0.25"/>
    <row r="1329" ht="15" customHeight="1" x14ac:dyDescent="0.25"/>
    <row r="1330" ht="15" customHeight="1" x14ac:dyDescent="0.25"/>
    <row r="1331" ht="15" customHeight="1" x14ac:dyDescent="0.25"/>
    <row r="1332" ht="15" customHeight="1" x14ac:dyDescent="0.25"/>
    <row r="1333" ht="15" customHeight="1" x14ac:dyDescent="0.25"/>
    <row r="1334" ht="15" customHeight="1" x14ac:dyDescent="0.25"/>
    <row r="1335" ht="15" customHeight="1" x14ac:dyDescent="0.25"/>
    <row r="1336" ht="15" customHeight="1" x14ac:dyDescent="0.25"/>
    <row r="1337" ht="15" customHeight="1" x14ac:dyDescent="0.25"/>
    <row r="1338" ht="15" customHeight="1" x14ac:dyDescent="0.25"/>
    <row r="1339" ht="15" customHeight="1" x14ac:dyDescent="0.25"/>
    <row r="1340" ht="15" customHeight="1" x14ac:dyDescent="0.25"/>
    <row r="1341" ht="15" customHeight="1" x14ac:dyDescent="0.25"/>
    <row r="1342" ht="15" customHeight="1" x14ac:dyDescent="0.25"/>
    <row r="1343" ht="15" customHeight="1" x14ac:dyDescent="0.25"/>
    <row r="1344" ht="15" customHeight="1" x14ac:dyDescent="0.25"/>
    <row r="1345" ht="15" customHeight="1" x14ac:dyDescent="0.25"/>
    <row r="1346" ht="15" customHeight="1" x14ac:dyDescent="0.25"/>
    <row r="1347" ht="15" customHeight="1" x14ac:dyDescent="0.25"/>
    <row r="1348" ht="15" customHeight="1" x14ac:dyDescent="0.25"/>
    <row r="1349" ht="15" customHeight="1" x14ac:dyDescent="0.25"/>
    <row r="1350" ht="15" customHeight="1" x14ac:dyDescent="0.25"/>
    <row r="1351" ht="15" customHeight="1" x14ac:dyDescent="0.25"/>
    <row r="1352" ht="15" customHeight="1" x14ac:dyDescent="0.25"/>
    <row r="1353" ht="15" customHeight="1" x14ac:dyDescent="0.25"/>
    <row r="1354" ht="15" customHeight="1" x14ac:dyDescent="0.25"/>
    <row r="1355" ht="15" customHeight="1" x14ac:dyDescent="0.25"/>
    <row r="1356" ht="15" customHeight="1" x14ac:dyDescent="0.25"/>
    <row r="1357" ht="15" customHeight="1" x14ac:dyDescent="0.25"/>
    <row r="1358" ht="15" customHeight="1" x14ac:dyDescent="0.25"/>
    <row r="1359" ht="15" customHeight="1" x14ac:dyDescent="0.25"/>
    <row r="1360" ht="15" customHeight="1" x14ac:dyDescent="0.25"/>
    <row r="1361" ht="15" customHeight="1" x14ac:dyDescent="0.25"/>
    <row r="1362" ht="15" customHeight="1" x14ac:dyDescent="0.25"/>
    <row r="1363" ht="15" customHeight="1" x14ac:dyDescent="0.25"/>
    <row r="1364" ht="15" customHeight="1" x14ac:dyDescent="0.25"/>
    <row r="1365" ht="15" customHeight="1" x14ac:dyDescent="0.25"/>
    <row r="1366" ht="15" customHeight="1" x14ac:dyDescent="0.25"/>
    <row r="1367" ht="15" customHeight="1" x14ac:dyDescent="0.25"/>
    <row r="1368" ht="15" customHeight="1" x14ac:dyDescent="0.25"/>
    <row r="1369" ht="15" customHeight="1" x14ac:dyDescent="0.25"/>
    <row r="1370" ht="15" customHeight="1" x14ac:dyDescent="0.25"/>
    <row r="1371" ht="15" customHeight="1" x14ac:dyDescent="0.25"/>
    <row r="1372" ht="15" customHeight="1" x14ac:dyDescent="0.25"/>
    <row r="1373" ht="15" customHeight="1" x14ac:dyDescent="0.25"/>
    <row r="1374" ht="15" customHeight="1" x14ac:dyDescent="0.25"/>
    <row r="1375" ht="15" customHeight="1" x14ac:dyDescent="0.25"/>
    <row r="1376" ht="15" customHeight="1" x14ac:dyDescent="0.25"/>
    <row r="1377" ht="15" customHeight="1" x14ac:dyDescent="0.25"/>
    <row r="1378" ht="15" customHeight="1" x14ac:dyDescent="0.25"/>
    <row r="1379" ht="15" customHeight="1" x14ac:dyDescent="0.25"/>
    <row r="1380" ht="15" customHeight="1" x14ac:dyDescent="0.25"/>
    <row r="1381" ht="15" customHeight="1" x14ac:dyDescent="0.25"/>
    <row r="1382" ht="15" customHeight="1" x14ac:dyDescent="0.25"/>
    <row r="1383" ht="15" customHeight="1" x14ac:dyDescent="0.25"/>
    <row r="1384" ht="15" customHeight="1" x14ac:dyDescent="0.25"/>
    <row r="1385" ht="15" customHeight="1" x14ac:dyDescent="0.25"/>
    <row r="1386" ht="15" customHeight="1" x14ac:dyDescent="0.25"/>
    <row r="1387" ht="15" customHeight="1" x14ac:dyDescent="0.25"/>
    <row r="1388" ht="15" customHeight="1" x14ac:dyDescent="0.25"/>
    <row r="1389" ht="15" customHeight="1" x14ac:dyDescent="0.25"/>
    <row r="1390" ht="15" customHeight="1" x14ac:dyDescent="0.25"/>
    <row r="1391" ht="15" customHeight="1" x14ac:dyDescent="0.25"/>
    <row r="1392" ht="15" customHeight="1" x14ac:dyDescent="0.25"/>
    <row r="1393" ht="15" customHeight="1" x14ac:dyDescent="0.25"/>
    <row r="1394" ht="15" customHeight="1" x14ac:dyDescent="0.25"/>
    <row r="1395" ht="15" customHeight="1" x14ac:dyDescent="0.25"/>
    <row r="1396" ht="15" customHeight="1" x14ac:dyDescent="0.25"/>
    <row r="1397" ht="15" customHeight="1" x14ac:dyDescent="0.25"/>
    <row r="1398" ht="15" customHeight="1" x14ac:dyDescent="0.25"/>
    <row r="1399" ht="15" customHeight="1" x14ac:dyDescent="0.25"/>
    <row r="1400" ht="15" customHeight="1" x14ac:dyDescent="0.25"/>
    <row r="1401" ht="15" customHeight="1" x14ac:dyDescent="0.25"/>
    <row r="1402" ht="15" customHeight="1" x14ac:dyDescent="0.25"/>
    <row r="1403" ht="15" customHeight="1" x14ac:dyDescent="0.25"/>
    <row r="1404" ht="15" customHeight="1" x14ac:dyDescent="0.25"/>
    <row r="1405" ht="15" customHeight="1" x14ac:dyDescent="0.25"/>
    <row r="1406" ht="15" customHeight="1" x14ac:dyDescent="0.25"/>
    <row r="1407" ht="15" customHeight="1" x14ac:dyDescent="0.25"/>
    <row r="1408" ht="15" customHeight="1" x14ac:dyDescent="0.25"/>
    <row r="1409" ht="15" customHeight="1" x14ac:dyDescent="0.25"/>
    <row r="1410" ht="15" customHeight="1" x14ac:dyDescent="0.25"/>
    <row r="1411" ht="15" customHeight="1" x14ac:dyDescent="0.25"/>
    <row r="1412" ht="15" customHeight="1" x14ac:dyDescent="0.25"/>
    <row r="1413" ht="15" customHeight="1" x14ac:dyDescent="0.25"/>
    <row r="1414" ht="15" customHeight="1" x14ac:dyDescent="0.25"/>
    <row r="1415" ht="15" customHeight="1" x14ac:dyDescent="0.25"/>
    <row r="1416" ht="15" customHeight="1" x14ac:dyDescent="0.25"/>
    <row r="1417" ht="15" customHeight="1" x14ac:dyDescent="0.25"/>
    <row r="1418" ht="15" customHeight="1" x14ac:dyDescent="0.25"/>
    <row r="1419" ht="15" customHeight="1" x14ac:dyDescent="0.25"/>
    <row r="1420" ht="15" customHeight="1" x14ac:dyDescent="0.25"/>
    <row r="1421" ht="15" customHeight="1" x14ac:dyDescent="0.25"/>
    <row r="1422" ht="15" customHeight="1" x14ac:dyDescent="0.25"/>
    <row r="1423" ht="15" customHeight="1" x14ac:dyDescent="0.25"/>
    <row r="1424" ht="15" customHeight="1" x14ac:dyDescent="0.25"/>
    <row r="1425" ht="15" customHeight="1" x14ac:dyDescent="0.25"/>
    <row r="1426" ht="15" customHeight="1" x14ac:dyDescent="0.25"/>
    <row r="1427" ht="15" customHeight="1" x14ac:dyDescent="0.25"/>
    <row r="1428" ht="15" customHeight="1" x14ac:dyDescent="0.25"/>
    <row r="1429" ht="15" customHeight="1" x14ac:dyDescent="0.25"/>
    <row r="1430" ht="15" customHeight="1" x14ac:dyDescent="0.25"/>
    <row r="1431" ht="15" customHeight="1" x14ac:dyDescent="0.25"/>
    <row r="1432" ht="15" customHeight="1" x14ac:dyDescent="0.25"/>
    <row r="1433" ht="15" customHeight="1" x14ac:dyDescent="0.25"/>
    <row r="1434" ht="15" customHeight="1" x14ac:dyDescent="0.25"/>
    <row r="1435" ht="15" customHeight="1" x14ac:dyDescent="0.25"/>
    <row r="1436" ht="15" customHeight="1" x14ac:dyDescent="0.25"/>
    <row r="1437" ht="15" customHeight="1" x14ac:dyDescent="0.25"/>
    <row r="1438" ht="15" customHeight="1" x14ac:dyDescent="0.25"/>
    <row r="1439" ht="15" customHeight="1" x14ac:dyDescent="0.25"/>
    <row r="1440" ht="15" customHeight="1" x14ac:dyDescent="0.25"/>
    <row r="1441" ht="15" customHeight="1" x14ac:dyDescent="0.25"/>
    <row r="1442" ht="15" customHeight="1" x14ac:dyDescent="0.25"/>
    <row r="1443" ht="15" customHeight="1" x14ac:dyDescent="0.25"/>
    <row r="1444" ht="15" customHeight="1" x14ac:dyDescent="0.25"/>
    <row r="1445" ht="15" customHeight="1" x14ac:dyDescent="0.25"/>
    <row r="1446" ht="15" customHeight="1" x14ac:dyDescent="0.25"/>
    <row r="1447" ht="15" customHeight="1" x14ac:dyDescent="0.25"/>
    <row r="1448" ht="15" customHeight="1" x14ac:dyDescent="0.25"/>
    <row r="1449" ht="15" customHeight="1" x14ac:dyDescent="0.25"/>
    <row r="1450" ht="15" customHeight="1" x14ac:dyDescent="0.25"/>
    <row r="1451" ht="15" customHeight="1" x14ac:dyDescent="0.25"/>
    <row r="1452" ht="15" customHeight="1" x14ac:dyDescent="0.25"/>
    <row r="1453" ht="15" customHeight="1" x14ac:dyDescent="0.25"/>
    <row r="1454" ht="15" customHeight="1" x14ac:dyDescent="0.25"/>
    <row r="1455" ht="15" customHeight="1" x14ac:dyDescent="0.25"/>
    <row r="1456" ht="15" customHeight="1" x14ac:dyDescent="0.25"/>
    <row r="1457" ht="15" customHeight="1" x14ac:dyDescent="0.25"/>
    <row r="1458" ht="15" customHeight="1" x14ac:dyDescent="0.25"/>
    <row r="1459" ht="15" customHeight="1" x14ac:dyDescent="0.25"/>
    <row r="1460" ht="15" customHeight="1" x14ac:dyDescent="0.25"/>
    <row r="1461" ht="15" customHeight="1" x14ac:dyDescent="0.25"/>
    <row r="1462" ht="15" customHeight="1" x14ac:dyDescent="0.25"/>
    <row r="1463" ht="15" customHeight="1" x14ac:dyDescent="0.25"/>
    <row r="1464" ht="15" customHeight="1" x14ac:dyDescent="0.25"/>
    <row r="1465" ht="15" customHeight="1" x14ac:dyDescent="0.25"/>
    <row r="1466" ht="15" customHeight="1" x14ac:dyDescent="0.25"/>
    <row r="1467" ht="15" customHeight="1" x14ac:dyDescent="0.25"/>
    <row r="1468" ht="15" customHeight="1" x14ac:dyDescent="0.25"/>
    <row r="1469" ht="15" customHeight="1" x14ac:dyDescent="0.25"/>
    <row r="1470" ht="15" customHeight="1" x14ac:dyDescent="0.25"/>
    <row r="1471" ht="15" customHeight="1" x14ac:dyDescent="0.25"/>
    <row r="1472" ht="15" customHeight="1" x14ac:dyDescent="0.25"/>
    <row r="1473" ht="15" customHeight="1" x14ac:dyDescent="0.25"/>
    <row r="1474" ht="15" customHeight="1" x14ac:dyDescent="0.25"/>
    <row r="1475" ht="15" customHeight="1" x14ac:dyDescent="0.25"/>
    <row r="1476" ht="15" customHeight="1" x14ac:dyDescent="0.25"/>
    <row r="1477" ht="15" customHeight="1" x14ac:dyDescent="0.25"/>
    <row r="1478" ht="15" customHeight="1" x14ac:dyDescent="0.25"/>
    <row r="1479" ht="15" customHeight="1" x14ac:dyDescent="0.25"/>
    <row r="1480" ht="15" customHeight="1" x14ac:dyDescent="0.25"/>
    <row r="1481" ht="15" customHeight="1" x14ac:dyDescent="0.25"/>
    <row r="1482" ht="15" customHeight="1" x14ac:dyDescent="0.25"/>
    <row r="1483" ht="15" customHeight="1" x14ac:dyDescent="0.25"/>
    <row r="1484" ht="15" customHeight="1" x14ac:dyDescent="0.25"/>
    <row r="1485" ht="15" customHeight="1" x14ac:dyDescent="0.25"/>
    <row r="1486" ht="15" customHeight="1" x14ac:dyDescent="0.25"/>
    <row r="1487" ht="15" customHeight="1" x14ac:dyDescent="0.25"/>
    <row r="1488" ht="15" customHeight="1" x14ac:dyDescent="0.25"/>
    <row r="1489" ht="15" customHeight="1" x14ac:dyDescent="0.25"/>
    <row r="1490" ht="15" customHeight="1" x14ac:dyDescent="0.25"/>
    <row r="1491" ht="15" customHeight="1" x14ac:dyDescent="0.25"/>
    <row r="1492" ht="15" customHeight="1" x14ac:dyDescent="0.25"/>
    <row r="1493" ht="15" customHeight="1" x14ac:dyDescent="0.25"/>
    <row r="1494" ht="15" customHeight="1" x14ac:dyDescent="0.25"/>
    <row r="1495" ht="15" customHeight="1" x14ac:dyDescent="0.25"/>
    <row r="1496" ht="15" customHeight="1" x14ac:dyDescent="0.25"/>
    <row r="1497" ht="15" customHeight="1" x14ac:dyDescent="0.25"/>
    <row r="1498" ht="15" customHeight="1" x14ac:dyDescent="0.25"/>
    <row r="1499" ht="15" customHeight="1" x14ac:dyDescent="0.25"/>
    <row r="1500" ht="15" customHeight="1" x14ac:dyDescent="0.25"/>
    <row r="1501" ht="15" customHeight="1" x14ac:dyDescent="0.25"/>
    <row r="1502" ht="15" customHeight="1" x14ac:dyDescent="0.25"/>
    <row r="1503" ht="15" customHeight="1" x14ac:dyDescent="0.25"/>
    <row r="1504" ht="15" customHeight="1" x14ac:dyDescent="0.25"/>
    <row r="1505" ht="15" customHeight="1" x14ac:dyDescent="0.25"/>
    <row r="1506" ht="15" customHeight="1" x14ac:dyDescent="0.25"/>
    <row r="1507" ht="15" customHeight="1" x14ac:dyDescent="0.25"/>
    <row r="1508" ht="15" customHeight="1" x14ac:dyDescent="0.25"/>
    <row r="1509" ht="15" customHeight="1" x14ac:dyDescent="0.25"/>
    <row r="1510" ht="15" customHeight="1" x14ac:dyDescent="0.25"/>
    <row r="1511" ht="15" customHeight="1" x14ac:dyDescent="0.25"/>
    <row r="1512" ht="15" customHeight="1" x14ac:dyDescent="0.25"/>
    <row r="1513" ht="15" customHeight="1" x14ac:dyDescent="0.25"/>
    <row r="1514" ht="15" customHeight="1" x14ac:dyDescent="0.25"/>
    <row r="1515" ht="15" customHeight="1" x14ac:dyDescent="0.25"/>
    <row r="1516" ht="15" customHeight="1" x14ac:dyDescent="0.25"/>
    <row r="1517" ht="15" customHeight="1" x14ac:dyDescent="0.25"/>
    <row r="1518" ht="15" customHeight="1" x14ac:dyDescent="0.25"/>
    <row r="1519" ht="15" customHeight="1" x14ac:dyDescent="0.25"/>
    <row r="1520" ht="15" customHeight="1" x14ac:dyDescent="0.25"/>
    <row r="1521" ht="15" customHeight="1" x14ac:dyDescent="0.25"/>
    <row r="1522" ht="15" customHeight="1" x14ac:dyDescent="0.25"/>
    <row r="1523" ht="15" customHeight="1" x14ac:dyDescent="0.25"/>
    <row r="1524" ht="15" customHeight="1" x14ac:dyDescent="0.25"/>
    <row r="1525" ht="15" customHeight="1" x14ac:dyDescent="0.25"/>
    <row r="1526" ht="15" customHeight="1" x14ac:dyDescent="0.25"/>
    <row r="1527" ht="15" customHeight="1" x14ac:dyDescent="0.25"/>
    <row r="1528" ht="15" customHeight="1" x14ac:dyDescent="0.25"/>
    <row r="1529" ht="15" customHeight="1" x14ac:dyDescent="0.25"/>
    <row r="1530" ht="15" customHeight="1" x14ac:dyDescent="0.25"/>
    <row r="1531" ht="15" customHeight="1" x14ac:dyDescent="0.25"/>
    <row r="1532" ht="15" customHeight="1" x14ac:dyDescent="0.25"/>
    <row r="1533" ht="15" customHeight="1" x14ac:dyDescent="0.25"/>
    <row r="1534" ht="15" customHeight="1" x14ac:dyDescent="0.25"/>
    <row r="1535" ht="15" customHeight="1" x14ac:dyDescent="0.25"/>
    <row r="1536" ht="15" customHeight="1" x14ac:dyDescent="0.25"/>
    <row r="1537" ht="15" customHeight="1" x14ac:dyDescent="0.25"/>
    <row r="1538" ht="15" customHeight="1" x14ac:dyDescent="0.25"/>
    <row r="1539" ht="15" customHeight="1" x14ac:dyDescent="0.25"/>
    <row r="1540" ht="15" customHeight="1" x14ac:dyDescent="0.25"/>
    <row r="1541" ht="15" customHeight="1" x14ac:dyDescent="0.25"/>
    <row r="1542" ht="15" customHeight="1" x14ac:dyDescent="0.25"/>
    <row r="1543" ht="15" customHeight="1" x14ac:dyDescent="0.25"/>
    <row r="1544" ht="15" customHeight="1" x14ac:dyDescent="0.25"/>
    <row r="1545" ht="15" customHeight="1" x14ac:dyDescent="0.25"/>
    <row r="1546" ht="15" customHeight="1" x14ac:dyDescent="0.25"/>
    <row r="1547" ht="15" customHeight="1" x14ac:dyDescent="0.25"/>
    <row r="1548" ht="15" customHeight="1" x14ac:dyDescent="0.25"/>
    <row r="1549" ht="15" customHeight="1" x14ac:dyDescent="0.25"/>
    <row r="1550" ht="15" customHeight="1" x14ac:dyDescent="0.25"/>
    <row r="1551" ht="15" customHeight="1" x14ac:dyDescent="0.25"/>
    <row r="1552" ht="15" customHeight="1" x14ac:dyDescent="0.25"/>
    <row r="1553" ht="15" customHeight="1" x14ac:dyDescent="0.25"/>
    <row r="1554" ht="15" customHeight="1" x14ac:dyDescent="0.25"/>
    <row r="1555" ht="15" customHeight="1" x14ac:dyDescent="0.25"/>
    <row r="1556" ht="15" customHeight="1" x14ac:dyDescent="0.25"/>
    <row r="1557" ht="15" customHeight="1" x14ac:dyDescent="0.25"/>
    <row r="1558" ht="15" customHeight="1" x14ac:dyDescent="0.25"/>
    <row r="1559" ht="15" customHeight="1" x14ac:dyDescent="0.25"/>
    <row r="1560" ht="15" customHeight="1" x14ac:dyDescent="0.25"/>
    <row r="1561" ht="15" customHeight="1" x14ac:dyDescent="0.25"/>
    <row r="1562" ht="15" customHeight="1" x14ac:dyDescent="0.25"/>
    <row r="1563" ht="15" customHeight="1" x14ac:dyDescent="0.25"/>
    <row r="1564" ht="15" customHeight="1" x14ac:dyDescent="0.25"/>
    <row r="1565" ht="15" customHeight="1" x14ac:dyDescent="0.25"/>
    <row r="1566" ht="15" customHeight="1" x14ac:dyDescent="0.25"/>
    <row r="1567" ht="15" customHeight="1" x14ac:dyDescent="0.25"/>
    <row r="1568" ht="15" customHeight="1" x14ac:dyDescent="0.25"/>
    <row r="1569" ht="15" customHeight="1" x14ac:dyDescent="0.25"/>
    <row r="1570" ht="15" customHeight="1" x14ac:dyDescent="0.25"/>
    <row r="1571" ht="15" customHeight="1" x14ac:dyDescent="0.25"/>
    <row r="1572" ht="15" customHeight="1" x14ac:dyDescent="0.25"/>
    <row r="1573" ht="15" customHeight="1" x14ac:dyDescent="0.25"/>
    <row r="1574" ht="15" customHeight="1" x14ac:dyDescent="0.25"/>
    <row r="1575" ht="15" customHeight="1" x14ac:dyDescent="0.25"/>
    <row r="1576" ht="15" customHeight="1" x14ac:dyDescent="0.25"/>
    <row r="1577" ht="15" customHeight="1" x14ac:dyDescent="0.25"/>
    <row r="1578" ht="15" customHeight="1" x14ac:dyDescent="0.25"/>
    <row r="1579" ht="15" customHeight="1" x14ac:dyDescent="0.25"/>
    <row r="1580" ht="15" customHeight="1" x14ac:dyDescent="0.25"/>
    <row r="1581" ht="15" customHeight="1" x14ac:dyDescent="0.25"/>
    <row r="1582" ht="15" customHeight="1" x14ac:dyDescent="0.25"/>
    <row r="1583" ht="15" customHeight="1" x14ac:dyDescent="0.25"/>
    <row r="1584" ht="15" customHeight="1" x14ac:dyDescent="0.25"/>
    <row r="1585" ht="15" customHeight="1" x14ac:dyDescent="0.25"/>
    <row r="1586" ht="15" customHeight="1" x14ac:dyDescent="0.25"/>
    <row r="1587" ht="15" customHeight="1" x14ac:dyDescent="0.25"/>
    <row r="1588" ht="15" customHeight="1" x14ac:dyDescent="0.25"/>
    <row r="1589" ht="15" customHeight="1" x14ac:dyDescent="0.25"/>
    <row r="1590" ht="15" customHeight="1" x14ac:dyDescent="0.25"/>
    <row r="1591" ht="15" customHeight="1" x14ac:dyDescent="0.25"/>
    <row r="1592" ht="15" customHeight="1" x14ac:dyDescent="0.25"/>
    <row r="1593" ht="15" customHeight="1" x14ac:dyDescent="0.25"/>
    <row r="1594" ht="15" customHeight="1" x14ac:dyDescent="0.25"/>
    <row r="1595" ht="15" customHeight="1" x14ac:dyDescent="0.25"/>
    <row r="1596" ht="15" customHeight="1" x14ac:dyDescent="0.25"/>
    <row r="1597" ht="15" customHeight="1" x14ac:dyDescent="0.25"/>
    <row r="1598" ht="15" customHeight="1" x14ac:dyDescent="0.25"/>
    <row r="1599" ht="15" customHeight="1" x14ac:dyDescent="0.25"/>
    <row r="1600" ht="15" customHeight="1" x14ac:dyDescent="0.25"/>
    <row r="1601" ht="15" customHeight="1" x14ac:dyDescent="0.25"/>
    <row r="1602" ht="15" customHeight="1" x14ac:dyDescent="0.25"/>
    <row r="1603" ht="15" customHeight="1" x14ac:dyDescent="0.25"/>
    <row r="1604" ht="15" customHeight="1" x14ac:dyDescent="0.25"/>
    <row r="1605" ht="15" customHeight="1" x14ac:dyDescent="0.25"/>
    <row r="1606" ht="15" customHeight="1" x14ac:dyDescent="0.25"/>
    <row r="1607" ht="15" customHeight="1" x14ac:dyDescent="0.25"/>
    <row r="1608" ht="15" customHeight="1" x14ac:dyDescent="0.25"/>
    <row r="1609" ht="15" customHeight="1" x14ac:dyDescent="0.25"/>
    <row r="1610" ht="15" customHeight="1" x14ac:dyDescent="0.25"/>
    <row r="1611" ht="15" customHeight="1" x14ac:dyDescent="0.25"/>
    <row r="1612" ht="15" customHeight="1" x14ac:dyDescent="0.25"/>
    <row r="1613" ht="15" customHeight="1" x14ac:dyDescent="0.25"/>
    <row r="1614" ht="15" customHeight="1" x14ac:dyDescent="0.25"/>
    <row r="1615" ht="15" customHeight="1" x14ac:dyDescent="0.25"/>
    <row r="1616" ht="15" customHeight="1" x14ac:dyDescent="0.25"/>
    <row r="1617" ht="15" customHeight="1" x14ac:dyDescent="0.25"/>
    <row r="1618" ht="15" customHeight="1" x14ac:dyDescent="0.25"/>
    <row r="1619" ht="15" customHeight="1" x14ac:dyDescent="0.25"/>
    <row r="1620" ht="15" customHeight="1" x14ac:dyDescent="0.25"/>
    <row r="1621" ht="15" customHeight="1" x14ac:dyDescent="0.25"/>
    <row r="1622" ht="15" customHeight="1" x14ac:dyDescent="0.25"/>
    <row r="1623" ht="15" customHeight="1" x14ac:dyDescent="0.25"/>
    <row r="1624" ht="15" customHeight="1" x14ac:dyDescent="0.25"/>
    <row r="1625" ht="15" customHeight="1" x14ac:dyDescent="0.25"/>
    <row r="1626" ht="15" customHeight="1" x14ac:dyDescent="0.25"/>
    <row r="1627" ht="15" customHeight="1" x14ac:dyDescent="0.25"/>
    <row r="1628" ht="15" customHeight="1" x14ac:dyDescent="0.25"/>
    <row r="1629" ht="15" customHeight="1" x14ac:dyDescent="0.25"/>
    <row r="1630" ht="15" customHeight="1" x14ac:dyDescent="0.25"/>
    <row r="1631" ht="15" customHeight="1" x14ac:dyDescent="0.25"/>
    <row r="1632" ht="15" customHeight="1" x14ac:dyDescent="0.25"/>
    <row r="1633" ht="15" customHeight="1" x14ac:dyDescent="0.25"/>
    <row r="1634" ht="15" customHeight="1" x14ac:dyDescent="0.25"/>
    <row r="1635" ht="15" customHeight="1" x14ac:dyDescent="0.25"/>
    <row r="1636" ht="15" customHeight="1" x14ac:dyDescent="0.25"/>
    <row r="1637" ht="15" customHeight="1" x14ac:dyDescent="0.25"/>
    <row r="1638" ht="15" customHeight="1" x14ac:dyDescent="0.25"/>
    <row r="1639" ht="15" customHeight="1" x14ac:dyDescent="0.25"/>
    <row r="1640" ht="15" customHeight="1" x14ac:dyDescent="0.25"/>
    <row r="1641" ht="15" customHeight="1" x14ac:dyDescent="0.25"/>
    <row r="1642" ht="15" customHeight="1" x14ac:dyDescent="0.25"/>
    <row r="1643" ht="15" customHeight="1" x14ac:dyDescent="0.25"/>
    <row r="1644" ht="15" customHeight="1" x14ac:dyDescent="0.25"/>
    <row r="1645" ht="15" customHeight="1" x14ac:dyDescent="0.25"/>
    <row r="1646" ht="15" customHeight="1" x14ac:dyDescent="0.25"/>
    <row r="1647" ht="15" customHeight="1" x14ac:dyDescent="0.25"/>
    <row r="1648" ht="15" customHeight="1" x14ac:dyDescent="0.25"/>
    <row r="1649" ht="15" customHeight="1" x14ac:dyDescent="0.25"/>
    <row r="1650" ht="15" customHeight="1" x14ac:dyDescent="0.25"/>
    <row r="1651" ht="15" customHeight="1" x14ac:dyDescent="0.25"/>
    <row r="1652" ht="15" customHeight="1" x14ac:dyDescent="0.25"/>
    <row r="1653" ht="15" customHeight="1" x14ac:dyDescent="0.25"/>
    <row r="1654" ht="15" customHeight="1" x14ac:dyDescent="0.25"/>
    <row r="1655" ht="15" customHeight="1" x14ac:dyDescent="0.25"/>
    <row r="1656" ht="15" customHeight="1" x14ac:dyDescent="0.25"/>
    <row r="1657" ht="15" customHeight="1" x14ac:dyDescent="0.25"/>
    <row r="1658" ht="15" customHeight="1" x14ac:dyDescent="0.25"/>
    <row r="1659" ht="15" customHeight="1" x14ac:dyDescent="0.25"/>
    <row r="1660" ht="15" customHeight="1" x14ac:dyDescent="0.25"/>
    <row r="1661" ht="15" customHeight="1" x14ac:dyDescent="0.25"/>
    <row r="1662" ht="15" customHeight="1" x14ac:dyDescent="0.25"/>
    <row r="1663" ht="15" customHeight="1" x14ac:dyDescent="0.25"/>
    <row r="1665" ht="15" customHeight="1" x14ac:dyDescent="0.25"/>
    <row r="1666" ht="15" customHeight="1" x14ac:dyDescent="0.25"/>
    <row r="1667" ht="15" customHeight="1" x14ac:dyDescent="0.25"/>
    <row r="1668" ht="15" customHeight="1" x14ac:dyDescent="0.25"/>
    <row r="1669" ht="15" customHeight="1" x14ac:dyDescent="0.25"/>
    <row r="1670" ht="15" customHeight="1" x14ac:dyDescent="0.25"/>
    <row r="1671" ht="15" customHeight="1" x14ac:dyDescent="0.25"/>
    <row r="1672" ht="15" customHeight="1" x14ac:dyDescent="0.25"/>
    <row r="1673" ht="15" customHeight="1" x14ac:dyDescent="0.25"/>
    <row r="1674" ht="15" customHeight="1" x14ac:dyDescent="0.25"/>
    <row r="1675" ht="15" customHeight="1" x14ac:dyDescent="0.25"/>
    <row r="1676" ht="15" customHeight="1" x14ac:dyDescent="0.25"/>
    <row r="1677" ht="15" customHeight="1" x14ac:dyDescent="0.25"/>
    <row r="1678" ht="15" customHeight="1" x14ac:dyDescent="0.25"/>
    <row r="1679" ht="15" customHeight="1" x14ac:dyDescent="0.25"/>
    <row r="1680" ht="15" customHeight="1" x14ac:dyDescent="0.25"/>
    <row r="1681" ht="15" customHeight="1" x14ac:dyDescent="0.25"/>
    <row r="1682" ht="15" customHeight="1" x14ac:dyDescent="0.25"/>
    <row r="1683" ht="15" customHeight="1" x14ac:dyDescent="0.25"/>
    <row r="1684" ht="15" customHeight="1" x14ac:dyDescent="0.25"/>
    <row r="1685" ht="15" customHeight="1" x14ac:dyDescent="0.25"/>
    <row r="1686" ht="15" customHeight="1" x14ac:dyDescent="0.25"/>
    <row r="1687" ht="15" customHeight="1" x14ac:dyDescent="0.25"/>
    <row r="1688" ht="15" customHeight="1" x14ac:dyDescent="0.25"/>
    <row r="1689" ht="15" customHeight="1" x14ac:dyDescent="0.25"/>
    <row r="1690" ht="15" customHeight="1" x14ac:dyDescent="0.25"/>
    <row r="1691" ht="15" customHeight="1" x14ac:dyDescent="0.25"/>
    <row r="1692" ht="15" customHeight="1" x14ac:dyDescent="0.25"/>
    <row r="1693" ht="15" customHeight="1" x14ac:dyDescent="0.25"/>
    <row r="1694" ht="15" customHeight="1" x14ac:dyDescent="0.25"/>
    <row r="1695" ht="15" customHeight="1" x14ac:dyDescent="0.25"/>
    <row r="1696" ht="15" customHeight="1" x14ac:dyDescent="0.25"/>
    <row r="1697" ht="15" customHeight="1" x14ac:dyDescent="0.25"/>
    <row r="1698" ht="15" customHeight="1" x14ac:dyDescent="0.25"/>
    <row r="1699" ht="15" customHeight="1" x14ac:dyDescent="0.25"/>
    <row r="1700" ht="15" customHeight="1" x14ac:dyDescent="0.25"/>
    <row r="1701" ht="15" customHeight="1" x14ac:dyDescent="0.25"/>
    <row r="1702" ht="15" customHeight="1" x14ac:dyDescent="0.25"/>
    <row r="1703" ht="15" customHeight="1" x14ac:dyDescent="0.25"/>
    <row r="1704" ht="15" customHeight="1" x14ac:dyDescent="0.25"/>
    <row r="1705" ht="15" customHeight="1" x14ac:dyDescent="0.25"/>
    <row r="1706" ht="15" customHeight="1" x14ac:dyDescent="0.25"/>
    <row r="1707" ht="15" customHeight="1" x14ac:dyDescent="0.25"/>
    <row r="1708" ht="15" customHeight="1" x14ac:dyDescent="0.25"/>
    <row r="1709" ht="15" customHeight="1" x14ac:dyDescent="0.25"/>
    <row r="1710" ht="15" customHeight="1" x14ac:dyDescent="0.25"/>
    <row r="1711" ht="15" customHeight="1" x14ac:dyDescent="0.25"/>
    <row r="1712" ht="15" customHeight="1" x14ac:dyDescent="0.25"/>
    <row r="1713" ht="15" customHeight="1" x14ac:dyDescent="0.25"/>
    <row r="1714" ht="15" customHeight="1" x14ac:dyDescent="0.25"/>
    <row r="1715" ht="15" customHeight="1" x14ac:dyDescent="0.25"/>
    <row r="1716" ht="15" customHeight="1" x14ac:dyDescent="0.25"/>
    <row r="1717" ht="15" customHeight="1" x14ac:dyDescent="0.25"/>
    <row r="1718" ht="15" customHeight="1" x14ac:dyDescent="0.25"/>
    <row r="1719" ht="15" customHeight="1" x14ac:dyDescent="0.25"/>
    <row r="1720" ht="15" customHeight="1" x14ac:dyDescent="0.25"/>
    <row r="1721" ht="15" customHeight="1" x14ac:dyDescent="0.25"/>
    <row r="1722" ht="15" customHeight="1" x14ac:dyDescent="0.25"/>
    <row r="1723" ht="15" customHeight="1" x14ac:dyDescent="0.25"/>
    <row r="1724" ht="15" customHeight="1" x14ac:dyDescent="0.25"/>
    <row r="1725" ht="15" customHeight="1" x14ac:dyDescent="0.25"/>
    <row r="1726" ht="15" customHeight="1" x14ac:dyDescent="0.25"/>
    <row r="1727" ht="15" customHeight="1" x14ac:dyDescent="0.25"/>
    <row r="1728" ht="15" customHeight="1" x14ac:dyDescent="0.25"/>
    <row r="1729" ht="15" customHeight="1" x14ac:dyDescent="0.25"/>
    <row r="1730" ht="15" customHeight="1" x14ac:dyDescent="0.25"/>
    <row r="1731" ht="15" customHeight="1" x14ac:dyDescent="0.25"/>
    <row r="1732" ht="15" customHeight="1" x14ac:dyDescent="0.25"/>
    <row r="1733" ht="15" customHeight="1" x14ac:dyDescent="0.25"/>
    <row r="1734" ht="15" customHeight="1" x14ac:dyDescent="0.25"/>
    <row r="1735" ht="15" customHeight="1" x14ac:dyDescent="0.25"/>
    <row r="1736" ht="15" customHeight="1" x14ac:dyDescent="0.25"/>
    <row r="1737" ht="15" customHeight="1" x14ac:dyDescent="0.25"/>
    <row r="1738" ht="15" customHeight="1" x14ac:dyDescent="0.25"/>
    <row r="1739" ht="15" customHeight="1" x14ac:dyDescent="0.25"/>
    <row r="1740" ht="15" customHeight="1" x14ac:dyDescent="0.25"/>
    <row r="1741" ht="15" customHeight="1" x14ac:dyDescent="0.25"/>
    <row r="1742" ht="15" customHeight="1" x14ac:dyDescent="0.25"/>
    <row r="1743" ht="15" customHeight="1" x14ac:dyDescent="0.25"/>
    <row r="1744" ht="15" customHeight="1" x14ac:dyDescent="0.25"/>
    <row r="1745" ht="15" customHeight="1" x14ac:dyDescent="0.25"/>
    <row r="1746" ht="15" customHeight="1" x14ac:dyDescent="0.25"/>
    <row r="1747" ht="15" customHeight="1" x14ac:dyDescent="0.25"/>
    <row r="1748" ht="15" customHeight="1" x14ac:dyDescent="0.25"/>
    <row r="1749" ht="15" customHeight="1" x14ac:dyDescent="0.25"/>
    <row r="1750" ht="15" customHeight="1" x14ac:dyDescent="0.25"/>
    <row r="1751" ht="15" customHeight="1" x14ac:dyDescent="0.25"/>
    <row r="1752" ht="15" customHeight="1" x14ac:dyDescent="0.25"/>
    <row r="1753" ht="15" customHeight="1" x14ac:dyDescent="0.25"/>
    <row r="1754" ht="15" customHeight="1" x14ac:dyDescent="0.25"/>
    <row r="1755" ht="15" customHeight="1" x14ac:dyDescent="0.25"/>
    <row r="1756" ht="15" customHeight="1" x14ac:dyDescent="0.25"/>
    <row r="1757" ht="15" customHeight="1" x14ac:dyDescent="0.25"/>
    <row r="1758" ht="15" customHeight="1" x14ac:dyDescent="0.25"/>
    <row r="1759" ht="15" customHeight="1" x14ac:dyDescent="0.25"/>
    <row r="1760" ht="15" customHeight="1" x14ac:dyDescent="0.25"/>
    <row r="1761" ht="15" customHeight="1" x14ac:dyDescent="0.25"/>
    <row r="1762" ht="15" customHeight="1" x14ac:dyDescent="0.25"/>
    <row r="1763" ht="15" customHeight="1" x14ac:dyDescent="0.25"/>
    <row r="1764" ht="15" customHeight="1" x14ac:dyDescent="0.25"/>
    <row r="1765" ht="15" customHeight="1" x14ac:dyDescent="0.25"/>
    <row r="1766" ht="15" customHeight="1" x14ac:dyDescent="0.25"/>
    <row r="1767" ht="15" customHeight="1" x14ac:dyDescent="0.25"/>
    <row r="1768" ht="15" customHeight="1" x14ac:dyDescent="0.25"/>
    <row r="1769" ht="15" customHeight="1" x14ac:dyDescent="0.25"/>
    <row r="1770" ht="15" customHeight="1" x14ac:dyDescent="0.25"/>
    <row r="1771" ht="15" customHeight="1" x14ac:dyDescent="0.25"/>
    <row r="1772" ht="15" customHeight="1" x14ac:dyDescent="0.25"/>
    <row r="1773" ht="15" customHeight="1" x14ac:dyDescent="0.25"/>
    <row r="1774" ht="15" customHeight="1" x14ac:dyDescent="0.25"/>
    <row r="1775" ht="15" customHeight="1" x14ac:dyDescent="0.25"/>
    <row r="1776" ht="15" customHeight="1" x14ac:dyDescent="0.25"/>
    <row r="1777" ht="15" customHeight="1" x14ac:dyDescent="0.25"/>
    <row r="1778" ht="15" customHeight="1" x14ac:dyDescent="0.25"/>
    <row r="1779" ht="15" customHeight="1" x14ac:dyDescent="0.25"/>
    <row r="1780" ht="15" customHeight="1" x14ac:dyDescent="0.25"/>
    <row r="1781" ht="15" customHeight="1" x14ac:dyDescent="0.25"/>
    <row r="1782" ht="15" customHeight="1" x14ac:dyDescent="0.25"/>
    <row r="1783" ht="15" customHeight="1" x14ac:dyDescent="0.25"/>
    <row r="1784" ht="15" customHeight="1" x14ac:dyDescent="0.25"/>
    <row r="1785" ht="15" customHeight="1" x14ac:dyDescent="0.25"/>
    <row r="1786" ht="15" customHeight="1" x14ac:dyDescent="0.25"/>
    <row r="1787" ht="15" customHeight="1" x14ac:dyDescent="0.25"/>
    <row r="1788" ht="15" customHeight="1" x14ac:dyDescent="0.25"/>
    <row r="1789" ht="15" customHeight="1" x14ac:dyDescent="0.25"/>
    <row r="1790" ht="15" customHeight="1" x14ac:dyDescent="0.25"/>
    <row r="1791" ht="15" customHeight="1" x14ac:dyDescent="0.25"/>
    <row r="1792" ht="15" customHeight="1" x14ac:dyDescent="0.25"/>
    <row r="1793" ht="15" customHeight="1" x14ac:dyDescent="0.25"/>
    <row r="1794" ht="15" customHeight="1" x14ac:dyDescent="0.25"/>
    <row r="1795" ht="15" customHeight="1" x14ac:dyDescent="0.25"/>
    <row r="1796" ht="15" customHeight="1" x14ac:dyDescent="0.25"/>
    <row r="1797" ht="15" customHeight="1" x14ac:dyDescent="0.25"/>
    <row r="1798" ht="15" customHeight="1" x14ac:dyDescent="0.25"/>
    <row r="1799" ht="15" customHeight="1" x14ac:dyDescent="0.25"/>
    <row r="1800" ht="15" customHeight="1" x14ac:dyDescent="0.25"/>
    <row r="1801" ht="15" customHeight="1" x14ac:dyDescent="0.25"/>
    <row r="1802" ht="15" customHeight="1" x14ac:dyDescent="0.25"/>
    <row r="1803" ht="15" customHeight="1" x14ac:dyDescent="0.25"/>
    <row r="1804" ht="15" customHeight="1" x14ac:dyDescent="0.25"/>
    <row r="1805" ht="15" customHeight="1" x14ac:dyDescent="0.25"/>
    <row r="1806" ht="15" customHeight="1" x14ac:dyDescent="0.25"/>
    <row r="1807" ht="15" customHeight="1" x14ac:dyDescent="0.25"/>
    <row r="1808" ht="15" customHeight="1" x14ac:dyDescent="0.25"/>
    <row r="1809" ht="15" customHeight="1" x14ac:dyDescent="0.25"/>
    <row r="1810" ht="15" customHeight="1" x14ac:dyDescent="0.25"/>
    <row r="1811" ht="15" customHeight="1" x14ac:dyDescent="0.25"/>
    <row r="1812" ht="15" customHeight="1" x14ac:dyDescent="0.25"/>
    <row r="1813" ht="15" customHeight="1" x14ac:dyDescent="0.25"/>
    <row r="1814" ht="15" customHeight="1" x14ac:dyDescent="0.25"/>
    <row r="1815" ht="15" customHeight="1" x14ac:dyDescent="0.25"/>
    <row r="1816" ht="15" customHeight="1" x14ac:dyDescent="0.25"/>
    <row r="1817" ht="15" customHeight="1" x14ac:dyDescent="0.25"/>
    <row r="1818" ht="15" customHeight="1" x14ac:dyDescent="0.25"/>
    <row r="1819" ht="15" customHeight="1" x14ac:dyDescent="0.25"/>
    <row r="1820" ht="15" customHeight="1" x14ac:dyDescent="0.25"/>
    <row r="1821" ht="15" customHeight="1" x14ac:dyDescent="0.25"/>
    <row r="1822" ht="15" customHeight="1" x14ac:dyDescent="0.25"/>
    <row r="1823" ht="15" customHeight="1" x14ac:dyDescent="0.25"/>
    <row r="1824" ht="15" customHeight="1" x14ac:dyDescent="0.25"/>
    <row r="1825" ht="15" customHeight="1" x14ac:dyDescent="0.25"/>
    <row r="1826" ht="15" customHeight="1" x14ac:dyDescent="0.25"/>
    <row r="1827" ht="15" customHeight="1" x14ac:dyDescent="0.25"/>
    <row r="1828" ht="15" customHeight="1" x14ac:dyDescent="0.25"/>
  </sheetData>
  <autoFilter ref="U2:W535" xr:uid="{00000000-0001-0000-0E00-000000000000}"/>
  <sortState xmlns:xlrd2="http://schemas.microsoft.com/office/spreadsheetml/2017/richdata2" ref="U2:W796">
    <sortCondition ref="W3:W796"/>
  </sortState>
  <mergeCells count="3">
    <mergeCell ref="Y1:AA1"/>
    <mergeCell ref="AO1:AQ1"/>
    <mergeCell ref="AS1:AU1"/>
  </mergeCells>
  <conditionalFormatting sqref="V78:V117 V121 V125 V128:V130 V133 V136 V144">
    <cfRule type="duplicateValues" dxfId="0" priority="616"/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7893F-62AB-4657-9B89-D11FD33943C8}">
  <sheetPr>
    <tabColor rgb="FF990033"/>
  </sheetPr>
  <dimension ref="A1:Q790"/>
  <sheetViews>
    <sheetView zoomScale="90" zoomScaleNormal="90" workbookViewId="0">
      <selection activeCell="A2" sqref="A2:A13"/>
    </sheetView>
  </sheetViews>
  <sheetFormatPr defaultRowHeight="15" x14ac:dyDescent="0.25"/>
  <cols>
    <col min="1" max="4" width="11.85546875" style="299" customWidth="1"/>
    <col min="5" max="5" width="9.140625" style="635"/>
    <col min="6" max="6" width="9.140625" style="635" customWidth="1"/>
    <col min="7" max="7" width="13.28515625" bestFit="1" customWidth="1"/>
    <col min="8" max="8" width="18.7109375" style="171" bestFit="1" customWidth="1"/>
    <col min="9" max="9" width="4.42578125" style="171" bestFit="1" customWidth="1"/>
    <col min="10" max="10" width="11.28515625" style="171" bestFit="1" customWidth="1"/>
    <col min="11" max="11" width="5.5703125" bestFit="1" customWidth="1"/>
    <col min="12" max="12" width="4.140625" bestFit="1" customWidth="1"/>
    <col min="13" max="13" width="5.5703125" bestFit="1" customWidth="1"/>
    <col min="14" max="14" width="6" bestFit="1" customWidth="1"/>
    <col min="15" max="15" width="17" customWidth="1"/>
    <col min="16" max="16" width="37.7109375" customWidth="1"/>
    <col min="17" max="17" width="28.28515625" customWidth="1"/>
    <col min="18" max="18" width="5.5703125" bestFit="1" customWidth="1"/>
    <col min="19" max="19" width="11.28515625" bestFit="1" customWidth="1"/>
    <col min="20" max="20" width="5.5703125" bestFit="1" customWidth="1"/>
    <col min="21" max="21" width="11.28515625" bestFit="1" customWidth="1"/>
  </cols>
  <sheetData>
    <row r="1" spans="1:17" ht="24.75" customHeight="1" x14ac:dyDescent="0.25">
      <c r="A1" s="461" t="s">
        <v>103</v>
      </c>
      <c r="B1" s="461" t="s">
        <v>104</v>
      </c>
      <c r="C1" s="461" t="s">
        <v>20</v>
      </c>
      <c r="D1" s="462" t="s">
        <v>1104</v>
      </c>
      <c r="G1" s="636" t="s">
        <v>1107</v>
      </c>
      <c r="H1" s="636"/>
      <c r="I1" s="636"/>
      <c r="J1" s="636"/>
      <c r="O1" s="638" t="s">
        <v>1278</v>
      </c>
      <c r="P1" s="639"/>
      <c r="Q1" s="640"/>
    </row>
    <row r="2" spans="1:17" ht="15.75" x14ac:dyDescent="0.25">
      <c r="A2" s="299">
        <v>55</v>
      </c>
      <c r="B2" s="299" t="s">
        <v>97</v>
      </c>
      <c r="C2" s="299" t="s">
        <v>122</v>
      </c>
      <c r="D2" s="299" t="str">
        <f t="shared" ref="D2:D65" si="0">IFERROR(
  IF(OR(RIGHT(UPPER(A2),1)="D", RIGHT(UPPER(A2),3)="DAY", RIGHT(UPPER(A2),4)="DAYS"), "0-28 Days",
  IF(RIGHT(UPPER(A2),3)="MTH", "1-11 Months",
  IF(A2+0&lt;1, "0-28 Days",
  IF(A2+0&lt;5, "1-4 Years",
  IF(A2+0&lt;10, "5-9 Years",
  IF(A2+0&lt;15, "10-14 Years",
  IF(A2+0&lt;18, "15-17 Years",
  IF(A2+0&lt;20, "18-19 Years",
  IF(A2+0&lt;35, "20-34 Years",
  IF(A2+0&lt;50, "35-49 Years",
  IF(A2+0&lt;60, "50-59 Years",
  IF(A2+0&lt;70, "60-69 Years", "70+ Years"
)))))))))))), "Unknown")</f>
        <v>50-59 Years</v>
      </c>
      <c r="G2" s="454" t="s">
        <v>1106</v>
      </c>
      <c r="H2" s="455" t="s">
        <v>1094</v>
      </c>
      <c r="O2" s="266" t="s">
        <v>1093</v>
      </c>
      <c r="P2" s="440" t="s">
        <v>120</v>
      </c>
      <c r="Q2" s="440" t="s">
        <v>242</v>
      </c>
    </row>
    <row r="3" spans="1:17" ht="15.75" x14ac:dyDescent="0.25">
      <c r="A3" s="299">
        <v>40</v>
      </c>
      <c r="B3" s="299" t="s">
        <v>97</v>
      </c>
      <c r="C3" s="299" t="s">
        <v>122</v>
      </c>
      <c r="D3" s="299" t="str">
        <f t="shared" si="0"/>
        <v>35-49 Years</v>
      </c>
      <c r="G3" s="454" t="s">
        <v>1105</v>
      </c>
      <c r="H3" t="s">
        <v>97</v>
      </c>
      <c r="I3" t="s">
        <v>98</v>
      </c>
      <c r="J3" t="s">
        <v>1248</v>
      </c>
      <c r="O3" s="441" t="s">
        <v>83</v>
      </c>
      <c r="P3" s="340"/>
      <c r="Q3" s="340"/>
    </row>
    <row r="4" spans="1:17" ht="15.75" x14ac:dyDescent="0.25">
      <c r="A4" s="299">
        <v>51</v>
      </c>
      <c r="B4" s="299" t="s">
        <v>97</v>
      </c>
      <c r="C4" s="299" t="s">
        <v>122</v>
      </c>
      <c r="D4" s="299" t="str">
        <f t="shared" si="0"/>
        <v>50-59 Years</v>
      </c>
      <c r="G4" s="504" t="s">
        <v>1249</v>
      </c>
      <c r="H4">
        <v>7</v>
      </c>
      <c r="I4">
        <v>6</v>
      </c>
      <c r="J4" s="171">
        <v>13</v>
      </c>
      <c r="O4" s="441" t="s">
        <v>84</v>
      </c>
      <c r="P4" s="340"/>
      <c r="Q4" s="340"/>
    </row>
    <row r="5" spans="1:17" ht="15.75" x14ac:dyDescent="0.25">
      <c r="A5" s="299">
        <v>25</v>
      </c>
      <c r="B5" s="299" t="s">
        <v>97</v>
      </c>
      <c r="C5" s="299" t="s">
        <v>122</v>
      </c>
      <c r="D5" s="299" t="str">
        <f t="shared" si="0"/>
        <v>20-34 Years</v>
      </c>
      <c r="G5" s="504" t="s">
        <v>1250</v>
      </c>
      <c r="H5">
        <v>12</v>
      </c>
      <c r="I5">
        <v>19</v>
      </c>
      <c r="J5" s="171">
        <v>31</v>
      </c>
      <c r="O5" s="441" t="s">
        <v>85</v>
      </c>
      <c r="P5" s="340"/>
      <c r="Q5" s="340"/>
    </row>
    <row r="6" spans="1:17" ht="15.75" x14ac:dyDescent="0.25">
      <c r="G6" s="504" t="s">
        <v>1251</v>
      </c>
      <c r="H6">
        <v>3</v>
      </c>
      <c r="I6">
        <v>16</v>
      </c>
      <c r="J6" s="171">
        <v>19</v>
      </c>
      <c r="O6" s="441" t="s">
        <v>86</v>
      </c>
      <c r="P6" s="340"/>
      <c r="Q6" s="340"/>
    </row>
    <row r="7" spans="1:17" ht="15.75" x14ac:dyDescent="0.25">
      <c r="A7" s="299">
        <v>48</v>
      </c>
      <c r="B7" s="299" t="s">
        <v>97</v>
      </c>
      <c r="C7" s="299" t="s">
        <v>122</v>
      </c>
      <c r="D7" s="299" t="str">
        <f t="shared" si="0"/>
        <v>35-49 Years</v>
      </c>
      <c r="G7" s="504" t="s">
        <v>1252</v>
      </c>
      <c r="H7">
        <v>31</v>
      </c>
      <c r="I7">
        <v>217</v>
      </c>
      <c r="J7" s="171">
        <v>248</v>
      </c>
      <c r="O7" s="441" t="s">
        <v>87</v>
      </c>
      <c r="P7" s="340"/>
      <c r="Q7" s="340"/>
    </row>
    <row r="8" spans="1:17" ht="15.75" x14ac:dyDescent="0.25">
      <c r="A8" s="299">
        <v>47</v>
      </c>
      <c r="B8" s="299" t="s">
        <v>97</v>
      </c>
      <c r="C8" s="299" t="s">
        <v>122</v>
      </c>
      <c r="D8" s="299" t="str">
        <f t="shared" si="0"/>
        <v>35-49 Years</v>
      </c>
      <c r="G8" s="504" t="s">
        <v>1253</v>
      </c>
      <c r="H8">
        <v>36</v>
      </c>
      <c r="I8">
        <v>71</v>
      </c>
      <c r="J8" s="171">
        <v>107</v>
      </c>
      <c r="O8" s="441" t="s">
        <v>88</v>
      </c>
      <c r="P8" s="340"/>
      <c r="Q8" s="340"/>
    </row>
    <row r="9" spans="1:17" ht="15.75" x14ac:dyDescent="0.25">
      <c r="A9" s="299">
        <v>16</v>
      </c>
      <c r="B9" s="299" t="s">
        <v>97</v>
      </c>
      <c r="C9" s="299" t="s">
        <v>122</v>
      </c>
      <c r="D9" s="299" t="str">
        <f t="shared" si="0"/>
        <v>15-17 Years</v>
      </c>
      <c r="G9" s="504" t="s">
        <v>1254</v>
      </c>
      <c r="H9">
        <v>29</v>
      </c>
      <c r="I9">
        <v>22</v>
      </c>
      <c r="J9" s="171">
        <v>51</v>
      </c>
      <c r="O9" s="441" t="s">
        <v>89</v>
      </c>
      <c r="P9" s="340"/>
      <c r="Q9" s="340"/>
    </row>
    <row r="10" spans="1:17" ht="15.75" x14ac:dyDescent="0.25">
      <c r="A10" s="299">
        <v>62</v>
      </c>
      <c r="B10" s="299" t="s">
        <v>97</v>
      </c>
      <c r="C10" s="299" t="s">
        <v>122</v>
      </c>
      <c r="D10" s="299" t="str">
        <f t="shared" si="0"/>
        <v>60-69 Years</v>
      </c>
      <c r="G10" s="504" t="s">
        <v>1255</v>
      </c>
      <c r="H10">
        <v>16</v>
      </c>
      <c r="I10">
        <v>8</v>
      </c>
      <c r="J10" s="171">
        <v>24</v>
      </c>
      <c r="O10" s="441" t="s">
        <v>90</v>
      </c>
      <c r="P10" s="340"/>
      <c r="Q10" s="340"/>
    </row>
    <row r="11" spans="1:17" ht="15.75" x14ac:dyDescent="0.25">
      <c r="A11" s="299">
        <v>82</v>
      </c>
      <c r="B11" s="299" t="s">
        <v>97</v>
      </c>
      <c r="C11" s="299" t="s">
        <v>122</v>
      </c>
      <c r="D11" s="299" t="str">
        <f t="shared" si="0"/>
        <v>70+ Years</v>
      </c>
      <c r="G11" s="504" t="s">
        <v>1256</v>
      </c>
      <c r="H11">
        <v>27</v>
      </c>
      <c r="I11">
        <v>20</v>
      </c>
      <c r="J11" s="171">
        <v>47</v>
      </c>
      <c r="O11" s="441" t="s">
        <v>91</v>
      </c>
      <c r="P11" s="340"/>
      <c r="Q11" s="340"/>
    </row>
    <row r="12" spans="1:17" ht="15.75" x14ac:dyDescent="0.25">
      <c r="A12" s="299">
        <v>85</v>
      </c>
      <c r="B12" s="299" t="s">
        <v>97</v>
      </c>
      <c r="C12" s="299" t="s">
        <v>122</v>
      </c>
      <c r="D12" s="299" t="str">
        <f t="shared" si="0"/>
        <v>70+ Years</v>
      </c>
      <c r="G12" s="504" t="s">
        <v>1361</v>
      </c>
      <c r="H12">
        <v>26</v>
      </c>
      <c r="I12">
        <v>17</v>
      </c>
      <c r="J12" s="171">
        <v>43</v>
      </c>
      <c r="O12" s="441" t="s">
        <v>92</v>
      </c>
      <c r="P12" s="340"/>
      <c r="Q12" s="340"/>
    </row>
    <row r="13" spans="1:17" ht="15.75" x14ac:dyDescent="0.25">
      <c r="A13" s="299">
        <v>54</v>
      </c>
      <c r="B13" s="299" t="s">
        <v>97</v>
      </c>
      <c r="C13" s="299" t="s">
        <v>122</v>
      </c>
      <c r="D13" s="299" t="str">
        <f t="shared" si="0"/>
        <v>50-59 Years</v>
      </c>
      <c r="G13" s="504" t="s">
        <v>1362</v>
      </c>
      <c r="H13">
        <v>6</v>
      </c>
      <c r="I13">
        <v>1</v>
      </c>
      <c r="J13" s="171">
        <v>7</v>
      </c>
      <c r="O13" s="441" t="s">
        <v>93</v>
      </c>
      <c r="P13" s="340"/>
      <c r="Q13" s="340"/>
    </row>
    <row r="14" spans="1:17" ht="15.75" x14ac:dyDescent="0.25">
      <c r="A14" s="299">
        <v>39</v>
      </c>
      <c r="B14" s="299" t="s">
        <v>97</v>
      </c>
      <c r="C14" s="299" t="s">
        <v>122</v>
      </c>
      <c r="D14" s="299" t="str">
        <f t="shared" si="0"/>
        <v>35-49 Years</v>
      </c>
      <c r="G14" s="504" t="s">
        <v>1363</v>
      </c>
      <c r="H14">
        <v>19</v>
      </c>
      <c r="I14">
        <v>19</v>
      </c>
      <c r="J14" s="171">
        <v>38</v>
      </c>
      <c r="O14" s="441" t="s">
        <v>94</v>
      </c>
      <c r="P14" s="340"/>
      <c r="Q14" s="340"/>
    </row>
    <row r="15" spans="1:17" ht="15.75" x14ac:dyDescent="0.25">
      <c r="A15" s="299">
        <v>80</v>
      </c>
      <c r="B15" s="299" t="s">
        <v>97</v>
      </c>
      <c r="C15" s="299" t="s">
        <v>122</v>
      </c>
      <c r="D15" s="299" t="str">
        <f t="shared" si="0"/>
        <v>70+ Years</v>
      </c>
      <c r="G15" s="504" t="s">
        <v>1364</v>
      </c>
      <c r="H15">
        <v>13</v>
      </c>
      <c r="I15">
        <v>8</v>
      </c>
      <c r="J15" s="171">
        <v>21</v>
      </c>
      <c r="O15" s="441" t="s">
        <v>95</v>
      </c>
      <c r="P15" s="340"/>
      <c r="Q15" s="340"/>
    </row>
    <row r="16" spans="1:17" ht="15.75" x14ac:dyDescent="0.25">
      <c r="A16" s="299">
        <v>16</v>
      </c>
      <c r="B16" s="299" t="s">
        <v>97</v>
      </c>
      <c r="C16" s="299" t="s">
        <v>122</v>
      </c>
      <c r="D16" s="299" t="str">
        <f t="shared" si="0"/>
        <v>15-17 Years</v>
      </c>
      <c r="G16" s="504" t="s">
        <v>1248</v>
      </c>
      <c r="H16">
        <v>225</v>
      </c>
      <c r="I16">
        <v>424</v>
      </c>
      <c r="J16" s="171">
        <v>649</v>
      </c>
      <c r="O16" s="641" t="s">
        <v>1277</v>
      </c>
      <c r="P16" s="642"/>
      <c r="Q16" s="643"/>
    </row>
    <row r="17" spans="1:17" ht="15.75" x14ac:dyDescent="0.25">
      <c r="A17" s="299">
        <v>15</v>
      </c>
      <c r="B17" s="299" t="s">
        <v>97</v>
      </c>
      <c r="C17" s="299" t="s">
        <v>122</v>
      </c>
      <c r="D17" s="299" t="str">
        <f t="shared" si="0"/>
        <v>15-17 Years</v>
      </c>
      <c r="H17"/>
      <c r="I17"/>
      <c r="J17"/>
      <c r="O17" s="266"/>
      <c r="P17" s="266" t="s">
        <v>120</v>
      </c>
      <c r="Q17" s="266" t="s">
        <v>242</v>
      </c>
    </row>
    <row r="18" spans="1:17" ht="15.75" x14ac:dyDescent="0.25">
      <c r="A18" s="299">
        <v>49</v>
      </c>
      <c r="B18" s="299" t="s">
        <v>97</v>
      </c>
      <c r="C18" s="299" t="s">
        <v>122</v>
      </c>
      <c r="D18" s="299" t="str">
        <f t="shared" si="0"/>
        <v>35-49 Years</v>
      </c>
      <c r="H18"/>
      <c r="I18"/>
      <c r="J18"/>
      <c r="O18" s="266" t="s">
        <v>1274</v>
      </c>
      <c r="P18" s="225"/>
      <c r="Q18" s="225"/>
    </row>
    <row r="19" spans="1:17" ht="15.75" x14ac:dyDescent="0.25">
      <c r="A19" s="299">
        <v>44</v>
      </c>
      <c r="B19" s="299" t="s">
        <v>97</v>
      </c>
      <c r="C19" s="299" t="s">
        <v>122</v>
      </c>
      <c r="D19" s="299" t="str">
        <f t="shared" si="0"/>
        <v>35-49 Years</v>
      </c>
      <c r="H19"/>
      <c r="I19"/>
      <c r="J19"/>
      <c r="O19" s="266" t="s">
        <v>1273</v>
      </c>
      <c r="P19" s="225"/>
      <c r="Q19" s="225"/>
    </row>
    <row r="20" spans="1:17" ht="15.75" x14ac:dyDescent="0.25">
      <c r="A20" s="299">
        <v>16</v>
      </c>
      <c r="B20" s="299" t="s">
        <v>97</v>
      </c>
      <c r="C20" s="299" t="s">
        <v>122</v>
      </c>
      <c r="D20" s="299" t="str">
        <f t="shared" si="0"/>
        <v>15-17 Years</v>
      </c>
      <c r="H20"/>
      <c r="I20"/>
      <c r="J20"/>
      <c r="O20" s="266" t="s">
        <v>1275</v>
      </c>
      <c r="P20" s="225"/>
      <c r="Q20" s="225"/>
    </row>
    <row r="21" spans="1:17" ht="15.75" x14ac:dyDescent="0.25">
      <c r="A21" s="299">
        <v>62</v>
      </c>
      <c r="B21" s="299" t="s">
        <v>97</v>
      </c>
      <c r="C21" s="299" t="s">
        <v>122</v>
      </c>
      <c r="D21" s="299" t="str">
        <f t="shared" si="0"/>
        <v>60-69 Years</v>
      </c>
      <c r="H21"/>
      <c r="I21"/>
      <c r="J21"/>
      <c r="O21" s="266" t="s">
        <v>1276</v>
      </c>
      <c r="P21" s="225"/>
      <c r="Q21" s="225"/>
    </row>
    <row r="22" spans="1:17" x14ac:dyDescent="0.25">
      <c r="A22" s="299">
        <v>43</v>
      </c>
      <c r="B22" s="299" t="s">
        <v>97</v>
      </c>
      <c r="C22" s="299" t="s">
        <v>122</v>
      </c>
      <c r="D22" s="299" t="str">
        <f t="shared" si="0"/>
        <v>35-49 Years</v>
      </c>
      <c r="H22"/>
      <c r="I22"/>
      <c r="J22"/>
    </row>
    <row r="23" spans="1:17" x14ac:dyDescent="0.25">
      <c r="A23" s="299">
        <v>40</v>
      </c>
      <c r="B23" s="299" t="s">
        <v>97</v>
      </c>
      <c r="C23" s="299" t="s">
        <v>122</v>
      </c>
      <c r="D23" s="299" t="str">
        <f t="shared" si="0"/>
        <v>35-49 Years</v>
      </c>
      <c r="H23"/>
      <c r="I23"/>
      <c r="J23"/>
    </row>
    <row r="24" spans="1:17" x14ac:dyDescent="0.25">
      <c r="A24" s="299">
        <v>38</v>
      </c>
      <c r="B24" s="299" t="s">
        <v>97</v>
      </c>
      <c r="C24" s="299" t="s">
        <v>122</v>
      </c>
      <c r="D24" s="299" t="str">
        <f t="shared" si="0"/>
        <v>35-49 Years</v>
      </c>
      <c r="H24"/>
      <c r="I24"/>
      <c r="J24"/>
    </row>
    <row r="25" spans="1:17" x14ac:dyDescent="0.25">
      <c r="A25" s="299">
        <v>82</v>
      </c>
      <c r="B25" s="299" t="s">
        <v>97</v>
      </c>
      <c r="C25" s="299" t="s">
        <v>122</v>
      </c>
      <c r="D25" s="299" t="str">
        <f t="shared" si="0"/>
        <v>70+ Years</v>
      </c>
      <c r="H25"/>
      <c r="I25"/>
      <c r="J25"/>
    </row>
    <row r="26" spans="1:17" x14ac:dyDescent="0.25">
      <c r="A26" s="299">
        <v>61</v>
      </c>
      <c r="B26" s="299" t="s">
        <v>97</v>
      </c>
      <c r="C26" s="299" t="s">
        <v>122</v>
      </c>
      <c r="D26" s="299" t="str">
        <f t="shared" si="0"/>
        <v>60-69 Years</v>
      </c>
      <c r="H26"/>
      <c r="I26"/>
      <c r="J26"/>
    </row>
    <row r="27" spans="1:17" x14ac:dyDescent="0.25">
      <c r="A27" s="299">
        <v>37</v>
      </c>
      <c r="B27" s="299" t="s">
        <v>97</v>
      </c>
      <c r="C27" s="299" t="s">
        <v>122</v>
      </c>
      <c r="D27" s="299" t="str">
        <f t="shared" si="0"/>
        <v>35-49 Years</v>
      </c>
      <c r="H27"/>
      <c r="I27"/>
      <c r="J27"/>
    </row>
    <row r="28" spans="1:17" x14ac:dyDescent="0.25">
      <c r="A28" s="299">
        <v>90</v>
      </c>
      <c r="B28" s="299" t="s">
        <v>97</v>
      </c>
      <c r="C28" s="299" t="s">
        <v>122</v>
      </c>
      <c r="D28" s="299" t="str">
        <f t="shared" si="0"/>
        <v>70+ Years</v>
      </c>
      <c r="H28"/>
      <c r="I28"/>
      <c r="J28"/>
    </row>
    <row r="29" spans="1:17" x14ac:dyDescent="0.25">
      <c r="A29" s="299">
        <v>86</v>
      </c>
      <c r="B29" s="299" t="s">
        <v>97</v>
      </c>
      <c r="C29" s="299" t="s">
        <v>122</v>
      </c>
      <c r="D29" s="299" t="str">
        <f t="shared" si="0"/>
        <v>70+ Years</v>
      </c>
      <c r="H29"/>
      <c r="I29"/>
      <c r="J29"/>
    </row>
    <row r="30" spans="1:17" x14ac:dyDescent="0.25">
      <c r="A30" s="299">
        <v>47</v>
      </c>
      <c r="B30" s="299" t="s">
        <v>97</v>
      </c>
      <c r="C30" s="299" t="s">
        <v>122</v>
      </c>
      <c r="D30" s="299" t="str">
        <f t="shared" si="0"/>
        <v>35-49 Years</v>
      </c>
      <c r="H30"/>
      <c r="I30"/>
      <c r="J30"/>
    </row>
    <row r="31" spans="1:17" x14ac:dyDescent="0.25">
      <c r="A31" s="299">
        <v>22</v>
      </c>
      <c r="B31" s="299" t="s">
        <v>97</v>
      </c>
      <c r="C31" s="299" t="s">
        <v>122</v>
      </c>
      <c r="D31" s="299" t="str">
        <f t="shared" si="0"/>
        <v>20-34 Years</v>
      </c>
      <c r="H31"/>
      <c r="I31"/>
      <c r="J31"/>
    </row>
    <row r="32" spans="1:17" x14ac:dyDescent="0.25">
      <c r="A32" s="299">
        <v>49</v>
      </c>
      <c r="B32" s="299" t="s">
        <v>97</v>
      </c>
      <c r="C32" s="299" t="s">
        <v>122</v>
      </c>
      <c r="D32" s="299" t="str">
        <f t="shared" si="0"/>
        <v>35-49 Years</v>
      </c>
      <c r="H32"/>
      <c r="I32"/>
      <c r="J32"/>
    </row>
    <row r="33" spans="1:10" x14ac:dyDescent="0.25">
      <c r="A33" s="299">
        <v>53</v>
      </c>
      <c r="B33" s="299" t="s">
        <v>97</v>
      </c>
      <c r="C33" s="299" t="s">
        <v>122</v>
      </c>
      <c r="D33" s="299" t="str">
        <f t="shared" si="0"/>
        <v>50-59 Years</v>
      </c>
      <c r="H33"/>
      <c r="I33"/>
      <c r="J33"/>
    </row>
    <row r="34" spans="1:10" x14ac:dyDescent="0.25">
      <c r="A34" s="299">
        <v>56</v>
      </c>
      <c r="B34" s="299" t="s">
        <v>97</v>
      </c>
      <c r="C34" s="299" t="s">
        <v>122</v>
      </c>
      <c r="D34" s="299" t="str">
        <f t="shared" si="0"/>
        <v>50-59 Years</v>
      </c>
      <c r="H34"/>
      <c r="I34"/>
      <c r="J34"/>
    </row>
    <row r="35" spans="1:10" x14ac:dyDescent="0.25">
      <c r="A35" s="299">
        <v>77</v>
      </c>
      <c r="B35" s="299" t="s">
        <v>97</v>
      </c>
      <c r="C35" s="299" t="s">
        <v>122</v>
      </c>
      <c r="D35" s="299" t="str">
        <f t="shared" si="0"/>
        <v>70+ Years</v>
      </c>
      <c r="H35"/>
      <c r="I35"/>
      <c r="J35"/>
    </row>
    <row r="36" spans="1:10" x14ac:dyDescent="0.25">
      <c r="A36" s="299">
        <v>37</v>
      </c>
      <c r="B36" s="299" t="s">
        <v>97</v>
      </c>
      <c r="C36" s="299" t="s">
        <v>122</v>
      </c>
      <c r="D36" s="299" t="str">
        <f t="shared" si="0"/>
        <v>35-49 Years</v>
      </c>
      <c r="H36"/>
      <c r="I36"/>
      <c r="J36"/>
    </row>
    <row r="37" spans="1:10" x14ac:dyDescent="0.25">
      <c r="A37" s="299">
        <v>28</v>
      </c>
      <c r="B37" s="299" t="s">
        <v>97</v>
      </c>
      <c r="C37" s="299" t="s">
        <v>122</v>
      </c>
      <c r="D37" s="299" t="str">
        <f t="shared" si="0"/>
        <v>20-34 Years</v>
      </c>
      <c r="H37"/>
      <c r="I37"/>
      <c r="J37"/>
    </row>
    <row r="38" spans="1:10" x14ac:dyDescent="0.25">
      <c r="A38" s="299">
        <v>52</v>
      </c>
      <c r="B38" s="299" t="s">
        <v>97</v>
      </c>
      <c r="C38" s="299" t="s">
        <v>122</v>
      </c>
      <c r="D38" s="299" t="str">
        <f t="shared" si="0"/>
        <v>50-59 Years</v>
      </c>
      <c r="H38"/>
      <c r="I38"/>
      <c r="J38"/>
    </row>
    <row r="39" spans="1:10" ht="15.75" x14ac:dyDescent="0.25">
      <c r="A39" s="299">
        <v>27</v>
      </c>
      <c r="B39" s="299" t="s">
        <v>97</v>
      </c>
      <c r="C39" s="299" t="s">
        <v>122</v>
      </c>
      <c r="D39" s="299" t="str">
        <f t="shared" si="0"/>
        <v>20-34 Years</v>
      </c>
      <c r="G39" s="519"/>
      <c r="H39" s="637"/>
      <c r="I39" s="637"/>
      <c r="J39"/>
    </row>
    <row r="40" spans="1:10" ht="15.75" x14ac:dyDescent="0.25">
      <c r="A40" s="299">
        <v>14</v>
      </c>
      <c r="B40" s="299" t="s">
        <v>97</v>
      </c>
      <c r="C40" s="299" t="s">
        <v>122</v>
      </c>
      <c r="D40" s="299" t="str">
        <f t="shared" si="0"/>
        <v>10-14 Years</v>
      </c>
      <c r="G40" s="519"/>
      <c r="H40" s="520"/>
      <c r="I40" s="520"/>
      <c r="J40"/>
    </row>
    <row r="41" spans="1:10" ht="15.75" x14ac:dyDescent="0.25">
      <c r="A41" s="299">
        <v>34</v>
      </c>
      <c r="B41" s="299" t="s">
        <v>97</v>
      </c>
      <c r="C41" s="299" t="s">
        <v>122</v>
      </c>
      <c r="D41" s="299" t="str">
        <f t="shared" si="0"/>
        <v>20-34 Years</v>
      </c>
      <c r="G41" s="521"/>
      <c r="H41" s="366"/>
      <c r="I41" s="366"/>
      <c r="J41"/>
    </row>
    <row r="42" spans="1:10" ht="15.75" x14ac:dyDescent="0.25">
      <c r="A42" s="299">
        <v>73</v>
      </c>
      <c r="B42" s="299" t="s">
        <v>97</v>
      </c>
      <c r="C42" s="299" t="s">
        <v>122</v>
      </c>
      <c r="D42" s="299" t="str">
        <f t="shared" si="0"/>
        <v>70+ Years</v>
      </c>
      <c r="G42" s="521"/>
      <c r="H42" s="366"/>
      <c r="I42" s="366"/>
      <c r="J42"/>
    </row>
    <row r="43" spans="1:10" ht="15.75" x14ac:dyDescent="0.25">
      <c r="A43" s="299">
        <v>17</v>
      </c>
      <c r="B43" s="299" t="s">
        <v>97</v>
      </c>
      <c r="C43" s="299" t="s">
        <v>122</v>
      </c>
      <c r="D43" s="299" t="str">
        <f t="shared" si="0"/>
        <v>15-17 Years</v>
      </c>
      <c r="G43" s="521"/>
      <c r="H43" s="366"/>
      <c r="I43" s="366"/>
      <c r="J43"/>
    </row>
    <row r="44" spans="1:10" ht="15.75" x14ac:dyDescent="0.25">
      <c r="A44" s="299">
        <v>46</v>
      </c>
      <c r="B44" s="299" t="s">
        <v>97</v>
      </c>
      <c r="C44" s="299" t="s">
        <v>122</v>
      </c>
      <c r="D44" s="299" t="str">
        <f t="shared" si="0"/>
        <v>35-49 Years</v>
      </c>
      <c r="G44" s="521"/>
      <c r="H44" s="366"/>
      <c r="I44" s="366"/>
      <c r="J44"/>
    </row>
    <row r="45" spans="1:10" ht="15.75" x14ac:dyDescent="0.25">
      <c r="A45" s="299">
        <v>55</v>
      </c>
      <c r="B45" s="299" t="s">
        <v>97</v>
      </c>
      <c r="C45" s="299" t="s">
        <v>122</v>
      </c>
      <c r="D45" s="299" t="str">
        <f t="shared" si="0"/>
        <v>50-59 Years</v>
      </c>
      <c r="G45" s="521"/>
      <c r="H45" s="366"/>
      <c r="I45" s="366"/>
      <c r="J45"/>
    </row>
    <row r="46" spans="1:10" ht="15.75" x14ac:dyDescent="0.25">
      <c r="A46" s="299">
        <v>55</v>
      </c>
      <c r="B46" s="299" t="s">
        <v>97</v>
      </c>
      <c r="C46" s="299" t="s">
        <v>122</v>
      </c>
      <c r="D46" s="299" t="str">
        <f t="shared" si="0"/>
        <v>50-59 Years</v>
      </c>
      <c r="G46" s="521"/>
      <c r="H46" s="366"/>
      <c r="I46" s="366"/>
      <c r="J46"/>
    </row>
    <row r="47" spans="1:10" ht="15.75" x14ac:dyDescent="0.25">
      <c r="A47" s="299">
        <v>58</v>
      </c>
      <c r="B47" s="299" t="s">
        <v>97</v>
      </c>
      <c r="C47" s="299" t="s">
        <v>122</v>
      </c>
      <c r="D47" s="299" t="str">
        <f t="shared" si="0"/>
        <v>50-59 Years</v>
      </c>
      <c r="G47" s="521"/>
      <c r="H47" s="366"/>
      <c r="I47" s="366"/>
      <c r="J47"/>
    </row>
    <row r="48" spans="1:10" ht="15.75" x14ac:dyDescent="0.25">
      <c r="A48" s="299">
        <v>15</v>
      </c>
      <c r="B48" s="299" t="s">
        <v>97</v>
      </c>
      <c r="C48" s="299" t="s">
        <v>122</v>
      </c>
      <c r="D48" s="299" t="str">
        <f t="shared" si="0"/>
        <v>15-17 Years</v>
      </c>
      <c r="G48" s="521"/>
      <c r="H48" s="366"/>
      <c r="I48" s="366"/>
      <c r="J48"/>
    </row>
    <row r="49" spans="1:10" ht="15.75" x14ac:dyDescent="0.25">
      <c r="A49" s="299">
        <v>32</v>
      </c>
      <c r="B49" s="299" t="s">
        <v>97</v>
      </c>
      <c r="C49" s="299" t="s">
        <v>122</v>
      </c>
      <c r="D49" s="299" t="str">
        <f t="shared" si="0"/>
        <v>20-34 Years</v>
      </c>
      <c r="G49" s="521"/>
      <c r="H49" s="366"/>
      <c r="I49" s="366"/>
      <c r="J49"/>
    </row>
    <row r="50" spans="1:10" ht="15.75" x14ac:dyDescent="0.25">
      <c r="A50" s="299">
        <v>60</v>
      </c>
      <c r="B50" s="299" t="s">
        <v>97</v>
      </c>
      <c r="C50" s="299" t="s">
        <v>122</v>
      </c>
      <c r="D50" s="299" t="str">
        <f t="shared" si="0"/>
        <v>60-69 Years</v>
      </c>
      <c r="G50" s="521"/>
      <c r="H50" s="366"/>
      <c r="I50" s="366"/>
      <c r="J50"/>
    </row>
    <row r="51" spans="1:10" ht="15.75" x14ac:dyDescent="0.25">
      <c r="A51" s="299">
        <v>39</v>
      </c>
      <c r="B51" s="299" t="s">
        <v>97</v>
      </c>
      <c r="C51" s="299" t="s">
        <v>122</v>
      </c>
      <c r="D51" s="299" t="str">
        <f t="shared" si="0"/>
        <v>35-49 Years</v>
      </c>
      <c r="G51" s="521"/>
      <c r="H51" s="366"/>
      <c r="I51" s="366"/>
      <c r="J51"/>
    </row>
    <row r="52" spans="1:10" ht="15.75" x14ac:dyDescent="0.25">
      <c r="A52" s="299">
        <v>18</v>
      </c>
      <c r="B52" s="299" t="s">
        <v>97</v>
      </c>
      <c r="C52" s="299" t="s">
        <v>122</v>
      </c>
      <c r="D52" s="299" t="str">
        <f t="shared" si="0"/>
        <v>18-19 Years</v>
      </c>
      <c r="G52" s="521"/>
      <c r="H52" s="366"/>
      <c r="I52" s="366"/>
      <c r="J52"/>
    </row>
    <row r="53" spans="1:10" ht="15.75" x14ac:dyDescent="0.25">
      <c r="A53" s="299">
        <v>80</v>
      </c>
      <c r="B53" s="299" t="s">
        <v>97</v>
      </c>
      <c r="C53" s="299" t="s">
        <v>122</v>
      </c>
      <c r="D53" s="299" t="str">
        <f t="shared" si="0"/>
        <v>70+ Years</v>
      </c>
      <c r="G53" s="521"/>
      <c r="H53" s="366"/>
      <c r="I53" s="366"/>
      <c r="J53"/>
    </row>
    <row r="54" spans="1:10" ht="15.75" x14ac:dyDescent="0.25">
      <c r="A54" s="299">
        <v>21</v>
      </c>
      <c r="B54" s="299" t="s">
        <v>97</v>
      </c>
      <c r="C54" s="299" t="s">
        <v>122</v>
      </c>
      <c r="D54" s="299" t="str">
        <f t="shared" si="0"/>
        <v>20-34 Years</v>
      </c>
      <c r="G54" s="519"/>
      <c r="H54" s="519"/>
      <c r="I54" s="519"/>
      <c r="J54"/>
    </row>
    <row r="55" spans="1:10" ht="15.75" x14ac:dyDescent="0.25">
      <c r="A55" s="299">
        <v>45</v>
      </c>
      <c r="B55" s="299" t="s">
        <v>97</v>
      </c>
      <c r="C55" s="299" t="s">
        <v>122</v>
      </c>
      <c r="D55" s="299" t="str">
        <f t="shared" si="0"/>
        <v>35-49 Years</v>
      </c>
      <c r="G55" s="519"/>
      <c r="H55" s="153"/>
      <c r="I55" s="153"/>
      <c r="J55"/>
    </row>
    <row r="56" spans="1:10" ht="15.75" x14ac:dyDescent="0.25">
      <c r="A56" s="299">
        <v>23</v>
      </c>
      <c r="B56" s="299" t="s">
        <v>97</v>
      </c>
      <c r="C56" s="299" t="s">
        <v>122</v>
      </c>
      <c r="D56" s="299" t="str">
        <f t="shared" si="0"/>
        <v>20-34 Years</v>
      </c>
      <c r="G56" s="519"/>
      <c r="H56" s="153"/>
      <c r="I56" s="153"/>
      <c r="J56"/>
    </row>
    <row r="57" spans="1:10" ht="15.75" x14ac:dyDescent="0.25">
      <c r="A57" s="299">
        <v>68</v>
      </c>
      <c r="B57" s="299" t="s">
        <v>97</v>
      </c>
      <c r="C57" s="299" t="s">
        <v>122</v>
      </c>
      <c r="D57" s="299" t="str">
        <f t="shared" si="0"/>
        <v>60-69 Years</v>
      </c>
      <c r="G57" s="519"/>
      <c r="H57" s="153"/>
      <c r="I57" s="153"/>
      <c r="J57"/>
    </row>
    <row r="58" spans="1:10" ht="15.75" x14ac:dyDescent="0.25">
      <c r="A58" s="299">
        <v>17</v>
      </c>
      <c r="B58" s="299" t="s">
        <v>97</v>
      </c>
      <c r="C58" s="299" t="s">
        <v>122</v>
      </c>
      <c r="D58" s="299" t="str">
        <f t="shared" si="0"/>
        <v>15-17 Years</v>
      </c>
      <c r="G58" s="519"/>
      <c r="H58" s="153"/>
      <c r="I58" s="153"/>
      <c r="J58"/>
    </row>
    <row r="59" spans="1:10" x14ac:dyDescent="0.25">
      <c r="A59" s="299">
        <v>83</v>
      </c>
      <c r="B59" s="299" t="s">
        <v>97</v>
      </c>
      <c r="C59" s="299" t="s">
        <v>122</v>
      </c>
      <c r="D59" s="299" t="str">
        <f t="shared" si="0"/>
        <v>70+ Years</v>
      </c>
      <c r="H59"/>
      <c r="I59"/>
      <c r="J59"/>
    </row>
    <row r="60" spans="1:10" x14ac:dyDescent="0.25">
      <c r="A60" s="299">
        <v>45</v>
      </c>
      <c r="B60" s="299" t="s">
        <v>97</v>
      </c>
      <c r="C60" s="299" t="s">
        <v>122</v>
      </c>
      <c r="D60" s="299" t="str">
        <f t="shared" si="0"/>
        <v>35-49 Years</v>
      </c>
      <c r="H60"/>
      <c r="I60"/>
      <c r="J60"/>
    </row>
    <row r="61" spans="1:10" x14ac:dyDescent="0.25">
      <c r="A61" s="299">
        <v>82</v>
      </c>
      <c r="B61" s="299" t="s">
        <v>97</v>
      </c>
      <c r="C61" s="299" t="s">
        <v>122</v>
      </c>
      <c r="D61" s="299" t="str">
        <f t="shared" si="0"/>
        <v>70+ Years</v>
      </c>
    </row>
    <row r="62" spans="1:10" x14ac:dyDescent="0.25">
      <c r="A62" s="299">
        <v>64</v>
      </c>
      <c r="B62" s="299" t="s">
        <v>97</v>
      </c>
      <c r="C62" s="299" t="s">
        <v>122</v>
      </c>
      <c r="D62" s="299" t="str">
        <f t="shared" si="0"/>
        <v>60-69 Years</v>
      </c>
    </row>
    <row r="63" spans="1:10" x14ac:dyDescent="0.25">
      <c r="A63" s="299">
        <v>54</v>
      </c>
      <c r="B63" s="299" t="s">
        <v>97</v>
      </c>
      <c r="C63" s="299" t="s">
        <v>122</v>
      </c>
      <c r="D63" s="299" t="str">
        <f t="shared" si="0"/>
        <v>50-59 Years</v>
      </c>
    </row>
    <row r="64" spans="1:10" x14ac:dyDescent="0.25">
      <c r="A64" s="299">
        <v>58</v>
      </c>
      <c r="B64" s="299" t="s">
        <v>97</v>
      </c>
      <c r="C64" s="299" t="s">
        <v>122</v>
      </c>
      <c r="D64" s="299" t="str">
        <f t="shared" si="0"/>
        <v>50-59 Years</v>
      </c>
    </row>
    <row r="65" spans="1:4" x14ac:dyDescent="0.25">
      <c r="A65" s="299">
        <v>69</v>
      </c>
      <c r="B65" s="299" t="s">
        <v>97</v>
      </c>
      <c r="C65" s="299" t="s">
        <v>122</v>
      </c>
      <c r="D65" s="299" t="str">
        <f t="shared" si="0"/>
        <v>60-69 Years</v>
      </c>
    </row>
    <row r="66" spans="1:4" x14ac:dyDescent="0.25">
      <c r="A66" s="571">
        <v>41</v>
      </c>
      <c r="B66" s="571" t="s">
        <v>98</v>
      </c>
      <c r="C66" s="571" t="s">
        <v>123</v>
      </c>
      <c r="D66" s="299" t="str">
        <f t="shared" ref="D66:D129" si="1">IFERROR(
  IF(OR(RIGHT(UPPER(A66),1)="D", RIGHT(UPPER(A66),3)="DAY", RIGHT(UPPER(A66),4)="DAYS"), "0-28 Days",
  IF(RIGHT(UPPER(A66),3)="MTH", "1-11 Months",
  IF(A66+0&lt;1, "0-28 Days",
  IF(A66+0&lt;5, "1-4 Years",
  IF(A66+0&lt;10, "5-9 Years",
  IF(A66+0&lt;15, "10-14 Years",
  IF(A66+0&lt;18, "15-17 Years",
  IF(A66+0&lt;20, "18-19 Years",
  IF(A66+0&lt;35, "20-34 Years",
  IF(A66+0&lt;50, "35-49 Years",
  IF(A66+0&lt;60, "50-59 Years",
  IF(A66+0&lt;70, "60-69 Years", "70+ Years"
)))))))))))), "Unknown")</f>
        <v>35-49 Years</v>
      </c>
    </row>
    <row r="67" spans="1:4" x14ac:dyDescent="0.25">
      <c r="A67" s="299">
        <v>23</v>
      </c>
      <c r="B67" s="299" t="s">
        <v>98</v>
      </c>
      <c r="C67" s="299" t="s">
        <v>123</v>
      </c>
      <c r="D67" s="299" t="str">
        <f t="shared" si="1"/>
        <v>20-34 Years</v>
      </c>
    </row>
    <row r="68" spans="1:4" x14ac:dyDescent="0.25">
      <c r="A68" s="299">
        <v>13</v>
      </c>
      <c r="B68" s="299" t="s">
        <v>98</v>
      </c>
      <c r="C68" s="299" t="s">
        <v>123</v>
      </c>
      <c r="D68" s="299" t="str">
        <f t="shared" si="1"/>
        <v>10-14 Years</v>
      </c>
    </row>
    <row r="69" spans="1:4" x14ac:dyDescent="0.25">
      <c r="A69" s="299">
        <v>46</v>
      </c>
      <c r="B69" s="299" t="s">
        <v>98</v>
      </c>
      <c r="C69" s="299" t="s">
        <v>123</v>
      </c>
      <c r="D69" s="299" t="str">
        <f t="shared" si="1"/>
        <v>35-49 Years</v>
      </c>
    </row>
    <row r="70" spans="1:4" x14ac:dyDescent="0.25">
      <c r="A70" s="299">
        <v>39</v>
      </c>
      <c r="B70" s="299" t="s">
        <v>98</v>
      </c>
      <c r="C70" s="299" t="s">
        <v>123</v>
      </c>
      <c r="D70" s="299" t="str">
        <f t="shared" si="1"/>
        <v>35-49 Years</v>
      </c>
    </row>
    <row r="71" spans="1:4" x14ac:dyDescent="0.25">
      <c r="A71" s="299">
        <v>17</v>
      </c>
      <c r="B71" s="299" t="s">
        <v>98</v>
      </c>
      <c r="C71" s="299" t="s">
        <v>123</v>
      </c>
      <c r="D71" s="299" t="str">
        <f t="shared" si="1"/>
        <v>15-17 Years</v>
      </c>
    </row>
    <row r="72" spans="1:4" x14ac:dyDescent="0.25">
      <c r="A72" s="299">
        <v>38</v>
      </c>
      <c r="B72" s="299" t="s">
        <v>98</v>
      </c>
      <c r="C72" s="299" t="s">
        <v>123</v>
      </c>
      <c r="D72" s="299" t="str">
        <f t="shared" si="1"/>
        <v>35-49 Years</v>
      </c>
    </row>
    <row r="73" spans="1:4" x14ac:dyDescent="0.25">
      <c r="A73" s="299">
        <v>26</v>
      </c>
      <c r="B73" s="299" t="s">
        <v>98</v>
      </c>
      <c r="C73" s="299" t="s">
        <v>123</v>
      </c>
      <c r="D73" s="299" t="str">
        <f t="shared" si="1"/>
        <v>20-34 Years</v>
      </c>
    </row>
    <row r="74" spans="1:4" x14ac:dyDescent="0.25">
      <c r="A74" s="299">
        <v>66</v>
      </c>
      <c r="B74" s="299" t="s">
        <v>98</v>
      </c>
      <c r="C74" s="299" t="s">
        <v>123</v>
      </c>
      <c r="D74" s="299" t="str">
        <f t="shared" si="1"/>
        <v>60-69 Years</v>
      </c>
    </row>
    <row r="75" spans="1:4" x14ac:dyDescent="0.25">
      <c r="A75" s="299">
        <v>66</v>
      </c>
      <c r="B75" s="299" t="s">
        <v>98</v>
      </c>
      <c r="C75" s="299" t="s">
        <v>123</v>
      </c>
      <c r="D75" s="299" t="str">
        <f t="shared" si="1"/>
        <v>60-69 Years</v>
      </c>
    </row>
    <row r="76" spans="1:4" x14ac:dyDescent="0.25">
      <c r="A76" s="503">
        <v>86</v>
      </c>
      <c r="B76" s="299" t="s">
        <v>98</v>
      </c>
      <c r="C76" s="299" t="s">
        <v>123</v>
      </c>
      <c r="D76" s="503" t="str">
        <f t="shared" si="1"/>
        <v>70+ Years</v>
      </c>
    </row>
    <row r="77" spans="1:4" x14ac:dyDescent="0.25">
      <c r="A77" s="299">
        <v>18</v>
      </c>
      <c r="B77" s="299" t="s">
        <v>98</v>
      </c>
      <c r="C77" s="299" t="s">
        <v>123</v>
      </c>
      <c r="D77" s="299" t="str">
        <f t="shared" si="1"/>
        <v>18-19 Years</v>
      </c>
    </row>
    <row r="78" spans="1:4" x14ac:dyDescent="0.25">
      <c r="A78" s="299">
        <v>21</v>
      </c>
      <c r="B78" s="299" t="s">
        <v>98</v>
      </c>
      <c r="C78" s="299" t="s">
        <v>123</v>
      </c>
      <c r="D78" s="299" t="str">
        <f t="shared" si="1"/>
        <v>20-34 Years</v>
      </c>
    </row>
    <row r="79" spans="1:4" x14ac:dyDescent="0.25">
      <c r="A79" s="299">
        <v>58</v>
      </c>
      <c r="B79" s="299" t="s">
        <v>98</v>
      </c>
      <c r="C79" s="299" t="s">
        <v>123</v>
      </c>
      <c r="D79" s="299" t="str">
        <f t="shared" si="1"/>
        <v>50-59 Years</v>
      </c>
    </row>
    <row r="80" spans="1:4" x14ac:dyDescent="0.25">
      <c r="A80" s="299">
        <v>47</v>
      </c>
      <c r="B80" s="299" t="s">
        <v>98</v>
      </c>
      <c r="C80" s="299" t="s">
        <v>123</v>
      </c>
      <c r="D80" s="299" t="str">
        <f t="shared" si="1"/>
        <v>35-49 Years</v>
      </c>
    </row>
    <row r="81" spans="1:4" x14ac:dyDescent="0.25">
      <c r="A81" s="299">
        <v>72</v>
      </c>
      <c r="B81" s="299" t="s">
        <v>98</v>
      </c>
      <c r="C81" s="299" t="s">
        <v>123</v>
      </c>
      <c r="D81" s="299" t="str">
        <f t="shared" si="1"/>
        <v>70+ Years</v>
      </c>
    </row>
    <row r="82" spans="1:4" x14ac:dyDescent="0.25">
      <c r="A82" s="299">
        <v>74</v>
      </c>
      <c r="B82" s="299" t="s">
        <v>98</v>
      </c>
      <c r="C82" s="299" t="s">
        <v>123</v>
      </c>
      <c r="D82" s="299" t="str">
        <f t="shared" si="1"/>
        <v>70+ Years</v>
      </c>
    </row>
    <row r="83" spans="1:4" x14ac:dyDescent="0.25">
      <c r="A83" s="299">
        <v>87</v>
      </c>
      <c r="B83" s="299" t="s">
        <v>98</v>
      </c>
      <c r="C83" s="299" t="s">
        <v>123</v>
      </c>
      <c r="D83" s="299" t="str">
        <f t="shared" si="1"/>
        <v>70+ Years</v>
      </c>
    </row>
    <row r="84" spans="1:4" x14ac:dyDescent="0.25">
      <c r="A84" s="299">
        <v>18</v>
      </c>
      <c r="B84" s="299" t="s">
        <v>98</v>
      </c>
      <c r="C84" s="299" t="s">
        <v>123</v>
      </c>
      <c r="D84" s="299" t="str">
        <f t="shared" si="1"/>
        <v>18-19 Years</v>
      </c>
    </row>
    <row r="85" spans="1:4" x14ac:dyDescent="0.25">
      <c r="A85" s="299">
        <v>75</v>
      </c>
      <c r="B85" s="299" t="s">
        <v>98</v>
      </c>
      <c r="C85" s="299" t="s">
        <v>123</v>
      </c>
      <c r="D85" s="299" t="str">
        <f t="shared" si="1"/>
        <v>70+ Years</v>
      </c>
    </row>
    <row r="86" spans="1:4" x14ac:dyDescent="0.25">
      <c r="A86" s="299">
        <v>76</v>
      </c>
      <c r="B86" s="299" t="s">
        <v>98</v>
      </c>
      <c r="C86" s="299" t="s">
        <v>123</v>
      </c>
      <c r="D86" s="299" t="str">
        <f t="shared" si="1"/>
        <v>70+ Years</v>
      </c>
    </row>
    <row r="87" spans="1:4" x14ac:dyDescent="0.25">
      <c r="A87" s="299">
        <v>50</v>
      </c>
      <c r="B87" s="299" t="s">
        <v>98</v>
      </c>
      <c r="C87" s="299" t="s">
        <v>123</v>
      </c>
      <c r="D87" s="299" t="str">
        <f t="shared" si="1"/>
        <v>50-59 Years</v>
      </c>
    </row>
    <row r="88" spans="1:4" x14ac:dyDescent="0.25">
      <c r="A88" s="299">
        <v>25</v>
      </c>
      <c r="B88" s="299" t="s">
        <v>98</v>
      </c>
      <c r="C88" s="299" t="s">
        <v>123</v>
      </c>
      <c r="D88" s="299" t="str">
        <f t="shared" si="1"/>
        <v>20-34 Years</v>
      </c>
    </row>
    <row r="89" spans="1:4" x14ac:dyDescent="0.25">
      <c r="A89" s="299">
        <v>85</v>
      </c>
      <c r="B89" s="299" t="s">
        <v>98</v>
      </c>
      <c r="C89" s="299" t="s">
        <v>123</v>
      </c>
      <c r="D89" s="299" t="str">
        <f t="shared" si="1"/>
        <v>70+ Years</v>
      </c>
    </row>
    <row r="90" spans="1:4" x14ac:dyDescent="0.25">
      <c r="A90" s="299">
        <v>45</v>
      </c>
      <c r="B90" s="299" t="s">
        <v>98</v>
      </c>
      <c r="C90" s="299" t="s">
        <v>123</v>
      </c>
      <c r="D90" s="299" t="str">
        <f t="shared" si="1"/>
        <v>35-49 Years</v>
      </c>
    </row>
    <row r="91" spans="1:4" x14ac:dyDescent="0.25">
      <c r="A91" s="299">
        <v>85</v>
      </c>
      <c r="B91" s="299" t="s">
        <v>98</v>
      </c>
      <c r="C91" s="299" t="s">
        <v>123</v>
      </c>
      <c r="D91" s="299" t="str">
        <f t="shared" si="1"/>
        <v>70+ Years</v>
      </c>
    </row>
    <row r="92" spans="1:4" x14ac:dyDescent="0.25">
      <c r="A92" s="299">
        <v>35</v>
      </c>
      <c r="B92" s="299" t="s">
        <v>98</v>
      </c>
      <c r="C92" s="299" t="s">
        <v>123</v>
      </c>
      <c r="D92" s="299" t="str">
        <f t="shared" si="1"/>
        <v>35-49 Years</v>
      </c>
    </row>
    <row r="93" spans="1:4" x14ac:dyDescent="0.25">
      <c r="A93" s="299">
        <v>59</v>
      </c>
      <c r="B93" s="299" t="s">
        <v>98</v>
      </c>
      <c r="C93" s="299" t="s">
        <v>123</v>
      </c>
      <c r="D93" s="299" t="str">
        <f t="shared" si="1"/>
        <v>50-59 Years</v>
      </c>
    </row>
    <row r="94" spans="1:4" x14ac:dyDescent="0.25">
      <c r="A94" s="299">
        <v>48</v>
      </c>
      <c r="B94" s="299" t="s">
        <v>98</v>
      </c>
      <c r="C94" s="299" t="s">
        <v>123</v>
      </c>
      <c r="D94" s="299" t="str">
        <f t="shared" si="1"/>
        <v>35-49 Years</v>
      </c>
    </row>
    <row r="95" spans="1:4" x14ac:dyDescent="0.25">
      <c r="A95" s="503">
        <v>24</v>
      </c>
      <c r="B95" s="299" t="s">
        <v>98</v>
      </c>
      <c r="C95" s="299" t="s">
        <v>123</v>
      </c>
      <c r="D95" s="299" t="str">
        <f t="shared" si="1"/>
        <v>20-34 Years</v>
      </c>
    </row>
    <row r="96" spans="1:4" x14ac:dyDescent="0.25">
      <c r="A96" s="299">
        <v>46</v>
      </c>
      <c r="B96" s="299" t="s">
        <v>98</v>
      </c>
      <c r="C96" s="299" t="s">
        <v>123</v>
      </c>
      <c r="D96" s="299" t="str">
        <f t="shared" si="1"/>
        <v>35-49 Years</v>
      </c>
    </row>
    <row r="97" spans="1:4" x14ac:dyDescent="0.25">
      <c r="A97" s="299">
        <v>25</v>
      </c>
      <c r="B97" s="299" t="s">
        <v>98</v>
      </c>
      <c r="C97" s="299" t="s">
        <v>123</v>
      </c>
      <c r="D97" s="299" t="str">
        <f t="shared" si="1"/>
        <v>20-34 Years</v>
      </c>
    </row>
    <row r="98" spans="1:4" x14ac:dyDescent="0.25">
      <c r="A98" s="299">
        <v>27</v>
      </c>
      <c r="B98" s="299" t="s">
        <v>98</v>
      </c>
      <c r="C98" s="299" t="s">
        <v>123</v>
      </c>
      <c r="D98" s="299" t="str">
        <f t="shared" si="1"/>
        <v>20-34 Years</v>
      </c>
    </row>
    <row r="99" spans="1:4" x14ac:dyDescent="0.25">
      <c r="A99" s="299">
        <v>72</v>
      </c>
      <c r="B99" s="299" t="s">
        <v>98</v>
      </c>
      <c r="C99" s="299" t="s">
        <v>123</v>
      </c>
      <c r="D99" s="299" t="str">
        <f t="shared" si="1"/>
        <v>70+ Years</v>
      </c>
    </row>
    <row r="100" spans="1:4" x14ac:dyDescent="0.25">
      <c r="A100" s="299">
        <v>17</v>
      </c>
      <c r="B100" s="299" t="s">
        <v>98</v>
      </c>
      <c r="C100" s="299" t="s">
        <v>123</v>
      </c>
      <c r="D100" s="299" t="str">
        <f t="shared" si="1"/>
        <v>15-17 Years</v>
      </c>
    </row>
    <row r="101" spans="1:4" x14ac:dyDescent="0.25">
      <c r="A101" s="299">
        <v>60</v>
      </c>
      <c r="B101" s="299" t="s">
        <v>98</v>
      </c>
      <c r="C101" s="299" t="s">
        <v>123</v>
      </c>
      <c r="D101" s="299" t="str">
        <f t="shared" si="1"/>
        <v>60-69 Years</v>
      </c>
    </row>
    <row r="102" spans="1:4" x14ac:dyDescent="0.25">
      <c r="A102" s="299">
        <v>24</v>
      </c>
      <c r="B102" s="299" t="s">
        <v>98</v>
      </c>
      <c r="C102" s="299" t="s">
        <v>123</v>
      </c>
      <c r="D102" s="299" t="str">
        <f t="shared" si="1"/>
        <v>20-34 Years</v>
      </c>
    </row>
    <row r="103" spans="1:4" x14ac:dyDescent="0.25">
      <c r="A103" s="299">
        <v>33</v>
      </c>
      <c r="B103" s="299" t="s">
        <v>98</v>
      </c>
      <c r="C103" s="299" t="s">
        <v>123</v>
      </c>
      <c r="D103" s="299" t="str">
        <f t="shared" si="1"/>
        <v>20-34 Years</v>
      </c>
    </row>
    <row r="104" spans="1:4" x14ac:dyDescent="0.25">
      <c r="A104" s="299">
        <v>16</v>
      </c>
      <c r="B104" s="299" t="s">
        <v>98</v>
      </c>
      <c r="C104" s="299" t="s">
        <v>123</v>
      </c>
      <c r="D104" s="299" t="str">
        <f t="shared" si="1"/>
        <v>15-17 Years</v>
      </c>
    </row>
    <row r="105" spans="1:4" x14ac:dyDescent="0.25">
      <c r="A105" s="299">
        <v>49</v>
      </c>
      <c r="B105" s="299" t="s">
        <v>98</v>
      </c>
      <c r="C105" s="299" t="s">
        <v>123</v>
      </c>
      <c r="D105" s="299" t="str">
        <f t="shared" si="1"/>
        <v>35-49 Years</v>
      </c>
    </row>
    <row r="106" spans="1:4" x14ac:dyDescent="0.25">
      <c r="A106" s="299">
        <v>16</v>
      </c>
      <c r="B106" s="299" t="s">
        <v>98</v>
      </c>
      <c r="C106" s="299" t="s">
        <v>123</v>
      </c>
      <c r="D106" s="299" t="str">
        <f t="shared" si="1"/>
        <v>15-17 Years</v>
      </c>
    </row>
    <row r="107" spans="1:4" x14ac:dyDescent="0.25">
      <c r="A107" s="299">
        <v>86</v>
      </c>
      <c r="B107" s="299" t="s">
        <v>98</v>
      </c>
      <c r="C107" s="299" t="s">
        <v>123</v>
      </c>
      <c r="D107" s="299" t="str">
        <f t="shared" si="1"/>
        <v>70+ Years</v>
      </c>
    </row>
    <row r="108" spans="1:4" x14ac:dyDescent="0.25">
      <c r="A108" s="299">
        <v>75</v>
      </c>
      <c r="B108" s="299" t="s">
        <v>98</v>
      </c>
      <c r="C108" s="299" t="s">
        <v>123</v>
      </c>
      <c r="D108" s="299" t="str">
        <f t="shared" si="1"/>
        <v>70+ Years</v>
      </c>
    </row>
    <row r="109" spans="1:4" x14ac:dyDescent="0.25">
      <c r="A109" s="299">
        <v>20</v>
      </c>
      <c r="B109" s="299" t="s">
        <v>98</v>
      </c>
      <c r="C109" s="299" t="s">
        <v>123</v>
      </c>
      <c r="D109" s="299" t="str">
        <f t="shared" si="1"/>
        <v>20-34 Years</v>
      </c>
    </row>
    <row r="110" spans="1:4" x14ac:dyDescent="0.25">
      <c r="A110" s="299">
        <v>86</v>
      </c>
      <c r="B110" s="299" t="s">
        <v>98</v>
      </c>
      <c r="C110" s="299" t="s">
        <v>123</v>
      </c>
      <c r="D110" s="299" t="str">
        <f t="shared" si="1"/>
        <v>70+ Years</v>
      </c>
    </row>
    <row r="111" spans="1:4" x14ac:dyDescent="0.25">
      <c r="A111" s="299">
        <v>33</v>
      </c>
      <c r="B111" s="299" t="s">
        <v>98</v>
      </c>
      <c r="C111" s="299" t="s">
        <v>123</v>
      </c>
      <c r="D111" s="299" t="str">
        <f t="shared" si="1"/>
        <v>20-34 Years</v>
      </c>
    </row>
    <row r="112" spans="1:4" x14ac:dyDescent="0.25">
      <c r="A112" s="299">
        <v>72</v>
      </c>
      <c r="B112" s="299" t="s">
        <v>98</v>
      </c>
      <c r="C112" s="299" t="s">
        <v>123</v>
      </c>
      <c r="D112" s="299" t="str">
        <f t="shared" si="1"/>
        <v>70+ Years</v>
      </c>
    </row>
    <row r="113" spans="1:4" x14ac:dyDescent="0.25">
      <c r="A113" s="299">
        <v>33</v>
      </c>
      <c r="B113" s="299" t="s">
        <v>98</v>
      </c>
      <c r="C113" s="299" t="s">
        <v>123</v>
      </c>
      <c r="D113" s="299" t="str">
        <f t="shared" si="1"/>
        <v>20-34 Years</v>
      </c>
    </row>
    <row r="114" spans="1:4" x14ac:dyDescent="0.25">
      <c r="A114" s="299">
        <v>52</v>
      </c>
      <c r="B114" s="299" t="s">
        <v>98</v>
      </c>
      <c r="C114" s="299" t="s">
        <v>123</v>
      </c>
      <c r="D114" s="299" t="str">
        <f t="shared" si="1"/>
        <v>50-59 Years</v>
      </c>
    </row>
    <row r="115" spans="1:4" x14ac:dyDescent="0.25">
      <c r="A115" s="299">
        <v>37</v>
      </c>
      <c r="B115" s="299" t="s">
        <v>98</v>
      </c>
      <c r="C115" s="299" t="s">
        <v>123</v>
      </c>
      <c r="D115" s="299" t="str">
        <f t="shared" si="1"/>
        <v>35-49 Years</v>
      </c>
    </row>
    <row r="116" spans="1:4" x14ac:dyDescent="0.25">
      <c r="A116" s="299">
        <v>54</v>
      </c>
      <c r="B116" s="299" t="s">
        <v>98</v>
      </c>
      <c r="C116" s="299" t="s">
        <v>123</v>
      </c>
      <c r="D116" s="299" t="str">
        <f t="shared" si="1"/>
        <v>50-59 Years</v>
      </c>
    </row>
    <row r="117" spans="1:4" x14ac:dyDescent="0.25">
      <c r="A117" s="299">
        <v>60</v>
      </c>
      <c r="B117" s="299" t="s">
        <v>98</v>
      </c>
      <c r="C117" s="299" t="s">
        <v>123</v>
      </c>
      <c r="D117" s="299" t="str">
        <f t="shared" si="1"/>
        <v>60-69 Years</v>
      </c>
    </row>
    <row r="118" spans="1:4" x14ac:dyDescent="0.25">
      <c r="A118" s="299">
        <v>25</v>
      </c>
      <c r="B118" s="299" t="s">
        <v>98</v>
      </c>
      <c r="C118" s="299" t="s">
        <v>123</v>
      </c>
      <c r="D118" s="299" t="str">
        <f t="shared" si="1"/>
        <v>20-34 Years</v>
      </c>
    </row>
    <row r="119" spans="1:4" x14ac:dyDescent="0.25">
      <c r="A119" s="299">
        <v>59</v>
      </c>
      <c r="B119" s="299" t="s">
        <v>98</v>
      </c>
      <c r="C119" s="299" t="s">
        <v>123</v>
      </c>
      <c r="D119" s="299" t="str">
        <f t="shared" si="1"/>
        <v>50-59 Years</v>
      </c>
    </row>
    <row r="120" spans="1:4" x14ac:dyDescent="0.25">
      <c r="A120" s="299">
        <v>56</v>
      </c>
      <c r="B120" s="299" t="s">
        <v>98</v>
      </c>
      <c r="C120" s="299" t="s">
        <v>123</v>
      </c>
      <c r="D120" s="299" t="str">
        <f t="shared" si="1"/>
        <v>50-59 Years</v>
      </c>
    </row>
    <row r="121" spans="1:4" x14ac:dyDescent="0.25">
      <c r="A121" s="299">
        <v>18</v>
      </c>
      <c r="B121" s="299" t="s">
        <v>98</v>
      </c>
      <c r="C121" s="299" t="s">
        <v>123</v>
      </c>
      <c r="D121" s="299" t="str">
        <f t="shared" si="1"/>
        <v>18-19 Years</v>
      </c>
    </row>
    <row r="122" spans="1:4" x14ac:dyDescent="0.25">
      <c r="A122" s="299">
        <v>21</v>
      </c>
      <c r="B122" s="299" t="s">
        <v>98</v>
      </c>
      <c r="C122" s="299" t="s">
        <v>123</v>
      </c>
      <c r="D122" s="299" t="str">
        <f t="shared" si="1"/>
        <v>20-34 Years</v>
      </c>
    </row>
    <row r="123" spans="1:4" x14ac:dyDescent="0.25">
      <c r="A123" s="299">
        <v>57</v>
      </c>
      <c r="B123" s="299" t="s">
        <v>98</v>
      </c>
      <c r="C123" s="299" t="s">
        <v>123</v>
      </c>
      <c r="D123" s="299" t="str">
        <f t="shared" si="1"/>
        <v>50-59 Years</v>
      </c>
    </row>
    <row r="124" spans="1:4" x14ac:dyDescent="0.25">
      <c r="A124" s="299">
        <v>38</v>
      </c>
      <c r="B124" s="299" t="s">
        <v>98</v>
      </c>
      <c r="C124" s="299" t="s">
        <v>123</v>
      </c>
      <c r="D124" s="299" t="str">
        <f t="shared" si="1"/>
        <v>35-49 Years</v>
      </c>
    </row>
    <row r="125" spans="1:4" x14ac:dyDescent="0.25">
      <c r="A125" s="299">
        <v>43</v>
      </c>
      <c r="B125" s="299" t="s">
        <v>98</v>
      </c>
      <c r="C125" s="299" t="s">
        <v>123</v>
      </c>
      <c r="D125" s="299" t="str">
        <f t="shared" si="1"/>
        <v>35-49 Years</v>
      </c>
    </row>
    <row r="126" spans="1:4" x14ac:dyDescent="0.25">
      <c r="A126" s="299">
        <v>53</v>
      </c>
      <c r="B126" s="299" t="s">
        <v>98</v>
      </c>
      <c r="C126" s="299" t="s">
        <v>123</v>
      </c>
      <c r="D126" s="299" t="str">
        <f t="shared" si="1"/>
        <v>50-59 Years</v>
      </c>
    </row>
    <row r="127" spans="1:4" x14ac:dyDescent="0.25">
      <c r="A127" s="299">
        <v>46</v>
      </c>
      <c r="B127" s="299" t="s">
        <v>98</v>
      </c>
      <c r="C127" s="299" t="s">
        <v>123</v>
      </c>
      <c r="D127" s="299" t="str">
        <f t="shared" si="1"/>
        <v>35-49 Years</v>
      </c>
    </row>
    <row r="128" spans="1:4" x14ac:dyDescent="0.25">
      <c r="A128" s="299">
        <v>14</v>
      </c>
      <c r="B128" s="299" t="s">
        <v>98</v>
      </c>
      <c r="C128" s="299" t="s">
        <v>123</v>
      </c>
      <c r="D128" s="299" t="str">
        <f t="shared" si="1"/>
        <v>10-14 Years</v>
      </c>
    </row>
    <row r="129" spans="1:4" x14ac:dyDescent="0.25">
      <c r="A129" s="299">
        <v>55</v>
      </c>
      <c r="B129" s="299" t="s">
        <v>98</v>
      </c>
      <c r="C129" s="299" t="s">
        <v>123</v>
      </c>
      <c r="D129" s="299" t="str">
        <f t="shared" si="1"/>
        <v>50-59 Years</v>
      </c>
    </row>
    <row r="130" spans="1:4" x14ac:dyDescent="0.25">
      <c r="A130" s="299">
        <v>46</v>
      </c>
      <c r="B130" s="299" t="s">
        <v>98</v>
      </c>
      <c r="C130" s="299" t="s">
        <v>123</v>
      </c>
      <c r="D130" s="299" t="str">
        <f t="shared" ref="D130:D193" si="2">IFERROR(
  IF(OR(RIGHT(UPPER(A130),1)="D", RIGHT(UPPER(A130),3)="DAY", RIGHT(UPPER(A130),4)="DAYS"), "0-28 Days",
  IF(RIGHT(UPPER(A130),3)="MTH", "1-11 Months",
  IF(A130+0&lt;1, "0-28 Days",
  IF(A130+0&lt;5, "1-4 Years",
  IF(A130+0&lt;10, "5-9 Years",
  IF(A130+0&lt;15, "10-14 Years",
  IF(A130+0&lt;18, "15-17 Years",
  IF(A130+0&lt;20, "18-19 Years",
  IF(A130+0&lt;35, "20-34 Years",
  IF(A130+0&lt;50, "35-49 Years",
  IF(A130+0&lt;60, "50-59 Years",
  IF(A130+0&lt;70, "60-69 Years", "70+ Years"
)))))))))))), "Unknown")</f>
        <v>35-49 Years</v>
      </c>
    </row>
    <row r="131" spans="1:4" x14ac:dyDescent="0.25">
      <c r="A131" s="299">
        <v>43</v>
      </c>
      <c r="B131" s="299" t="s">
        <v>98</v>
      </c>
      <c r="C131" s="299" t="s">
        <v>123</v>
      </c>
      <c r="D131" s="299" t="str">
        <f t="shared" si="2"/>
        <v>35-49 Years</v>
      </c>
    </row>
    <row r="132" spans="1:4" x14ac:dyDescent="0.25">
      <c r="A132" s="299">
        <v>41</v>
      </c>
      <c r="B132" s="299" t="s">
        <v>98</v>
      </c>
      <c r="C132" s="299" t="s">
        <v>123</v>
      </c>
      <c r="D132" s="299" t="str">
        <f t="shared" si="2"/>
        <v>35-49 Years</v>
      </c>
    </row>
    <row r="133" spans="1:4" x14ac:dyDescent="0.25">
      <c r="A133" s="299">
        <v>57</v>
      </c>
      <c r="B133" s="299" t="s">
        <v>98</v>
      </c>
      <c r="C133" s="299" t="s">
        <v>123</v>
      </c>
      <c r="D133" s="299" t="str">
        <f t="shared" si="2"/>
        <v>50-59 Years</v>
      </c>
    </row>
    <row r="134" spans="1:4" x14ac:dyDescent="0.25">
      <c r="A134" s="299">
        <v>26</v>
      </c>
      <c r="B134" s="299" t="s">
        <v>98</v>
      </c>
      <c r="C134" s="299" t="s">
        <v>123</v>
      </c>
      <c r="D134" s="299" t="str">
        <f t="shared" si="2"/>
        <v>20-34 Years</v>
      </c>
    </row>
    <row r="135" spans="1:4" x14ac:dyDescent="0.25">
      <c r="A135" s="299">
        <v>88</v>
      </c>
      <c r="B135" s="299" t="s">
        <v>98</v>
      </c>
      <c r="C135" s="299" t="s">
        <v>123</v>
      </c>
      <c r="D135" s="299" t="str">
        <f t="shared" si="2"/>
        <v>70+ Years</v>
      </c>
    </row>
    <row r="136" spans="1:4" x14ac:dyDescent="0.25">
      <c r="A136" s="299">
        <v>88</v>
      </c>
      <c r="B136" s="299" t="s">
        <v>98</v>
      </c>
      <c r="C136" s="299" t="s">
        <v>123</v>
      </c>
      <c r="D136" s="299" t="str">
        <f t="shared" si="2"/>
        <v>70+ Years</v>
      </c>
    </row>
    <row r="137" spans="1:4" x14ac:dyDescent="0.25">
      <c r="A137" s="299">
        <v>4</v>
      </c>
      <c r="B137" s="299" t="s">
        <v>98</v>
      </c>
      <c r="C137" s="299" t="s">
        <v>134</v>
      </c>
      <c r="D137" s="299" t="str">
        <f t="shared" si="2"/>
        <v>1-4 Years</v>
      </c>
    </row>
    <row r="138" spans="1:4" x14ac:dyDescent="0.25">
      <c r="A138" s="299">
        <v>4</v>
      </c>
      <c r="B138" s="299" t="s">
        <v>98</v>
      </c>
      <c r="C138" s="299" t="s">
        <v>134</v>
      </c>
      <c r="D138" s="299" t="str">
        <f t="shared" si="2"/>
        <v>1-4 Years</v>
      </c>
    </row>
    <row r="139" spans="1:4" x14ac:dyDescent="0.25">
      <c r="A139" s="299" t="s">
        <v>1342</v>
      </c>
      <c r="B139" s="299" t="s">
        <v>97</v>
      </c>
      <c r="C139" s="299" t="s">
        <v>134</v>
      </c>
      <c r="D139" s="299" t="str">
        <f t="shared" si="2"/>
        <v>1-11 Months</v>
      </c>
    </row>
    <row r="140" spans="1:4" x14ac:dyDescent="0.25">
      <c r="A140" s="299">
        <v>3</v>
      </c>
      <c r="B140" s="299" t="s">
        <v>98</v>
      </c>
      <c r="C140" s="299" t="s">
        <v>134</v>
      </c>
      <c r="D140" s="299" t="str">
        <f t="shared" si="2"/>
        <v>1-4 Years</v>
      </c>
    </row>
    <row r="141" spans="1:4" x14ac:dyDescent="0.25">
      <c r="A141" s="299">
        <v>10</v>
      </c>
      <c r="B141" s="299" t="s">
        <v>97</v>
      </c>
      <c r="C141" s="299" t="s">
        <v>134</v>
      </c>
      <c r="D141" s="299" t="str">
        <f t="shared" si="2"/>
        <v>10-14 Years</v>
      </c>
    </row>
    <row r="142" spans="1:4" x14ac:dyDescent="0.25">
      <c r="A142" s="299">
        <v>5</v>
      </c>
      <c r="B142" s="299" t="s">
        <v>97</v>
      </c>
      <c r="C142" s="299" t="s">
        <v>134</v>
      </c>
      <c r="D142" s="299" t="str">
        <f t="shared" si="2"/>
        <v>5-9 Years</v>
      </c>
    </row>
    <row r="143" spans="1:4" x14ac:dyDescent="0.25">
      <c r="A143" s="299">
        <v>5</v>
      </c>
      <c r="B143" s="299" t="s">
        <v>98</v>
      </c>
      <c r="C143" s="299" t="s">
        <v>134</v>
      </c>
      <c r="D143" s="299" t="str">
        <f t="shared" si="2"/>
        <v>5-9 Years</v>
      </c>
    </row>
    <row r="144" spans="1:4" x14ac:dyDescent="0.25">
      <c r="A144" s="299" t="s">
        <v>1102</v>
      </c>
      <c r="B144" s="299" t="s">
        <v>97</v>
      </c>
      <c r="C144" s="299" t="s">
        <v>134</v>
      </c>
      <c r="D144" s="299" t="str">
        <f t="shared" si="2"/>
        <v>1-11 Months</v>
      </c>
    </row>
    <row r="145" spans="1:4" x14ac:dyDescent="0.25">
      <c r="A145" s="299" t="s">
        <v>1097</v>
      </c>
      <c r="B145" s="299" t="s">
        <v>97</v>
      </c>
      <c r="C145" s="299" t="s">
        <v>134</v>
      </c>
      <c r="D145" s="299" t="str">
        <f t="shared" si="2"/>
        <v>1-11 Months</v>
      </c>
    </row>
    <row r="146" spans="1:4" x14ac:dyDescent="0.25">
      <c r="A146" s="299">
        <v>2</v>
      </c>
      <c r="B146" s="299" t="s">
        <v>98</v>
      </c>
      <c r="C146" s="299" t="s">
        <v>134</v>
      </c>
      <c r="D146" s="299" t="str">
        <f t="shared" si="2"/>
        <v>1-4 Years</v>
      </c>
    </row>
    <row r="147" spans="1:4" x14ac:dyDescent="0.25">
      <c r="A147" s="299">
        <v>3</v>
      </c>
      <c r="B147" s="299" t="s">
        <v>97</v>
      </c>
      <c r="C147" s="299" t="s">
        <v>134</v>
      </c>
      <c r="D147" s="299" t="str">
        <f t="shared" si="2"/>
        <v>1-4 Years</v>
      </c>
    </row>
    <row r="148" spans="1:4" x14ac:dyDescent="0.25">
      <c r="A148" s="299" t="s">
        <v>1156</v>
      </c>
      <c r="B148" s="299" t="s">
        <v>97</v>
      </c>
      <c r="C148" s="299" t="s">
        <v>134</v>
      </c>
      <c r="D148" s="299" t="str">
        <f t="shared" si="2"/>
        <v>1-11 Months</v>
      </c>
    </row>
    <row r="149" spans="1:4" x14ac:dyDescent="0.25">
      <c r="A149" s="299">
        <v>1</v>
      </c>
      <c r="B149" s="299" t="s">
        <v>98</v>
      </c>
      <c r="C149" s="299" t="s">
        <v>134</v>
      </c>
      <c r="D149" s="299" t="str">
        <f t="shared" si="2"/>
        <v>1-4 Years</v>
      </c>
    </row>
    <row r="150" spans="1:4" x14ac:dyDescent="0.25">
      <c r="A150" s="299">
        <v>9</v>
      </c>
      <c r="B150" s="299" t="s">
        <v>97</v>
      </c>
      <c r="C150" s="299" t="s">
        <v>134</v>
      </c>
      <c r="D150" s="299" t="str">
        <f t="shared" si="2"/>
        <v>5-9 Years</v>
      </c>
    </row>
    <row r="151" spans="1:4" x14ac:dyDescent="0.25">
      <c r="A151" s="299">
        <v>2</v>
      </c>
      <c r="B151" s="299" t="s">
        <v>97</v>
      </c>
      <c r="C151" s="299" t="s">
        <v>134</v>
      </c>
      <c r="D151" s="299" t="str">
        <f t="shared" si="2"/>
        <v>1-4 Years</v>
      </c>
    </row>
    <row r="152" spans="1:4" x14ac:dyDescent="0.25">
      <c r="A152" s="299">
        <v>5</v>
      </c>
      <c r="B152" s="299" t="s">
        <v>97</v>
      </c>
      <c r="C152" s="299" t="s">
        <v>134</v>
      </c>
      <c r="D152" s="299" t="str">
        <f t="shared" si="2"/>
        <v>5-9 Years</v>
      </c>
    </row>
    <row r="153" spans="1:4" x14ac:dyDescent="0.25">
      <c r="A153" s="299">
        <v>1</v>
      </c>
      <c r="B153" s="299" t="s">
        <v>98</v>
      </c>
      <c r="C153" s="299" t="s">
        <v>134</v>
      </c>
      <c r="D153" s="299" t="str">
        <f t="shared" si="2"/>
        <v>1-4 Years</v>
      </c>
    </row>
    <row r="154" spans="1:4" x14ac:dyDescent="0.25">
      <c r="A154" s="299">
        <v>1</v>
      </c>
      <c r="B154" s="299" t="s">
        <v>98</v>
      </c>
      <c r="C154" s="299" t="s">
        <v>134</v>
      </c>
      <c r="D154" s="299" t="str">
        <f t="shared" si="2"/>
        <v>1-4 Years</v>
      </c>
    </row>
    <row r="155" spans="1:4" x14ac:dyDescent="0.25">
      <c r="A155" s="299" t="s">
        <v>1156</v>
      </c>
      <c r="B155" s="299" t="s">
        <v>97</v>
      </c>
      <c r="C155" s="299" t="s">
        <v>134</v>
      </c>
      <c r="D155" s="299" t="str">
        <f t="shared" si="2"/>
        <v>1-11 Months</v>
      </c>
    </row>
    <row r="156" spans="1:4" x14ac:dyDescent="0.25">
      <c r="A156" s="299">
        <v>5</v>
      </c>
      <c r="B156" s="299" t="s">
        <v>98</v>
      </c>
      <c r="C156" s="299" t="s">
        <v>134</v>
      </c>
      <c r="D156" s="299" t="str">
        <f t="shared" si="2"/>
        <v>5-9 Years</v>
      </c>
    </row>
    <row r="157" spans="1:4" x14ac:dyDescent="0.25">
      <c r="A157" s="299">
        <v>6</v>
      </c>
      <c r="B157" s="299" t="s">
        <v>98</v>
      </c>
      <c r="C157" s="299" t="s">
        <v>134</v>
      </c>
      <c r="D157" s="299" t="str">
        <f t="shared" si="2"/>
        <v>5-9 Years</v>
      </c>
    </row>
    <row r="158" spans="1:4" x14ac:dyDescent="0.25">
      <c r="A158" s="299">
        <v>7</v>
      </c>
      <c r="B158" s="299" t="s">
        <v>97</v>
      </c>
      <c r="C158" s="299" t="s">
        <v>134</v>
      </c>
      <c r="D158" s="299" t="str">
        <f t="shared" si="2"/>
        <v>5-9 Years</v>
      </c>
    </row>
    <row r="159" spans="1:4" x14ac:dyDescent="0.25">
      <c r="A159" s="299">
        <v>2</v>
      </c>
      <c r="B159" s="299" t="s">
        <v>98</v>
      </c>
      <c r="C159" s="299" t="s">
        <v>134</v>
      </c>
      <c r="D159" s="299" t="str">
        <f t="shared" si="2"/>
        <v>1-4 Years</v>
      </c>
    </row>
    <row r="160" spans="1:4" x14ac:dyDescent="0.25">
      <c r="A160" s="299">
        <v>2</v>
      </c>
      <c r="B160" s="299" t="s">
        <v>98</v>
      </c>
      <c r="C160" s="299" t="s">
        <v>134</v>
      </c>
      <c r="D160" s="299" t="str">
        <f t="shared" si="2"/>
        <v>1-4 Years</v>
      </c>
    </row>
    <row r="161" spans="1:4" x14ac:dyDescent="0.25">
      <c r="A161" s="299">
        <v>2</v>
      </c>
      <c r="B161" s="299" t="s">
        <v>98</v>
      </c>
      <c r="C161" s="299" t="s">
        <v>134</v>
      </c>
      <c r="D161" s="299" t="str">
        <f t="shared" si="2"/>
        <v>1-4 Years</v>
      </c>
    </row>
    <row r="162" spans="1:4" x14ac:dyDescent="0.25">
      <c r="A162" s="299">
        <v>4</v>
      </c>
      <c r="B162" s="299" t="s">
        <v>97</v>
      </c>
      <c r="C162" s="299" t="s">
        <v>134</v>
      </c>
      <c r="D162" s="299" t="str">
        <f t="shared" si="2"/>
        <v>1-4 Years</v>
      </c>
    </row>
    <row r="163" spans="1:4" x14ac:dyDescent="0.25">
      <c r="A163" s="299">
        <v>7</v>
      </c>
      <c r="B163" s="299" t="s">
        <v>97</v>
      </c>
      <c r="C163" s="299" t="s">
        <v>134</v>
      </c>
      <c r="D163" s="299" t="str">
        <f t="shared" si="2"/>
        <v>5-9 Years</v>
      </c>
    </row>
    <row r="164" spans="1:4" x14ac:dyDescent="0.25">
      <c r="A164" s="503">
        <v>6</v>
      </c>
      <c r="B164" s="503" t="s">
        <v>97</v>
      </c>
      <c r="C164" s="299" t="s">
        <v>134</v>
      </c>
      <c r="D164" s="503" t="str">
        <f t="shared" si="2"/>
        <v>5-9 Years</v>
      </c>
    </row>
    <row r="165" spans="1:4" x14ac:dyDescent="0.25">
      <c r="A165" s="299">
        <v>7</v>
      </c>
      <c r="B165" s="299" t="s">
        <v>98</v>
      </c>
      <c r="C165" s="299" t="s">
        <v>134</v>
      </c>
      <c r="D165" s="299" t="str">
        <f t="shared" si="2"/>
        <v>5-9 Years</v>
      </c>
    </row>
    <row r="166" spans="1:4" x14ac:dyDescent="0.25">
      <c r="A166" s="299">
        <v>1</v>
      </c>
      <c r="B166" s="299" t="s">
        <v>97</v>
      </c>
      <c r="C166" s="299" t="s">
        <v>134</v>
      </c>
      <c r="D166" s="299" t="str">
        <f t="shared" si="2"/>
        <v>1-4 Years</v>
      </c>
    </row>
    <row r="167" spans="1:4" x14ac:dyDescent="0.25">
      <c r="A167" s="299">
        <v>3</v>
      </c>
      <c r="B167" s="299" t="s">
        <v>97</v>
      </c>
      <c r="C167" s="299" t="s">
        <v>134</v>
      </c>
      <c r="D167" s="299" t="str">
        <f t="shared" si="2"/>
        <v>1-4 Years</v>
      </c>
    </row>
    <row r="168" spans="1:4" x14ac:dyDescent="0.25">
      <c r="A168" s="299" t="s">
        <v>704</v>
      </c>
      <c r="B168" s="299" t="s">
        <v>98</v>
      </c>
      <c r="C168" s="299" t="s">
        <v>134</v>
      </c>
      <c r="D168" s="299" t="str">
        <f t="shared" si="2"/>
        <v>1-11 Months</v>
      </c>
    </row>
    <row r="169" spans="1:4" x14ac:dyDescent="0.25">
      <c r="A169" s="299">
        <v>2</v>
      </c>
      <c r="B169" s="299" t="s">
        <v>98</v>
      </c>
      <c r="C169" s="299" t="s">
        <v>134</v>
      </c>
      <c r="D169" s="299" t="str">
        <f t="shared" si="2"/>
        <v>1-4 Years</v>
      </c>
    </row>
    <row r="170" spans="1:4" x14ac:dyDescent="0.25">
      <c r="A170" s="299">
        <v>1</v>
      </c>
      <c r="B170" s="299" t="s">
        <v>97</v>
      </c>
      <c r="C170" s="299" t="s">
        <v>134</v>
      </c>
      <c r="D170" s="299" t="str">
        <f t="shared" si="2"/>
        <v>1-4 Years</v>
      </c>
    </row>
    <row r="171" spans="1:4" x14ac:dyDescent="0.25">
      <c r="A171" s="299">
        <v>1</v>
      </c>
      <c r="B171" s="299" t="s">
        <v>97</v>
      </c>
      <c r="C171" s="299" t="s">
        <v>134</v>
      </c>
      <c r="D171" s="299" t="str">
        <f t="shared" si="2"/>
        <v>1-4 Years</v>
      </c>
    </row>
    <row r="172" spans="1:4" x14ac:dyDescent="0.25">
      <c r="A172" s="299">
        <v>2</v>
      </c>
      <c r="B172" s="299" t="s">
        <v>97</v>
      </c>
      <c r="C172" s="299" t="s">
        <v>134</v>
      </c>
      <c r="D172" s="299" t="str">
        <f t="shared" si="2"/>
        <v>1-4 Years</v>
      </c>
    </row>
    <row r="173" spans="1:4" x14ac:dyDescent="0.25">
      <c r="A173" s="299">
        <v>2</v>
      </c>
      <c r="B173" s="299" t="s">
        <v>98</v>
      </c>
      <c r="C173" s="299" t="s">
        <v>134</v>
      </c>
      <c r="D173" s="299" t="str">
        <f t="shared" si="2"/>
        <v>1-4 Years</v>
      </c>
    </row>
    <row r="174" spans="1:4" x14ac:dyDescent="0.25">
      <c r="A174" s="299">
        <v>4</v>
      </c>
      <c r="B174" s="299" t="s">
        <v>97</v>
      </c>
      <c r="C174" s="299" t="s">
        <v>134</v>
      </c>
      <c r="D174" s="299" t="str">
        <f t="shared" si="2"/>
        <v>1-4 Years</v>
      </c>
    </row>
    <row r="175" spans="1:4" x14ac:dyDescent="0.25">
      <c r="A175" s="299">
        <v>12</v>
      </c>
      <c r="B175" s="299" t="s">
        <v>98</v>
      </c>
      <c r="C175" s="299" t="s">
        <v>134</v>
      </c>
      <c r="D175" s="299" t="str">
        <f t="shared" si="2"/>
        <v>10-14 Years</v>
      </c>
    </row>
    <row r="176" spans="1:4" x14ac:dyDescent="0.25">
      <c r="A176" s="299">
        <v>1</v>
      </c>
      <c r="B176" s="299" t="s">
        <v>98</v>
      </c>
      <c r="C176" s="299" t="s">
        <v>134</v>
      </c>
      <c r="D176" s="299" t="str">
        <f t="shared" si="2"/>
        <v>1-4 Years</v>
      </c>
    </row>
    <row r="177" spans="1:4" x14ac:dyDescent="0.25">
      <c r="A177" s="299">
        <v>8</v>
      </c>
      <c r="B177" s="299" t="s">
        <v>98</v>
      </c>
      <c r="C177" s="299" t="s">
        <v>134</v>
      </c>
      <c r="D177" s="299" t="str">
        <f t="shared" si="2"/>
        <v>5-9 Years</v>
      </c>
    </row>
    <row r="178" spans="1:4" x14ac:dyDescent="0.25">
      <c r="A178" s="299">
        <v>2</v>
      </c>
      <c r="B178" s="299" t="s">
        <v>97</v>
      </c>
      <c r="C178" s="299" t="s">
        <v>134</v>
      </c>
      <c r="D178" s="299" t="str">
        <f t="shared" si="2"/>
        <v>1-4 Years</v>
      </c>
    </row>
    <row r="179" spans="1:4" x14ac:dyDescent="0.25">
      <c r="A179" s="299">
        <v>4</v>
      </c>
      <c r="B179" s="299" t="s">
        <v>97</v>
      </c>
      <c r="C179" s="299" t="s">
        <v>134</v>
      </c>
      <c r="D179" s="299" t="str">
        <f t="shared" si="2"/>
        <v>1-4 Years</v>
      </c>
    </row>
    <row r="180" spans="1:4" x14ac:dyDescent="0.25">
      <c r="A180" s="299">
        <v>3</v>
      </c>
      <c r="B180" s="299" t="s">
        <v>98</v>
      </c>
      <c r="C180" s="299" t="s">
        <v>134</v>
      </c>
      <c r="D180" s="299" t="str">
        <f t="shared" si="2"/>
        <v>1-4 Years</v>
      </c>
    </row>
    <row r="181" spans="1:4" x14ac:dyDescent="0.25">
      <c r="A181" s="299">
        <v>3</v>
      </c>
      <c r="B181" s="299" t="s">
        <v>97</v>
      </c>
      <c r="C181" s="299" t="s">
        <v>134</v>
      </c>
      <c r="D181" s="299" t="str">
        <f t="shared" si="2"/>
        <v>1-4 Years</v>
      </c>
    </row>
    <row r="182" spans="1:4" x14ac:dyDescent="0.25">
      <c r="A182" s="299">
        <v>2</v>
      </c>
      <c r="B182" s="299" t="s">
        <v>98</v>
      </c>
      <c r="C182" s="299" t="s">
        <v>134</v>
      </c>
      <c r="D182" s="299" t="str">
        <f t="shared" si="2"/>
        <v>1-4 Years</v>
      </c>
    </row>
    <row r="183" spans="1:4" x14ac:dyDescent="0.25">
      <c r="A183" s="299">
        <v>3</v>
      </c>
      <c r="B183" s="299" t="s">
        <v>98</v>
      </c>
      <c r="C183" s="299" t="s">
        <v>134</v>
      </c>
      <c r="D183" s="299" t="str">
        <f t="shared" si="2"/>
        <v>1-4 Years</v>
      </c>
    </row>
    <row r="184" spans="1:4" x14ac:dyDescent="0.25">
      <c r="A184" s="299">
        <v>1</v>
      </c>
      <c r="B184" s="299" t="s">
        <v>97</v>
      </c>
      <c r="C184" s="299" t="s">
        <v>134</v>
      </c>
      <c r="D184" s="299" t="str">
        <f t="shared" si="2"/>
        <v>1-4 Years</v>
      </c>
    </row>
    <row r="185" spans="1:4" x14ac:dyDescent="0.25">
      <c r="A185" s="299">
        <v>1</v>
      </c>
      <c r="B185" s="299" t="s">
        <v>97</v>
      </c>
      <c r="C185" s="299" t="s">
        <v>134</v>
      </c>
      <c r="D185" s="299" t="str">
        <f t="shared" si="2"/>
        <v>1-4 Years</v>
      </c>
    </row>
    <row r="186" spans="1:4" x14ac:dyDescent="0.25">
      <c r="A186" s="299">
        <v>6</v>
      </c>
      <c r="B186" s="299" t="s">
        <v>98</v>
      </c>
      <c r="C186" s="299" t="s">
        <v>134</v>
      </c>
      <c r="D186" s="299" t="str">
        <f t="shared" si="2"/>
        <v>5-9 Years</v>
      </c>
    </row>
    <row r="187" spans="1:4" x14ac:dyDescent="0.25">
      <c r="A187" s="299">
        <v>1</v>
      </c>
      <c r="B187" s="299" t="s">
        <v>97</v>
      </c>
      <c r="C187" s="299" t="s">
        <v>134</v>
      </c>
      <c r="D187" s="299" t="str">
        <f t="shared" si="2"/>
        <v>1-4 Years</v>
      </c>
    </row>
    <row r="188" spans="1:4" x14ac:dyDescent="0.25">
      <c r="A188" s="299">
        <v>8</v>
      </c>
      <c r="B188" s="299" t="s">
        <v>97</v>
      </c>
      <c r="C188" s="299" t="s">
        <v>134</v>
      </c>
      <c r="D188" s="299" t="str">
        <f t="shared" si="2"/>
        <v>5-9 Years</v>
      </c>
    </row>
    <row r="189" spans="1:4" x14ac:dyDescent="0.25">
      <c r="A189" s="299">
        <v>1</v>
      </c>
      <c r="B189" s="299" t="s">
        <v>98</v>
      </c>
      <c r="C189" s="299" t="s">
        <v>134</v>
      </c>
      <c r="D189" s="299" t="str">
        <f t="shared" si="2"/>
        <v>1-4 Years</v>
      </c>
    </row>
    <row r="190" spans="1:4" x14ac:dyDescent="0.25">
      <c r="A190" s="299">
        <v>10</v>
      </c>
      <c r="B190" s="299" t="s">
        <v>97</v>
      </c>
      <c r="C190" s="299" t="s">
        <v>134</v>
      </c>
      <c r="D190" s="299" t="str">
        <f t="shared" si="2"/>
        <v>10-14 Years</v>
      </c>
    </row>
    <row r="191" spans="1:4" x14ac:dyDescent="0.25">
      <c r="A191" s="299">
        <v>11</v>
      </c>
      <c r="B191" s="299" t="s">
        <v>97</v>
      </c>
      <c r="C191" s="299" t="s">
        <v>134</v>
      </c>
      <c r="D191" s="299" t="str">
        <f t="shared" si="2"/>
        <v>10-14 Years</v>
      </c>
    </row>
    <row r="192" spans="1:4" x14ac:dyDescent="0.25">
      <c r="A192" s="299">
        <v>2</v>
      </c>
      <c r="B192" s="299" t="s">
        <v>97</v>
      </c>
      <c r="C192" s="299" t="s">
        <v>134</v>
      </c>
      <c r="D192" s="299" t="str">
        <f t="shared" si="2"/>
        <v>1-4 Years</v>
      </c>
    </row>
    <row r="193" spans="1:4" x14ac:dyDescent="0.25">
      <c r="A193" s="299">
        <v>3</v>
      </c>
      <c r="B193" s="299" t="s">
        <v>97</v>
      </c>
      <c r="C193" s="299" t="s">
        <v>134</v>
      </c>
      <c r="D193" s="299" t="str">
        <f t="shared" si="2"/>
        <v>1-4 Years</v>
      </c>
    </row>
    <row r="194" spans="1:4" x14ac:dyDescent="0.25">
      <c r="A194" s="299">
        <v>1</v>
      </c>
      <c r="B194" s="299" t="s">
        <v>98</v>
      </c>
      <c r="C194" s="299" t="s">
        <v>134</v>
      </c>
      <c r="D194" s="299" t="str">
        <f t="shared" ref="D194:D257" si="3">IFERROR(
  IF(OR(RIGHT(UPPER(A194),1)="D", RIGHT(UPPER(A194),3)="DAY", RIGHT(UPPER(A194),4)="DAYS"), "0-28 Days",
  IF(RIGHT(UPPER(A194),3)="MTH", "1-11 Months",
  IF(A194+0&lt;1, "0-28 Days",
  IF(A194+0&lt;5, "1-4 Years",
  IF(A194+0&lt;10, "5-9 Years",
  IF(A194+0&lt;15, "10-14 Years",
  IF(A194+0&lt;18, "15-17 Years",
  IF(A194+0&lt;20, "18-19 Years",
  IF(A194+0&lt;35, "20-34 Years",
  IF(A194+0&lt;50, "35-49 Years",
  IF(A194+0&lt;60, "50-59 Years",
  IF(A194+0&lt;70, "60-69 Years", "70+ Years"
)))))))))))), "Unknown")</f>
        <v>1-4 Years</v>
      </c>
    </row>
    <row r="195" spans="1:4" x14ac:dyDescent="0.25">
      <c r="A195" s="299">
        <v>10</v>
      </c>
      <c r="B195" s="299" t="s">
        <v>97</v>
      </c>
      <c r="C195" s="299" t="s">
        <v>134</v>
      </c>
      <c r="D195" s="299" t="str">
        <f t="shared" si="3"/>
        <v>10-14 Years</v>
      </c>
    </row>
    <row r="196" spans="1:4" x14ac:dyDescent="0.25">
      <c r="A196" s="503">
        <v>31</v>
      </c>
      <c r="B196" s="299" t="s">
        <v>98</v>
      </c>
      <c r="C196" s="299" t="s">
        <v>1368</v>
      </c>
      <c r="D196" s="299" t="str">
        <f t="shared" si="3"/>
        <v>20-34 Years</v>
      </c>
    </row>
    <row r="197" spans="1:4" x14ac:dyDescent="0.25">
      <c r="A197" s="299">
        <v>46</v>
      </c>
      <c r="B197" s="299" t="s">
        <v>98</v>
      </c>
      <c r="C197" s="299" t="s">
        <v>1368</v>
      </c>
      <c r="D197" s="299" t="str">
        <f t="shared" si="3"/>
        <v>35-49 Years</v>
      </c>
    </row>
    <row r="198" spans="1:4" x14ac:dyDescent="0.25">
      <c r="A198" s="299">
        <v>29</v>
      </c>
      <c r="B198" s="299" t="s">
        <v>98</v>
      </c>
      <c r="C198" s="299" t="s">
        <v>1368</v>
      </c>
      <c r="D198" s="299" t="str">
        <f t="shared" si="3"/>
        <v>20-34 Years</v>
      </c>
    </row>
    <row r="199" spans="1:4" x14ac:dyDescent="0.25">
      <c r="A199" s="299">
        <v>16</v>
      </c>
      <c r="B199" s="299" t="s">
        <v>98</v>
      </c>
      <c r="C199" s="299" t="s">
        <v>1368</v>
      </c>
      <c r="D199" s="299" t="str">
        <f t="shared" si="3"/>
        <v>15-17 Years</v>
      </c>
    </row>
    <row r="200" spans="1:4" x14ac:dyDescent="0.25">
      <c r="A200" s="299">
        <v>34</v>
      </c>
      <c r="B200" s="299" t="s">
        <v>98</v>
      </c>
      <c r="C200" s="299" t="s">
        <v>1368</v>
      </c>
      <c r="D200" s="299" t="str">
        <f t="shared" si="3"/>
        <v>20-34 Years</v>
      </c>
    </row>
    <row r="201" spans="1:4" x14ac:dyDescent="0.25">
      <c r="A201" s="299">
        <v>25</v>
      </c>
      <c r="B201" s="299" t="s">
        <v>98</v>
      </c>
      <c r="C201" s="299" t="s">
        <v>1368</v>
      </c>
      <c r="D201" s="299" t="str">
        <f t="shared" si="3"/>
        <v>20-34 Years</v>
      </c>
    </row>
    <row r="202" spans="1:4" x14ac:dyDescent="0.25">
      <c r="A202" s="299">
        <v>26</v>
      </c>
      <c r="B202" s="299" t="s">
        <v>98</v>
      </c>
      <c r="C202" s="299" t="s">
        <v>1368</v>
      </c>
      <c r="D202" s="299" t="str">
        <f t="shared" si="3"/>
        <v>20-34 Years</v>
      </c>
    </row>
    <row r="203" spans="1:4" x14ac:dyDescent="0.25">
      <c r="A203" s="299">
        <v>32</v>
      </c>
      <c r="B203" s="299" t="s">
        <v>98</v>
      </c>
      <c r="C203" s="299" t="s">
        <v>1368</v>
      </c>
      <c r="D203" s="299" t="str">
        <f t="shared" si="3"/>
        <v>20-34 Years</v>
      </c>
    </row>
    <row r="204" spans="1:4" x14ac:dyDescent="0.25">
      <c r="A204" s="299">
        <v>39</v>
      </c>
      <c r="B204" s="299" t="s">
        <v>98</v>
      </c>
      <c r="C204" s="299" t="s">
        <v>1368</v>
      </c>
      <c r="D204" s="299" t="str">
        <f t="shared" si="3"/>
        <v>35-49 Years</v>
      </c>
    </row>
    <row r="205" spans="1:4" x14ac:dyDescent="0.25">
      <c r="A205" s="299">
        <v>22</v>
      </c>
      <c r="B205" s="299" t="s">
        <v>98</v>
      </c>
      <c r="C205" s="299" t="s">
        <v>1368</v>
      </c>
      <c r="D205" s="299" t="str">
        <f t="shared" si="3"/>
        <v>20-34 Years</v>
      </c>
    </row>
    <row r="206" spans="1:4" x14ac:dyDescent="0.25">
      <c r="A206" s="299">
        <v>21</v>
      </c>
      <c r="B206" s="299" t="s">
        <v>98</v>
      </c>
      <c r="C206" s="299" t="s">
        <v>1368</v>
      </c>
      <c r="D206" s="299" t="str">
        <f t="shared" si="3"/>
        <v>20-34 Years</v>
      </c>
    </row>
    <row r="207" spans="1:4" x14ac:dyDescent="0.25">
      <c r="A207" s="299">
        <v>34</v>
      </c>
      <c r="B207" s="299" t="s">
        <v>98</v>
      </c>
      <c r="C207" s="299" t="s">
        <v>1368</v>
      </c>
      <c r="D207" s="299" t="str">
        <f t="shared" si="3"/>
        <v>20-34 Years</v>
      </c>
    </row>
    <row r="208" spans="1:4" x14ac:dyDescent="0.25">
      <c r="A208" s="299">
        <v>20</v>
      </c>
      <c r="B208" s="299" t="s">
        <v>98</v>
      </c>
      <c r="C208" s="299" t="s">
        <v>1368</v>
      </c>
      <c r="D208" s="299" t="str">
        <f t="shared" si="3"/>
        <v>20-34 Years</v>
      </c>
    </row>
    <row r="209" spans="1:4" x14ac:dyDescent="0.25">
      <c r="A209" s="299">
        <v>21</v>
      </c>
      <c r="B209" s="299" t="s">
        <v>98</v>
      </c>
      <c r="C209" s="299" t="s">
        <v>1368</v>
      </c>
      <c r="D209" s="299" t="str">
        <f t="shared" si="3"/>
        <v>20-34 Years</v>
      </c>
    </row>
    <row r="210" spans="1:4" x14ac:dyDescent="0.25">
      <c r="A210" s="299">
        <v>21</v>
      </c>
      <c r="B210" s="299" t="s">
        <v>98</v>
      </c>
      <c r="C210" s="299" t="s">
        <v>1368</v>
      </c>
      <c r="D210" s="299" t="str">
        <f t="shared" si="3"/>
        <v>20-34 Years</v>
      </c>
    </row>
    <row r="211" spans="1:4" x14ac:dyDescent="0.25">
      <c r="A211" s="299">
        <v>34</v>
      </c>
      <c r="B211" s="299" t="s">
        <v>98</v>
      </c>
      <c r="C211" s="299" t="s">
        <v>1368</v>
      </c>
      <c r="D211" s="299" t="str">
        <f t="shared" si="3"/>
        <v>20-34 Years</v>
      </c>
    </row>
    <row r="212" spans="1:4" x14ac:dyDescent="0.25">
      <c r="A212" s="299">
        <v>30</v>
      </c>
      <c r="B212" s="299" t="s">
        <v>98</v>
      </c>
      <c r="C212" s="299" t="s">
        <v>1368</v>
      </c>
      <c r="D212" s="299" t="str">
        <f t="shared" si="3"/>
        <v>20-34 Years</v>
      </c>
    </row>
    <row r="213" spans="1:4" x14ac:dyDescent="0.25">
      <c r="A213" s="299">
        <v>35</v>
      </c>
      <c r="B213" s="299" t="s">
        <v>98</v>
      </c>
      <c r="C213" s="299" t="s">
        <v>1368</v>
      </c>
      <c r="D213" s="299" t="str">
        <f t="shared" si="3"/>
        <v>35-49 Years</v>
      </c>
    </row>
    <row r="214" spans="1:4" x14ac:dyDescent="0.25">
      <c r="A214" s="299">
        <v>30</v>
      </c>
      <c r="B214" s="299" t="s">
        <v>98</v>
      </c>
      <c r="C214" s="299" t="s">
        <v>1368</v>
      </c>
      <c r="D214" s="299" t="str">
        <f t="shared" si="3"/>
        <v>20-34 Years</v>
      </c>
    </row>
    <row r="215" spans="1:4" x14ac:dyDescent="0.25">
      <c r="A215" s="299">
        <v>37</v>
      </c>
      <c r="B215" s="299" t="s">
        <v>98</v>
      </c>
      <c r="C215" s="299" t="s">
        <v>1368</v>
      </c>
      <c r="D215" s="299" t="str">
        <f t="shared" si="3"/>
        <v>35-49 Years</v>
      </c>
    </row>
    <row r="216" spans="1:4" x14ac:dyDescent="0.25">
      <c r="A216" s="299">
        <v>24</v>
      </c>
      <c r="B216" s="299" t="s">
        <v>98</v>
      </c>
      <c r="C216" s="299" t="s">
        <v>1368</v>
      </c>
      <c r="D216" s="299" t="str">
        <f t="shared" si="3"/>
        <v>20-34 Years</v>
      </c>
    </row>
    <row r="217" spans="1:4" x14ac:dyDescent="0.25">
      <c r="A217" s="299">
        <v>26</v>
      </c>
      <c r="B217" s="299" t="s">
        <v>98</v>
      </c>
      <c r="C217" s="299" t="s">
        <v>1368</v>
      </c>
      <c r="D217" s="299" t="str">
        <f t="shared" si="3"/>
        <v>20-34 Years</v>
      </c>
    </row>
    <row r="218" spans="1:4" x14ac:dyDescent="0.25">
      <c r="A218" s="299">
        <v>25</v>
      </c>
      <c r="B218" s="299" t="s">
        <v>98</v>
      </c>
      <c r="C218" s="299" t="s">
        <v>1368</v>
      </c>
      <c r="D218" s="299" t="str">
        <f t="shared" si="3"/>
        <v>20-34 Years</v>
      </c>
    </row>
    <row r="219" spans="1:4" x14ac:dyDescent="0.25">
      <c r="A219" s="299">
        <v>20</v>
      </c>
      <c r="B219" s="299" t="s">
        <v>98</v>
      </c>
      <c r="C219" s="299" t="s">
        <v>1368</v>
      </c>
      <c r="D219" s="299" t="str">
        <f t="shared" si="3"/>
        <v>20-34 Years</v>
      </c>
    </row>
    <row r="220" spans="1:4" x14ac:dyDescent="0.25">
      <c r="A220" s="299">
        <v>29</v>
      </c>
      <c r="B220" s="299" t="s">
        <v>98</v>
      </c>
      <c r="C220" s="299" t="s">
        <v>1368</v>
      </c>
      <c r="D220" s="299" t="str">
        <f t="shared" si="3"/>
        <v>20-34 Years</v>
      </c>
    </row>
    <row r="221" spans="1:4" x14ac:dyDescent="0.25">
      <c r="A221" s="299">
        <v>26</v>
      </c>
      <c r="B221" s="299" t="s">
        <v>98</v>
      </c>
      <c r="C221" s="299" t="s">
        <v>1368</v>
      </c>
      <c r="D221" s="299" t="str">
        <f t="shared" si="3"/>
        <v>20-34 Years</v>
      </c>
    </row>
    <row r="222" spans="1:4" x14ac:dyDescent="0.25">
      <c r="A222" s="299">
        <v>22</v>
      </c>
      <c r="B222" s="299" t="s">
        <v>98</v>
      </c>
      <c r="C222" s="299" t="s">
        <v>1368</v>
      </c>
      <c r="D222" s="299" t="str">
        <f t="shared" si="3"/>
        <v>20-34 Years</v>
      </c>
    </row>
    <row r="223" spans="1:4" x14ac:dyDescent="0.25">
      <c r="A223" s="299">
        <v>25</v>
      </c>
      <c r="B223" s="299" t="s">
        <v>98</v>
      </c>
      <c r="C223" s="299" t="s">
        <v>1368</v>
      </c>
      <c r="D223" s="299" t="str">
        <f t="shared" si="3"/>
        <v>20-34 Years</v>
      </c>
    </row>
    <row r="224" spans="1:4" x14ac:dyDescent="0.25">
      <c r="A224" s="299">
        <v>35</v>
      </c>
      <c r="B224" s="299" t="s">
        <v>98</v>
      </c>
      <c r="C224" s="299" t="s">
        <v>1368</v>
      </c>
      <c r="D224" s="299" t="str">
        <f t="shared" si="3"/>
        <v>35-49 Years</v>
      </c>
    </row>
    <row r="225" spans="1:4" x14ac:dyDescent="0.25">
      <c r="A225" s="299">
        <v>31</v>
      </c>
      <c r="B225" s="299" t="s">
        <v>98</v>
      </c>
      <c r="C225" s="299" t="s">
        <v>1368</v>
      </c>
      <c r="D225" s="299" t="str">
        <f t="shared" si="3"/>
        <v>20-34 Years</v>
      </c>
    </row>
    <row r="226" spans="1:4" x14ac:dyDescent="0.25">
      <c r="A226" s="299">
        <v>26</v>
      </c>
      <c r="B226" s="299" t="s">
        <v>98</v>
      </c>
      <c r="C226" s="299" t="s">
        <v>1368</v>
      </c>
      <c r="D226" s="299" t="str">
        <f t="shared" si="3"/>
        <v>20-34 Years</v>
      </c>
    </row>
    <row r="227" spans="1:4" x14ac:dyDescent="0.25">
      <c r="A227" s="299">
        <v>23</v>
      </c>
      <c r="B227" s="299" t="s">
        <v>98</v>
      </c>
      <c r="C227" s="299" t="s">
        <v>1368</v>
      </c>
      <c r="D227" s="299" t="str">
        <f t="shared" si="3"/>
        <v>20-34 Years</v>
      </c>
    </row>
    <row r="228" spans="1:4" x14ac:dyDescent="0.25">
      <c r="A228" s="299">
        <v>32</v>
      </c>
      <c r="B228" s="299" t="s">
        <v>98</v>
      </c>
      <c r="C228" s="299" t="s">
        <v>1368</v>
      </c>
      <c r="D228" s="299" t="str">
        <f t="shared" si="3"/>
        <v>20-34 Years</v>
      </c>
    </row>
    <row r="229" spans="1:4" x14ac:dyDescent="0.25">
      <c r="A229" s="299">
        <v>15</v>
      </c>
      <c r="B229" s="299" t="s">
        <v>98</v>
      </c>
      <c r="C229" s="299" t="s">
        <v>1368</v>
      </c>
      <c r="D229" s="299" t="str">
        <f t="shared" si="3"/>
        <v>15-17 Years</v>
      </c>
    </row>
    <row r="230" spans="1:4" x14ac:dyDescent="0.25">
      <c r="A230" s="299">
        <v>31</v>
      </c>
      <c r="B230" s="299" t="s">
        <v>98</v>
      </c>
      <c r="C230" s="299" t="s">
        <v>1368</v>
      </c>
      <c r="D230" s="299" t="str">
        <f t="shared" si="3"/>
        <v>20-34 Years</v>
      </c>
    </row>
    <row r="231" spans="1:4" x14ac:dyDescent="0.25">
      <c r="A231" s="299">
        <v>15</v>
      </c>
      <c r="B231" s="299" t="s">
        <v>98</v>
      </c>
      <c r="C231" s="299" t="s">
        <v>1368</v>
      </c>
      <c r="D231" s="299" t="str">
        <f t="shared" si="3"/>
        <v>15-17 Years</v>
      </c>
    </row>
    <row r="232" spans="1:4" x14ac:dyDescent="0.25">
      <c r="A232" s="299">
        <v>29</v>
      </c>
      <c r="B232" s="299" t="s">
        <v>98</v>
      </c>
      <c r="C232" s="299" t="s">
        <v>1368</v>
      </c>
      <c r="D232" s="299" t="str">
        <f t="shared" si="3"/>
        <v>20-34 Years</v>
      </c>
    </row>
    <row r="233" spans="1:4" x14ac:dyDescent="0.25">
      <c r="A233" s="299">
        <v>28</v>
      </c>
      <c r="B233" s="299" t="s">
        <v>98</v>
      </c>
      <c r="C233" s="299" t="s">
        <v>1368</v>
      </c>
      <c r="D233" s="299" t="str">
        <f t="shared" si="3"/>
        <v>20-34 Years</v>
      </c>
    </row>
    <row r="234" spans="1:4" x14ac:dyDescent="0.25">
      <c r="A234" s="299">
        <v>20</v>
      </c>
      <c r="B234" s="299" t="s">
        <v>98</v>
      </c>
      <c r="C234" s="299" t="s">
        <v>1368</v>
      </c>
      <c r="D234" s="299" t="str">
        <f t="shared" si="3"/>
        <v>20-34 Years</v>
      </c>
    </row>
    <row r="235" spans="1:4" x14ac:dyDescent="0.25">
      <c r="A235" s="299">
        <v>30</v>
      </c>
      <c r="B235" s="299" t="s">
        <v>98</v>
      </c>
      <c r="C235" s="299" t="s">
        <v>1368</v>
      </c>
      <c r="D235" s="299" t="str">
        <f t="shared" si="3"/>
        <v>20-34 Years</v>
      </c>
    </row>
    <row r="236" spans="1:4" x14ac:dyDescent="0.25">
      <c r="A236" s="299">
        <v>34</v>
      </c>
      <c r="B236" s="299" t="s">
        <v>98</v>
      </c>
      <c r="C236" s="299" t="s">
        <v>1368</v>
      </c>
      <c r="D236" s="299" t="str">
        <f t="shared" si="3"/>
        <v>20-34 Years</v>
      </c>
    </row>
    <row r="237" spans="1:4" x14ac:dyDescent="0.25">
      <c r="A237" s="299">
        <v>25</v>
      </c>
      <c r="B237" s="299" t="s">
        <v>98</v>
      </c>
      <c r="C237" s="299" t="s">
        <v>1368</v>
      </c>
      <c r="D237" s="299" t="str">
        <f t="shared" si="3"/>
        <v>20-34 Years</v>
      </c>
    </row>
    <row r="238" spans="1:4" x14ac:dyDescent="0.25">
      <c r="A238" s="299">
        <v>23</v>
      </c>
      <c r="B238" s="299" t="s">
        <v>98</v>
      </c>
      <c r="C238" s="299" t="s">
        <v>1368</v>
      </c>
      <c r="D238" s="299" t="str">
        <f t="shared" si="3"/>
        <v>20-34 Years</v>
      </c>
    </row>
    <row r="239" spans="1:4" x14ac:dyDescent="0.25">
      <c r="A239" s="299">
        <v>35</v>
      </c>
      <c r="B239" s="299" t="s">
        <v>98</v>
      </c>
      <c r="C239" s="299" t="s">
        <v>1368</v>
      </c>
      <c r="D239" s="299" t="str">
        <f t="shared" si="3"/>
        <v>35-49 Years</v>
      </c>
    </row>
    <row r="240" spans="1:4" x14ac:dyDescent="0.25">
      <c r="A240" s="299">
        <v>32</v>
      </c>
      <c r="B240" s="299" t="s">
        <v>98</v>
      </c>
      <c r="C240" s="299" t="s">
        <v>1368</v>
      </c>
      <c r="D240" s="299" t="str">
        <f t="shared" si="3"/>
        <v>20-34 Years</v>
      </c>
    </row>
    <row r="241" spans="1:4" x14ac:dyDescent="0.25">
      <c r="A241" s="299">
        <v>37</v>
      </c>
      <c r="B241" s="299" t="s">
        <v>98</v>
      </c>
      <c r="C241" s="299" t="s">
        <v>1368</v>
      </c>
      <c r="D241" s="299" t="str">
        <f t="shared" si="3"/>
        <v>35-49 Years</v>
      </c>
    </row>
    <row r="242" spans="1:4" x14ac:dyDescent="0.25">
      <c r="A242" s="299">
        <v>29</v>
      </c>
      <c r="B242" s="299" t="s">
        <v>98</v>
      </c>
      <c r="C242" s="299" t="s">
        <v>1368</v>
      </c>
      <c r="D242" s="299" t="str">
        <f t="shared" si="3"/>
        <v>20-34 Years</v>
      </c>
    </row>
    <row r="243" spans="1:4" x14ac:dyDescent="0.25">
      <c r="A243" s="299">
        <v>33</v>
      </c>
      <c r="B243" s="299" t="s">
        <v>98</v>
      </c>
      <c r="C243" s="299" t="s">
        <v>1368</v>
      </c>
      <c r="D243" s="299" t="str">
        <f t="shared" si="3"/>
        <v>20-34 Years</v>
      </c>
    </row>
    <row r="244" spans="1:4" x14ac:dyDescent="0.25">
      <c r="A244" s="299">
        <v>26</v>
      </c>
      <c r="B244" s="299" t="s">
        <v>98</v>
      </c>
      <c r="C244" s="299" t="s">
        <v>1368</v>
      </c>
      <c r="D244" s="299" t="str">
        <f t="shared" si="3"/>
        <v>20-34 Years</v>
      </c>
    </row>
    <row r="245" spans="1:4" x14ac:dyDescent="0.25">
      <c r="A245" s="299">
        <v>20</v>
      </c>
      <c r="B245" s="299" t="s">
        <v>98</v>
      </c>
      <c r="C245" s="299" t="s">
        <v>1368</v>
      </c>
      <c r="D245" s="299" t="str">
        <f t="shared" si="3"/>
        <v>20-34 Years</v>
      </c>
    </row>
    <row r="246" spans="1:4" x14ac:dyDescent="0.25">
      <c r="A246" s="299">
        <v>34</v>
      </c>
      <c r="B246" s="299" t="s">
        <v>98</v>
      </c>
      <c r="C246" s="299" t="s">
        <v>1368</v>
      </c>
      <c r="D246" s="299" t="str">
        <f t="shared" si="3"/>
        <v>20-34 Years</v>
      </c>
    </row>
    <row r="247" spans="1:4" x14ac:dyDescent="0.25">
      <c r="A247" s="299">
        <v>20</v>
      </c>
      <c r="B247" s="299" t="s">
        <v>98</v>
      </c>
      <c r="C247" s="299" t="s">
        <v>1368</v>
      </c>
      <c r="D247" s="299" t="str">
        <f t="shared" si="3"/>
        <v>20-34 Years</v>
      </c>
    </row>
    <row r="248" spans="1:4" x14ac:dyDescent="0.25">
      <c r="A248" s="299">
        <v>33</v>
      </c>
      <c r="B248" s="299" t="s">
        <v>98</v>
      </c>
      <c r="C248" s="299" t="s">
        <v>1368</v>
      </c>
      <c r="D248" s="299" t="str">
        <f t="shared" si="3"/>
        <v>20-34 Years</v>
      </c>
    </row>
    <row r="249" spans="1:4" x14ac:dyDescent="0.25">
      <c r="A249" s="299">
        <v>42</v>
      </c>
      <c r="B249" s="299" t="s">
        <v>98</v>
      </c>
      <c r="C249" s="299" t="s">
        <v>1368</v>
      </c>
      <c r="D249" s="299" t="str">
        <f t="shared" si="3"/>
        <v>35-49 Years</v>
      </c>
    </row>
    <row r="250" spans="1:4" x14ac:dyDescent="0.25">
      <c r="A250" s="299">
        <v>19</v>
      </c>
      <c r="B250" s="299" t="s">
        <v>98</v>
      </c>
      <c r="C250" s="299" t="s">
        <v>1368</v>
      </c>
      <c r="D250" s="299" t="str">
        <f t="shared" si="3"/>
        <v>18-19 Years</v>
      </c>
    </row>
    <row r="251" spans="1:4" x14ac:dyDescent="0.25">
      <c r="A251" s="299">
        <v>32</v>
      </c>
      <c r="B251" s="299" t="s">
        <v>98</v>
      </c>
      <c r="C251" s="299" t="s">
        <v>1368</v>
      </c>
      <c r="D251" s="299" t="str">
        <f t="shared" si="3"/>
        <v>20-34 Years</v>
      </c>
    </row>
    <row r="252" spans="1:4" x14ac:dyDescent="0.25">
      <c r="A252" s="299">
        <v>21</v>
      </c>
      <c r="B252" s="299" t="s">
        <v>98</v>
      </c>
      <c r="C252" s="299" t="s">
        <v>1368</v>
      </c>
      <c r="D252" s="299" t="str">
        <f t="shared" si="3"/>
        <v>20-34 Years</v>
      </c>
    </row>
    <row r="253" spans="1:4" x14ac:dyDescent="0.25">
      <c r="A253" s="299">
        <v>23</v>
      </c>
      <c r="B253" s="299" t="s">
        <v>98</v>
      </c>
      <c r="C253" s="299" t="s">
        <v>1368</v>
      </c>
      <c r="D253" s="299" t="str">
        <f t="shared" si="3"/>
        <v>20-34 Years</v>
      </c>
    </row>
    <row r="254" spans="1:4" x14ac:dyDescent="0.25">
      <c r="A254" s="299">
        <v>20</v>
      </c>
      <c r="B254" s="299" t="s">
        <v>98</v>
      </c>
      <c r="C254" s="299" t="s">
        <v>1368</v>
      </c>
      <c r="D254" s="299" t="str">
        <f t="shared" si="3"/>
        <v>20-34 Years</v>
      </c>
    </row>
    <row r="255" spans="1:4" x14ac:dyDescent="0.25">
      <c r="A255" s="299">
        <v>29</v>
      </c>
      <c r="B255" s="299" t="s">
        <v>98</v>
      </c>
      <c r="C255" s="299" t="s">
        <v>1368</v>
      </c>
      <c r="D255" s="299" t="str">
        <f t="shared" si="3"/>
        <v>20-34 Years</v>
      </c>
    </row>
    <row r="256" spans="1:4" x14ac:dyDescent="0.25">
      <c r="A256" s="299">
        <v>21</v>
      </c>
      <c r="B256" s="299" t="s">
        <v>98</v>
      </c>
      <c r="C256" s="299" t="s">
        <v>1368</v>
      </c>
      <c r="D256" s="299" t="str">
        <f t="shared" si="3"/>
        <v>20-34 Years</v>
      </c>
    </row>
    <row r="257" spans="1:4" x14ac:dyDescent="0.25">
      <c r="A257" s="299">
        <v>35</v>
      </c>
      <c r="B257" s="299" t="s">
        <v>98</v>
      </c>
      <c r="C257" s="299" t="s">
        <v>1368</v>
      </c>
      <c r="D257" s="299" t="str">
        <f t="shared" si="3"/>
        <v>35-49 Years</v>
      </c>
    </row>
    <row r="258" spans="1:4" x14ac:dyDescent="0.25">
      <c r="A258" s="299">
        <v>28</v>
      </c>
      <c r="B258" s="299" t="s">
        <v>98</v>
      </c>
      <c r="C258" s="299" t="s">
        <v>1368</v>
      </c>
      <c r="D258" s="299" t="str">
        <f t="shared" ref="D258:D321" si="4">IFERROR(
  IF(OR(RIGHT(UPPER(A258),1)="D", RIGHT(UPPER(A258),3)="DAY", RIGHT(UPPER(A258),4)="DAYS"), "0-28 Days",
  IF(RIGHT(UPPER(A258),3)="MTH", "1-11 Months",
  IF(A258+0&lt;1, "0-28 Days",
  IF(A258+0&lt;5, "1-4 Years",
  IF(A258+0&lt;10, "5-9 Years",
  IF(A258+0&lt;15, "10-14 Years",
  IF(A258+0&lt;18, "15-17 Years",
  IF(A258+0&lt;20, "18-19 Years",
  IF(A258+0&lt;35, "20-34 Years",
  IF(A258+0&lt;50, "35-49 Years",
  IF(A258+0&lt;60, "50-59 Years",
  IF(A258+0&lt;70, "60-69 Years", "70+ Years"
)))))))))))), "Unknown")</f>
        <v>20-34 Years</v>
      </c>
    </row>
    <row r="259" spans="1:4" x14ac:dyDescent="0.25">
      <c r="A259" s="299">
        <v>21</v>
      </c>
      <c r="B259" s="299" t="s">
        <v>98</v>
      </c>
      <c r="C259" s="299" t="s">
        <v>1368</v>
      </c>
      <c r="D259" s="299" t="str">
        <f t="shared" si="4"/>
        <v>20-34 Years</v>
      </c>
    </row>
    <row r="260" spans="1:4" x14ac:dyDescent="0.25">
      <c r="A260" s="299">
        <v>32</v>
      </c>
      <c r="B260" s="299" t="s">
        <v>98</v>
      </c>
      <c r="C260" s="299" t="s">
        <v>1368</v>
      </c>
      <c r="D260" s="299" t="str">
        <f t="shared" si="4"/>
        <v>20-34 Years</v>
      </c>
    </row>
    <row r="261" spans="1:4" x14ac:dyDescent="0.25">
      <c r="A261" s="299">
        <v>21</v>
      </c>
      <c r="B261" s="299" t="s">
        <v>98</v>
      </c>
      <c r="C261" s="299" t="s">
        <v>1368</v>
      </c>
      <c r="D261" s="299" t="str">
        <f t="shared" si="4"/>
        <v>20-34 Years</v>
      </c>
    </row>
    <row r="262" spans="1:4" x14ac:dyDescent="0.25">
      <c r="A262" s="299">
        <v>29</v>
      </c>
      <c r="B262" s="299" t="s">
        <v>98</v>
      </c>
      <c r="C262" s="299" t="s">
        <v>1368</v>
      </c>
      <c r="D262" s="299" t="str">
        <f t="shared" si="4"/>
        <v>20-34 Years</v>
      </c>
    </row>
    <row r="263" spans="1:4" x14ac:dyDescent="0.25">
      <c r="A263" s="299">
        <v>41</v>
      </c>
      <c r="B263" s="299" t="s">
        <v>98</v>
      </c>
      <c r="C263" s="299" t="s">
        <v>1368</v>
      </c>
      <c r="D263" s="299" t="str">
        <f t="shared" si="4"/>
        <v>35-49 Years</v>
      </c>
    </row>
    <row r="264" spans="1:4" x14ac:dyDescent="0.25">
      <c r="A264" s="299">
        <v>18</v>
      </c>
      <c r="B264" s="299" t="s">
        <v>98</v>
      </c>
      <c r="C264" s="299" t="s">
        <v>1368</v>
      </c>
      <c r="D264" s="299" t="str">
        <f t="shared" si="4"/>
        <v>18-19 Years</v>
      </c>
    </row>
    <row r="265" spans="1:4" x14ac:dyDescent="0.25">
      <c r="A265" s="299">
        <v>22</v>
      </c>
      <c r="B265" s="299" t="s">
        <v>98</v>
      </c>
      <c r="C265" s="299" t="s">
        <v>1368</v>
      </c>
      <c r="D265" s="299" t="str">
        <f t="shared" si="4"/>
        <v>20-34 Years</v>
      </c>
    </row>
    <row r="266" spans="1:4" x14ac:dyDescent="0.25">
      <c r="A266" s="503">
        <v>17</v>
      </c>
      <c r="B266" s="299" t="s">
        <v>98</v>
      </c>
      <c r="C266" s="299" t="s">
        <v>1368</v>
      </c>
      <c r="D266" s="503" t="str">
        <f t="shared" si="4"/>
        <v>15-17 Years</v>
      </c>
    </row>
    <row r="267" spans="1:4" x14ac:dyDescent="0.25">
      <c r="A267" s="299">
        <v>22</v>
      </c>
      <c r="B267" s="299" t="s">
        <v>98</v>
      </c>
      <c r="C267" s="299" t="s">
        <v>1368</v>
      </c>
      <c r="D267" s="299" t="str">
        <f t="shared" si="4"/>
        <v>20-34 Years</v>
      </c>
    </row>
    <row r="268" spans="1:4" x14ac:dyDescent="0.25">
      <c r="A268" s="299">
        <v>22</v>
      </c>
      <c r="B268" s="299" t="s">
        <v>98</v>
      </c>
      <c r="C268" s="299" t="s">
        <v>1368</v>
      </c>
      <c r="D268" s="299" t="str">
        <f t="shared" si="4"/>
        <v>20-34 Years</v>
      </c>
    </row>
    <row r="269" spans="1:4" x14ac:dyDescent="0.25">
      <c r="A269" s="299">
        <v>18</v>
      </c>
      <c r="B269" s="299" t="s">
        <v>98</v>
      </c>
      <c r="C269" s="299" t="s">
        <v>1368</v>
      </c>
      <c r="D269" s="299" t="str">
        <f t="shared" si="4"/>
        <v>18-19 Years</v>
      </c>
    </row>
    <row r="270" spans="1:4" x14ac:dyDescent="0.25">
      <c r="A270" s="299">
        <v>18</v>
      </c>
      <c r="B270" s="299" t="s">
        <v>98</v>
      </c>
      <c r="C270" s="299" t="s">
        <v>1368</v>
      </c>
      <c r="D270" s="299" t="str">
        <f t="shared" si="4"/>
        <v>18-19 Years</v>
      </c>
    </row>
    <row r="271" spans="1:4" x14ac:dyDescent="0.25">
      <c r="A271" s="299">
        <v>33</v>
      </c>
      <c r="B271" s="299" t="s">
        <v>98</v>
      </c>
      <c r="C271" s="299" t="s">
        <v>1368</v>
      </c>
      <c r="D271" s="299" t="str">
        <f t="shared" si="4"/>
        <v>20-34 Years</v>
      </c>
    </row>
    <row r="272" spans="1:4" x14ac:dyDescent="0.25">
      <c r="A272" s="299">
        <v>27</v>
      </c>
      <c r="B272" s="299" t="s">
        <v>98</v>
      </c>
      <c r="C272" s="299" t="s">
        <v>1368</v>
      </c>
      <c r="D272" s="299" t="str">
        <f t="shared" si="4"/>
        <v>20-34 Years</v>
      </c>
    </row>
    <row r="273" spans="1:4" x14ac:dyDescent="0.25">
      <c r="A273" s="299">
        <v>24</v>
      </c>
      <c r="B273" s="299" t="s">
        <v>98</v>
      </c>
      <c r="C273" s="299" t="s">
        <v>1368</v>
      </c>
      <c r="D273" s="299" t="str">
        <f t="shared" si="4"/>
        <v>20-34 Years</v>
      </c>
    </row>
    <row r="274" spans="1:4" x14ac:dyDescent="0.25">
      <c r="A274" s="299">
        <v>32</v>
      </c>
      <c r="B274" s="299" t="s">
        <v>98</v>
      </c>
      <c r="C274" s="299" t="s">
        <v>1369</v>
      </c>
      <c r="D274" s="299" t="str">
        <f t="shared" si="4"/>
        <v>20-34 Years</v>
      </c>
    </row>
    <row r="275" spans="1:4" x14ac:dyDescent="0.25">
      <c r="A275" s="299">
        <v>24</v>
      </c>
      <c r="B275" s="299" t="s">
        <v>98</v>
      </c>
      <c r="C275" s="299" t="s">
        <v>1369</v>
      </c>
      <c r="D275" s="299" t="str">
        <f t="shared" si="4"/>
        <v>20-34 Years</v>
      </c>
    </row>
    <row r="276" spans="1:4" x14ac:dyDescent="0.25">
      <c r="A276" s="299">
        <v>21</v>
      </c>
      <c r="B276" s="299" t="s">
        <v>98</v>
      </c>
      <c r="C276" s="299" t="s">
        <v>1369</v>
      </c>
      <c r="D276" s="299" t="str">
        <f t="shared" si="4"/>
        <v>20-34 Years</v>
      </c>
    </row>
    <row r="277" spans="1:4" x14ac:dyDescent="0.25">
      <c r="A277" s="299">
        <v>37</v>
      </c>
      <c r="B277" s="299" t="s">
        <v>98</v>
      </c>
      <c r="C277" s="299" t="s">
        <v>1369</v>
      </c>
      <c r="D277" s="299" t="str">
        <f t="shared" si="4"/>
        <v>35-49 Years</v>
      </c>
    </row>
    <row r="278" spans="1:4" x14ac:dyDescent="0.25">
      <c r="A278" s="299">
        <v>34</v>
      </c>
      <c r="B278" s="299" t="s">
        <v>98</v>
      </c>
      <c r="C278" s="299" t="s">
        <v>1369</v>
      </c>
      <c r="D278" s="299" t="str">
        <f t="shared" si="4"/>
        <v>20-34 Years</v>
      </c>
    </row>
    <row r="279" spans="1:4" x14ac:dyDescent="0.25">
      <c r="A279" s="299">
        <v>27</v>
      </c>
      <c r="B279" s="299" t="s">
        <v>98</v>
      </c>
      <c r="C279" s="299" t="s">
        <v>1369</v>
      </c>
      <c r="D279" s="299" t="str">
        <f t="shared" si="4"/>
        <v>20-34 Years</v>
      </c>
    </row>
    <row r="280" spans="1:4" x14ac:dyDescent="0.25">
      <c r="A280" s="299">
        <v>38</v>
      </c>
      <c r="B280" s="299" t="s">
        <v>98</v>
      </c>
      <c r="C280" s="299" t="s">
        <v>1369</v>
      </c>
      <c r="D280" s="299" t="str">
        <f t="shared" si="4"/>
        <v>35-49 Years</v>
      </c>
    </row>
    <row r="281" spans="1:4" x14ac:dyDescent="0.25">
      <c r="A281" s="299">
        <v>32</v>
      </c>
      <c r="B281" s="299" t="s">
        <v>98</v>
      </c>
      <c r="C281" s="299" t="s">
        <v>1369</v>
      </c>
      <c r="D281" s="299" t="str">
        <f t="shared" si="4"/>
        <v>20-34 Years</v>
      </c>
    </row>
    <row r="282" spans="1:4" x14ac:dyDescent="0.25">
      <c r="A282" s="299">
        <v>25</v>
      </c>
      <c r="B282" s="299" t="s">
        <v>98</v>
      </c>
      <c r="C282" s="299" t="s">
        <v>1369</v>
      </c>
      <c r="D282" s="299" t="str">
        <f t="shared" si="4"/>
        <v>20-34 Years</v>
      </c>
    </row>
    <row r="283" spans="1:4" x14ac:dyDescent="0.25">
      <c r="A283" s="299">
        <v>33</v>
      </c>
      <c r="B283" s="299" t="s">
        <v>98</v>
      </c>
      <c r="C283" s="299" t="s">
        <v>1369</v>
      </c>
      <c r="D283" s="299" t="str">
        <f t="shared" si="4"/>
        <v>20-34 Years</v>
      </c>
    </row>
    <row r="284" spans="1:4" x14ac:dyDescent="0.25">
      <c r="A284" s="299">
        <v>31</v>
      </c>
      <c r="B284" s="299" t="s">
        <v>98</v>
      </c>
      <c r="C284" s="299" t="s">
        <v>1369</v>
      </c>
      <c r="D284" s="299" t="str">
        <f t="shared" si="4"/>
        <v>20-34 Years</v>
      </c>
    </row>
    <row r="285" spans="1:4" x14ac:dyDescent="0.25">
      <c r="A285" s="299">
        <v>22</v>
      </c>
      <c r="B285" s="299" t="s">
        <v>98</v>
      </c>
      <c r="C285" s="299" t="s">
        <v>1369</v>
      </c>
      <c r="D285" s="299" t="str">
        <f t="shared" si="4"/>
        <v>20-34 Years</v>
      </c>
    </row>
    <row r="286" spans="1:4" x14ac:dyDescent="0.25">
      <c r="A286" s="299">
        <v>16</v>
      </c>
      <c r="B286" s="299" t="s">
        <v>98</v>
      </c>
      <c r="C286" s="299" t="s">
        <v>1369</v>
      </c>
      <c r="D286" s="299" t="str">
        <f t="shared" si="4"/>
        <v>15-17 Years</v>
      </c>
    </row>
    <row r="287" spans="1:4" x14ac:dyDescent="0.25">
      <c r="A287" s="299">
        <v>30</v>
      </c>
      <c r="B287" s="299" t="s">
        <v>98</v>
      </c>
      <c r="C287" s="299" t="s">
        <v>1369</v>
      </c>
      <c r="D287" s="299" t="str">
        <f t="shared" si="4"/>
        <v>20-34 Years</v>
      </c>
    </row>
    <row r="288" spans="1:4" x14ac:dyDescent="0.25">
      <c r="A288" s="299">
        <v>17</v>
      </c>
      <c r="B288" s="299" t="s">
        <v>98</v>
      </c>
      <c r="C288" s="299" t="s">
        <v>1369</v>
      </c>
      <c r="D288" s="299" t="str">
        <f t="shared" si="4"/>
        <v>15-17 Years</v>
      </c>
    </row>
    <row r="289" spans="1:4" x14ac:dyDescent="0.25">
      <c r="A289" s="299">
        <v>24</v>
      </c>
      <c r="B289" s="299" t="s">
        <v>98</v>
      </c>
      <c r="C289" s="299" t="s">
        <v>1369</v>
      </c>
      <c r="D289" s="299" t="str">
        <f t="shared" si="4"/>
        <v>20-34 Years</v>
      </c>
    </row>
    <row r="290" spans="1:4" x14ac:dyDescent="0.25">
      <c r="A290" s="299">
        <v>26</v>
      </c>
      <c r="B290" s="299" t="s">
        <v>98</v>
      </c>
      <c r="C290" s="299" t="s">
        <v>1369</v>
      </c>
      <c r="D290" s="299" t="str">
        <f t="shared" si="4"/>
        <v>20-34 Years</v>
      </c>
    </row>
    <row r="291" spans="1:4" x14ac:dyDescent="0.25">
      <c r="A291" s="299">
        <v>25</v>
      </c>
      <c r="B291" s="299" t="s">
        <v>98</v>
      </c>
      <c r="C291" s="299" t="s">
        <v>1369</v>
      </c>
      <c r="D291" s="299" t="str">
        <f t="shared" si="4"/>
        <v>20-34 Years</v>
      </c>
    </row>
    <row r="292" spans="1:4" x14ac:dyDescent="0.25">
      <c r="A292" s="503">
        <v>23</v>
      </c>
      <c r="B292" s="299" t="s">
        <v>98</v>
      </c>
      <c r="C292" s="299" t="s">
        <v>1369</v>
      </c>
      <c r="D292" s="299" t="str">
        <f t="shared" si="4"/>
        <v>20-34 Years</v>
      </c>
    </row>
    <row r="293" spans="1:4" x14ac:dyDescent="0.25">
      <c r="A293" s="299">
        <v>24</v>
      </c>
      <c r="B293" s="299" t="s">
        <v>98</v>
      </c>
      <c r="C293" s="299" t="s">
        <v>1369</v>
      </c>
      <c r="D293" s="299" t="str">
        <f t="shared" si="4"/>
        <v>20-34 Years</v>
      </c>
    </row>
    <row r="294" spans="1:4" x14ac:dyDescent="0.25">
      <c r="A294" s="299">
        <v>31</v>
      </c>
      <c r="B294" s="299" t="s">
        <v>98</v>
      </c>
      <c r="C294" s="299" t="s">
        <v>1369</v>
      </c>
      <c r="D294" s="299" t="str">
        <f t="shared" si="4"/>
        <v>20-34 Years</v>
      </c>
    </row>
    <row r="295" spans="1:4" x14ac:dyDescent="0.25">
      <c r="A295" s="299">
        <v>19</v>
      </c>
      <c r="B295" s="299" t="s">
        <v>98</v>
      </c>
      <c r="C295" s="299" t="s">
        <v>1369</v>
      </c>
      <c r="D295" s="299" t="str">
        <f t="shared" si="4"/>
        <v>18-19 Years</v>
      </c>
    </row>
    <row r="296" spans="1:4" x14ac:dyDescent="0.25">
      <c r="A296" s="299">
        <v>31</v>
      </c>
      <c r="B296" s="299" t="s">
        <v>98</v>
      </c>
      <c r="C296" s="299" t="s">
        <v>1369</v>
      </c>
      <c r="D296" s="299" t="str">
        <f t="shared" si="4"/>
        <v>20-34 Years</v>
      </c>
    </row>
    <row r="297" spans="1:4" x14ac:dyDescent="0.25">
      <c r="A297" s="299">
        <v>17</v>
      </c>
      <c r="B297" s="299" t="s">
        <v>98</v>
      </c>
      <c r="C297" s="299" t="s">
        <v>1369</v>
      </c>
      <c r="D297" s="299" t="str">
        <f t="shared" si="4"/>
        <v>15-17 Years</v>
      </c>
    </row>
    <row r="298" spans="1:4" x14ac:dyDescent="0.25">
      <c r="A298" s="299">
        <v>27</v>
      </c>
      <c r="B298" s="299" t="s">
        <v>98</v>
      </c>
      <c r="C298" s="299" t="s">
        <v>1369</v>
      </c>
      <c r="D298" s="299" t="str">
        <f t="shared" si="4"/>
        <v>20-34 Years</v>
      </c>
    </row>
    <row r="299" spans="1:4" x14ac:dyDescent="0.25">
      <c r="A299" s="299">
        <v>23</v>
      </c>
      <c r="B299" s="299" t="s">
        <v>98</v>
      </c>
      <c r="C299" s="299" t="s">
        <v>1369</v>
      </c>
      <c r="D299" s="299" t="str">
        <f t="shared" si="4"/>
        <v>20-34 Years</v>
      </c>
    </row>
    <row r="300" spans="1:4" x14ac:dyDescent="0.25">
      <c r="A300" s="299">
        <v>21</v>
      </c>
      <c r="B300" s="299" t="s">
        <v>98</v>
      </c>
      <c r="C300" s="299" t="s">
        <v>1369</v>
      </c>
      <c r="D300" s="299" t="str">
        <f t="shared" si="4"/>
        <v>20-34 Years</v>
      </c>
    </row>
    <row r="301" spans="1:4" x14ac:dyDescent="0.25">
      <c r="A301" s="299">
        <v>23</v>
      </c>
      <c r="B301" s="299" t="s">
        <v>98</v>
      </c>
      <c r="C301" s="299" t="s">
        <v>1369</v>
      </c>
      <c r="D301" s="299" t="str">
        <f t="shared" si="4"/>
        <v>20-34 Years</v>
      </c>
    </row>
    <row r="302" spans="1:4" x14ac:dyDescent="0.25">
      <c r="A302" s="299">
        <v>37</v>
      </c>
      <c r="B302" s="299" t="s">
        <v>98</v>
      </c>
      <c r="C302" s="299" t="s">
        <v>1369</v>
      </c>
      <c r="D302" s="299" t="str">
        <f t="shared" si="4"/>
        <v>35-49 Years</v>
      </c>
    </row>
    <row r="303" spans="1:4" x14ac:dyDescent="0.25">
      <c r="A303" s="299">
        <v>32</v>
      </c>
      <c r="B303" s="299" t="s">
        <v>98</v>
      </c>
      <c r="C303" s="299" t="s">
        <v>1369</v>
      </c>
      <c r="D303" s="299" t="str">
        <f t="shared" si="4"/>
        <v>20-34 Years</v>
      </c>
    </row>
    <row r="304" spans="1:4" x14ac:dyDescent="0.25">
      <c r="A304" s="299">
        <v>31</v>
      </c>
      <c r="B304" s="299" t="s">
        <v>98</v>
      </c>
      <c r="C304" s="299" t="s">
        <v>1369</v>
      </c>
      <c r="D304" s="299" t="str">
        <f t="shared" si="4"/>
        <v>20-34 Years</v>
      </c>
    </row>
    <row r="305" spans="1:4" x14ac:dyDescent="0.25">
      <c r="A305" s="299">
        <v>25</v>
      </c>
      <c r="B305" s="299" t="s">
        <v>98</v>
      </c>
      <c r="C305" s="299" t="s">
        <v>1369</v>
      </c>
      <c r="D305" s="299" t="str">
        <f t="shared" si="4"/>
        <v>20-34 Years</v>
      </c>
    </row>
    <row r="306" spans="1:4" x14ac:dyDescent="0.25">
      <c r="A306" s="299">
        <v>23</v>
      </c>
      <c r="B306" s="299" t="s">
        <v>98</v>
      </c>
      <c r="C306" s="299" t="s">
        <v>1369</v>
      </c>
      <c r="D306" s="299" t="str">
        <f t="shared" si="4"/>
        <v>20-34 Years</v>
      </c>
    </row>
    <row r="307" spans="1:4" x14ac:dyDescent="0.25">
      <c r="A307" s="299">
        <v>42</v>
      </c>
      <c r="B307" s="299" t="s">
        <v>98</v>
      </c>
      <c r="C307" s="299" t="s">
        <v>1369</v>
      </c>
      <c r="D307" s="299" t="str">
        <f t="shared" si="4"/>
        <v>35-49 Years</v>
      </c>
    </row>
    <row r="308" spans="1:4" x14ac:dyDescent="0.25">
      <c r="A308" s="299">
        <v>25</v>
      </c>
      <c r="B308" s="299" t="s">
        <v>98</v>
      </c>
      <c r="C308" s="299" t="s">
        <v>1369</v>
      </c>
      <c r="D308" s="299" t="str">
        <f t="shared" si="4"/>
        <v>20-34 Years</v>
      </c>
    </row>
    <row r="309" spans="1:4" x14ac:dyDescent="0.25">
      <c r="A309" s="299">
        <v>33</v>
      </c>
      <c r="B309" s="299" t="s">
        <v>98</v>
      </c>
      <c r="C309" s="299" t="s">
        <v>1369</v>
      </c>
      <c r="D309" s="299" t="str">
        <f t="shared" si="4"/>
        <v>20-34 Years</v>
      </c>
    </row>
    <row r="310" spans="1:4" x14ac:dyDescent="0.25">
      <c r="A310" s="299">
        <v>29</v>
      </c>
      <c r="B310" s="299" t="s">
        <v>98</v>
      </c>
      <c r="C310" s="299" t="s">
        <v>1369</v>
      </c>
      <c r="D310" s="299" t="str">
        <f t="shared" si="4"/>
        <v>20-34 Years</v>
      </c>
    </row>
    <row r="311" spans="1:4" x14ac:dyDescent="0.25">
      <c r="A311" s="299">
        <v>18</v>
      </c>
      <c r="B311" s="299" t="s">
        <v>98</v>
      </c>
      <c r="C311" s="299" t="s">
        <v>1369</v>
      </c>
      <c r="D311" s="299" t="str">
        <f t="shared" si="4"/>
        <v>18-19 Years</v>
      </c>
    </row>
    <row r="312" spans="1:4" x14ac:dyDescent="0.25">
      <c r="A312" s="299">
        <v>32</v>
      </c>
      <c r="B312" s="299" t="s">
        <v>98</v>
      </c>
      <c r="C312" s="299" t="s">
        <v>1369</v>
      </c>
      <c r="D312" s="299" t="str">
        <f t="shared" si="4"/>
        <v>20-34 Years</v>
      </c>
    </row>
    <row r="313" spans="1:4" x14ac:dyDescent="0.25">
      <c r="A313" s="299">
        <v>36</v>
      </c>
      <c r="B313" s="299" t="s">
        <v>98</v>
      </c>
      <c r="C313" s="299" t="s">
        <v>1369</v>
      </c>
      <c r="D313" s="299" t="str">
        <f t="shared" si="4"/>
        <v>35-49 Years</v>
      </c>
    </row>
    <row r="314" spans="1:4" x14ac:dyDescent="0.25">
      <c r="A314" s="299">
        <v>42</v>
      </c>
      <c r="B314" s="299" t="s">
        <v>98</v>
      </c>
      <c r="C314" s="299" t="s">
        <v>1369</v>
      </c>
      <c r="D314" s="299" t="str">
        <f t="shared" si="4"/>
        <v>35-49 Years</v>
      </c>
    </row>
    <row r="315" spans="1:4" x14ac:dyDescent="0.25">
      <c r="A315" s="299">
        <v>27</v>
      </c>
      <c r="B315" s="299" t="s">
        <v>98</v>
      </c>
      <c r="C315" s="299" t="s">
        <v>1369</v>
      </c>
      <c r="D315" s="299" t="str">
        <f t="shared" si="4"/>
        <v>20-34 Years</v>
      </c>
    </row>
    <row r="316" spans="1:4" x14ac:dyDescent="0.25">
      <c r="A316" s="299">
        <v>27</v>
      </c>
      <c r="B316" s="299" t="s">
        <v>98</v>
      </c>
      <c r="C316" s="299" t="s">
        <v>1369</v>
      </c>
      <c r="D316" s="299" t="str">
        <f t="shared" si="4"/>
        <v>20-34 Years</v>
      </c>
    </row>
    <row r="317" spans="1:4" x14ac:dyDescent="0.25">
      <c r="A317" s="299">
        <v>15</v>
      </c>
      <c r="B317" s="299" t="s">
        <v>98</v>
      </c>
      <c r="C317" s="299" t="s">
        <v>1369</v>
      </c>
      <c r="D317" s="299" t="str">
        <f t="shared" si="4"/>
        <v>15-17 Years</v>
      </c>
    </row>
    <row r="318" spans="1:4" x14ac:dyDescent="0.25">
      <c r="A318" s="299">
        <v>25</v>
      </c>
      <c r="B318" s="299" t="s">
        <v>98</v>
      </c>
      <c r="C318" s="299" t="s">
        <v>1369</v>
      </c>
      <c r="D318" s="299" t="str">
        <f t="shared" si="4"/>
        <v>20-34 Years</v>
      </c>
    </row>
    <row r="319" spans="1:4" x14ac:dyDescent="0.25">
      <c r="A319" s="299">
        <v>30</v>
      </c>
      <c r="B319" s="299" t="s">
        <v>98</v>
      </c>
      <c r="C319" s="299" t="s">
        <v>1369</v>
      </c>
      <c r="D319" s="299" t="str">
        <f t="shared" si="4"/>
        <v>20-34 Years</v>
      </c>
    </row>
    <row r="320" spans="1:4" x14ac:dyDescent="0.25">
      <c r="A320" s="299">
        <v>24</v>
      </c>
      <c r="B320" s="299" t="s">
        <v>98</v>
      </c>
      <c r="C320" s="299" t="s">
        <v>1369</v>
      </c>
      <c r="D320" s="299" t="str">
        <f t="shared" si="4"/>
        <v>20-34 Years</v>
      </c>
    </row>
    <row r="321" spans="1:4" x14ac:dyDescent="0.25">
      <c r="A321" s="299">
        <v>24</v>
      </c>
      <c r="B321" s="299" t="s">
        <v>98</v>
      </c>
      <c r="C321" s="299" t="s">
        <v>1369</v>
      </c>
      <c r="D321" s="299" t="str">
        <f t="shared" si="4"/>
        <v>20-34 Years</v>
      </c>
    </row>
    <row r="322" spans="1:4" x14ac:dyDescent="0.25">
      <c r="A322" s="299">
        <v>22</v>
      </c>
      <c r="B322" s="299" t="s">
        <v>98</v>
      </c>
      <c r="C322" s="299" t="s">
        <v>1369</v>
      </c>
      <c r="D322" s="299" t="str">
        <f t="shared" ref="D322:D385" si="5">IFERROR(
  IF(OR(RIGHT(UPPER(A322),1)="D", RIGHT(UPPER(A322),3)="DAY", RIGHT(UPPER(A322),4)="DAYS"), "0-28 Days",
  IF(RIGHT(UPPER(A322),3)="MTH", "1-11 Months",
  IF(A322+0&lt;1, "0-28 Days",
  IF(A322+0&lt;5, "1-4 Years",
  IF(A322+0&lt;10, "5-9 Years",
  IF(A322+0&lt;15, "10-14 Years",
  IF(A322+0&lt;18, "15-17 Years",
  IF(A322+0&lt;20, "18-19 Years",
  IF(A322+0&lt;35, "20-34 Years",
  IF(A322+0&lt;50, "35-49 Years",
  IF(A322+0&lt;60, "50-59 Years",
  IF(A322+0&lt;70, "60-69 Years", "70+ Years"
)))))))))))), "Unknown")</f>
        <v>20-34 Years</v>
      </c>
    </row>
    <row r="323" spans="1:4" x14ac:dyDescent="0.25">
      <c r="A323" s="299">
        <v>30</v>
      </c>
      <c r="B323" s="299" t="s">
        <v>98</v>
      </c>
      <c r="C323" s="299" t="s">
        <v>1369</v>
      </c>
      <c r="D323" s="299" t="str">
        <f t="shared" si="5"/>
        <v>20-34 Years</v>
      </c>
    </row>
    <row r="324" spans="1:4" x14ac:dyDescent="0.25">
      <c r="A324" s="299">
        <v>26</v>
      </c>
      <c r="B324" s="299" t="s">
        <v>98</v>
      </c>
      <c r="C324" s="299" t="s">
        <v>1369</v>
      </c>
      <c r="D324" s="299" t="str">
        <f t="shared" si="5"/>
        <v>20-34 Years</v>
      </c>
    </row>
    <row r="325" spans="1:4" x14ac:dyDescent="0.25">
      <c r="A325" s="299">
        <v>25</v>
      </c>
      <c r="B325" s="299" t="s">
        <v>98</v>
      </c>
      <c r="C325" s="299" t="s">
        <v>1369</v>
      </c>
      <c r="D325" s="299" t="str">
        <f t="shared" si="5"/>
        <v>20-34 Years</v>
      </c>
    </row>
    <row r="326" spans="1:4" x14ac:dyDescent="0.25">
      <c r="A326" s="299">
        <v>25</v>
      </c>
      <c r="B326" s="299" t="s">
        <v>98</v>
      </c>
      <c r="C326" s="299" t="s">
        <v>1369</v>
      </c>
      <c r="D326" s="299" t="str">
        <f t="shared" si="5"/>
        <v>20-34 Years</v>
      </c>
    </row>
    <row r="327" spans="1:4" x14ac:dyDescent="0.25">
      <c r="A327" s="299">
        <v>16</v>
      </c>
      <c r="B327" s="299" t="s">
        <v>98</v>
      </c>
      <c r="C327" s="299" t="s">
        <v>1369</v>
      </c>
      <c r="D327" s="299" t="str">
        <f t="shared" si="5"/>
        <v>15-17 Years</v>
      </c>
    </row>
    <row r="328" spans="1:4" x14ac:dyDescent="0.25">
      <c r="A328" s="299">
        <v>25</v>
      </c>
      <c r="B328" s="299" t="s">
        <v>98</v>
      </c>
      <c r="C328" s="299" t="s">
        <v>1369</v>
      </c>
      <c r="D328" s="299" t="str">
        <f t="shared" si="5"/>
        <v>20-34 Years</v>
      </c>
    </row>
    <row r="329" spans="1:4" x14ac:dyDescent="0.25">
      <c r="A329" s="299">
        <v>38</v>
      </c>
      <c r="B329" s="299" t="s">
        <v>98</v>
      </c>
      <c r="C329" s="299" t="s">
        <v>1369</v>
      </c>
      <c r="D329" s="299" t="str">
        <f t="shared" si="5"/>
        <v>35-49 Years</v>
      </c>
    </row>
    <row r="330" spans="1:4" x14ac:dyDescent="0.25">
      <c r="A330" s="299">
        <v>26</v>
      </c>
      <c r="B330" s="299" t="s">
        <v>98</v>
      </c>
      <c r="C330" s="299" t="s">
        <v>1369</v>
      </c>
      <c r="D330" s="299" t="str">
        <f t="shared" si="5"/>
        <v>20-34 Years</v>
      </c>
    </row>
    <row r="331" spans="1:4" x14ac:dyDescent="0.25">
      <c r="A331" s="299">
        <v>33</v>
      </c>
      <c r="B331" s="299" t="s">
        <v>98</v>
      </c>
      <c r="C331" s="299" t="s">
        <v>1369</v>
      </c>
      <c r="D331" s="299" t="str">
        <f t="shared" si="5"/>
        <v>20-34 Years</v>
      </c>
    </row>
    <row r="332" spans="1:4" x14ac:dyDescent="0.25">
      <c r="A332" s="299">
        <v>27</v>
      </c>
      <c r="B332" s="299" t="s">
        <v>98</v>
      </c>
      <c r="C332" s="299" t="s">
        <v>1369</v>
      </c>
      <c r="D332" s="299" t="str">
        <f t="shared" si="5"/>
        <v>20-34 Years</v>
      </c>
    </row>
    <row r="333" spans="1:4" x14ac:dyDescent="0.25">
      <c r="A333" s="299">
        <v>35</v>
      </c>
      <c r="B333" s="299" t="s">
        <v>98</v>
      </c>
      <c r="C333" s="299" t="s">
        <v>1369</v>
      </c>
      <c r="D333" s="299" t="str">
        <f t="shared" si="5"/>
        <v>35-49 Years</v>
      </c>
    </row>
    <row r="334" spans="1:4" x14ac:dyDescent="0.25">
      <c r="A334" s="299">
        <v>16</v>
      </c>
      <c r="B334" s="299" t="s">
        <v>98</v>
      </c>
      <c r="C334" s="299" t="s">
        <v>1369</v>
      </c>
      <c r="D334" s="299" t="str">
        <f t="shared" si="5"/>
        <v>15-17 Years</v>
      </c>
    </row>
    <row r="335" spans="1:4" x14ac:dyDescent="0.25">
      <c r="A335" s="299">
        <v>20</v>
      </c>
      <c r="B335" s="299" t="s">
        <v>98</v>
      </c>
      <c r="C335" s="299" t="s">
        <v>1369</v>
      </c>
      <c r="D335" s="299" t="str">
        <f t="shared" si="5"/>
        <v>20-34 Years</v>
      </c>
    </row>
    <row r="336" spans="1:4" x14ac:dyDescent="0.25">
      <c r="A336" s="299">
        <v>24</v>
      </c>
      <c r="B336" s="299" t="s">
        <v>98</v>
      </c>
      <c r="C336" s="299" t="s">
        <v>1369</v>
      </c>
      <c r="D336" s="299" t="str">
        <f t="shared" si="5"/>
        <v>20-34 Years</v>
      </c>
    </row>
    <row r="337" spans="1:4" x14ac:dyDescent="0.25">
      <c r="A337" s="299">
        <v>19</v>
      </c>
      <c r="B337" s="299" t="s">
        <v>98</v>
      </c>
      <c r="C337" s="299" t="s">
        <v>1369</v>
      </c>
      <c r="D337" s="299" t="str">
        <f t="shared" si="5"/>
        <v>18-19 Years</v>
      </c>
    </row>
    <row r="338" spans="1:4" x14ac:dyDescent="0.25">
      <c r="A338" s="299">
        <v>19</v>
      </c>
      <c r="B338" s="299" t="s">
        <v>98</v>
      </c>
      <c r="C338" s="299" t="s">
        <v>1369</v>
      </c>
      <c r="D338" s="299" t="str">
        <f t="shared" si="5"/>
        <v>18-19 Years</v>
      </c>
    </row>
    <row r="339" spans="1:4" x14ac:dyDescent="0.25">
      <c r="A339" s="299">
        <v>21</v>
      </c>
      <c r="B339" s="299" t="s">
        <v>98</v>
      </c>
      <c r="C339" s="299" t="s">
        <v>1369</v>
      </c>
      <c r="D339" s="299" t="str">
        <f t="shared" si="5"/>
        <v>20-34 Years</v>
      </c>
    </row>
    <row r="340" spans="1:4" x14ac:dyDescent="0.25">
      <c r="A340" s="299">
        <v>23</v>
      </c>
      <c r="B340" s="299" t="s">
        <v>98</v>
      </c>
      <c r="C340" s="299" t="s">
        <v>1369</v>
      </c>
      <c r="D340" s="299" t="str">
        <f t="shared" si="5"/>
        <v>20-34 Years</v>
      </c>
    </row>
    <row r="341" spans="1:4" x14ac:dyDescent="0.25">
      <c r="A341" s="299">
        <v>31</v>
      </c>
      <c r="B341" s="299" t="s">
        <v>98</v>
      </c>
      <c r="C341" s="299" t="s">
        <v>1369</v>
      </c>
      <c r="D341" s="299" t="str">
        <f t="shared" si="5"/>
        <v>20-34 Years</v>
      </c>
    </row>
    <row r="342" spans="1:4" x14ac:dyDescent="0.25">
      <c r="A342" s="299">
        <v>37</v>
      </c>
      <c r="B342" s="299" t="s">
        <v>98</v>
      </c>
      <c r="C342" s="299" t="s">
        <v>1369</v>
      </c>
      <c r="D342" s="299" t="str">
        <f t="shared" si="5"/>
        <v>35-49 Years</v>
      </c>
    </row>
    <row r="343" spans="1:4" x14ac:dyDescent="0.25">
      <c r="A343" s="299">
        <v>16</v>
      </c>
      <c r="B343" s="299" t="s">
        <v>98</v>
      </c>
      <c r="C343" s="299" t="s">
        <v>1369</v>
      </c>
      <c r="D343" s="299" t="str">
        <f t="shared" si="5"/>
        <v>15-17 Years</v>
      </c>
    </row>
    <row r="344" spans="1:4" x14ac:dyDescent="0.25">
      <c r="A344" s="299">
        <v>33</v>
      </c>
      <c r="B344" s="299" t="s">
        <v>98</v>
      </c>
      <c r="C344" s="299" t="s">
        <v>1369</v>
      </c>
      <c r="D344" s="299" t="str">
        <f t="shared" si="5"/>
        <v>20-34 Years</v>
      </c>
    </row>
    <row r="345" spans="1:4" x14ac:dyDescent="0.25">
      <c r="A345" s="299">
        <v>31</v>
      </c>
      <c r="B345" s="299" t="s">
        <v>98</v>
      </c>
      <c r="C345" s="299" t="s">
        <v>1369</v>
      </c>
      <c r="D345" s="299" t="str">
        <f t="shared" si="5"/>
        <v>20-34 Years</v>
      </c>
    </row>
    <row r="346" spans="1:4" x14ac:dyDescent="0.25">
      <c r="A346" s="299">
        <v>33</v>
      </c>
      <c r="B346" s="299" t="s">
        <v>98</v>
      </c>
      <c r="C346" s="299" t="s">
        <v>1369</v>
      </c>
      <c r="D346" s="299" t="str">
        <f t="shared" si="5"/>
        <v>20-34 Years</v>
      </c>
    </row>
    <row r="347" spans="1:4" x14ac:dyDescent="0.25">
      <c r="A347" s="299">
        <v>35</v>
      </c>
      <c r="B347" s="299" t="s">
        <v>98</v>
      </c>
      <c r="C347" s="299" t="s">
        <v>1369</v>
      </c>
      <c r="D347" s="299" t="str">
        <f t="shared" si="5"/>
        <v>35-49 Years</v>
      </c>
    </row>
    <row r="348" spans="1:4" x14ac:dyDescent="0.25">
      <c r="A348" s="299">
        <v>27</v>
      </c>
      <c r="B348" s="299" t="s">
        <v>98</v>
      </c>
      <c r="C348" s="299" t="s">
        <v>1369</v>
      </c>
      <c r="D348" s="299" t="str">
        <f t="shared" si="5"/>
        <v>20-34 Years</v>
      </c>
    </row>
    <row r="349" spans="1:4" x14ac:dyDescent="0.25">
      <c r="A349" s="299">
        <v>33</v>
      </c>
      <c r="B349" s="299" t="s">
        <v>98</v>
      </c>
      <c r="C349" s="299" t="s">
        <v>1369</v>
      </c>
      <c r="D349" s="299" t="str">
        <f t="shared" si="5"/>
        <v>20-34 Years</v>
      </c>
    </row>
    <row r="350" spans="1:4" x14ac:dyDescent="0.25">
      <c r="A350" s="299">
        <v>25</v>
      </c>
      <c r="B350" s="299" t="s">
        <v>98</v>
      </c>
      <c r="C350" s="299" t="s">
        <v>1369</v>
      </c>
      <c r="D350" s="299" t="str">
        <f t="shared" si="5"/>
        <v>20-34 Years</v>
      </c>
    </row>
    <row r="351" spans="1:4" x14ac:dyDescent="0.25">
      <c r="A351" s="299">
        <v>38</v>
      </c>
      <c r="B351" s="299" t="s">
        <v>98</v>
      </c>
      <c r="C351" s="299" t="s">
        <v>1369</v>
      </c>
      <c r="D351" s="299" t="str">
        <f t="shared" si="5"/>
        <v>35-49 Years</v>
      </c>
    </row>
    <row r="352" spans="1:4" x14ac:dyDescent="0.25">
      <c r="A352" s="299">
        <v>18</v>
      </c>
      <c r="B352" s="299" t="s">
        <v>98</v>
      </c>
      <c r="C352" s="299" t="s">
        <v>1369</v>
      </c>
      <c r="D352" s="299" t="str">
        <f t="shared" si="5"/>
        <v>18-19 Years</v>
      </c>
    </row>
    <row r="353" spans="1:4" x14ac:dyDescent="0.25">
      <c r="A353" s="503">
        <v>25</v>
      </c>
      <c r="B353" s="299" t="s">
        <v>98</v>
      </c>
      <c r="C353" s="299" t="s">
        <v>1369</v>
      </c>
      <c r="D353" s="503" t="str">
        <f t="shared" si="5"/>
        <v>20-34 Years</v>
      </c>
    </row>
    <row r="354" spans="1:4" x14ac:dyDescent="0.25">
      <c r="A354" s="299">
        <v>19</v>
      </c>
      <c r="B354" s="299" t="s">
        <v>98</v>
      </c>
      <c r="C354" s="299" t="s">
        <v>1369</v>
      </c>
      <c r="D354" s="299" t="str">
        <f t="shared" si="5"/>
        <v>18-19 Years</v>
      </c>
    </row>
    <row r="355" spans="1:4" x14ac:dyDescent="0.25">
      <c r="A355" s="299">
        <v>23</v>
      </c>
      <c r="B355" s="299" t="s">
        <v>98</v>
      </c>
      <c r="C355" s="299" t="s">
        <v>1369</v>
      </c>
      <c r="D355" s="299" t="str">
        <f t="shared" si="5"/>
        <v>20-34 Years</v>
      </c>
    </row>
    <row r="356" spans="1:4" x14ac:dyDescent="0.25">
      <c r="A356" s="299">
        <v>25</v>
      </c>
      <c r="B356" s="299" t="s">
        <v>98</v>
      </c>
      <c r="C356" s="299" t="s">
        <v>1369</v>
      </c>
      <c r="D356" s="299" t="str">
        <f t="shared" si="5"/>
        <v>20-34 Years</v>
      </c>
    </row>
    <row r="357" spans="1:4" x14ac:dyDescent="0.25">
      <c r="A357" s="299">
        <v>37</v>
      </c>
      <c r="B357" s="299" t="s">
        <v>98</v>
      </c>
      <c r="C357" s="299" t="s">
        <v>1369</v>
      </c>
      <c r="D357" s="299" t="str">
        <f t="shared" si="5"/>
        <v>35-49 Years</v>
      </c>
    </row>
    <row r="358" spans="1:4" x14ac:dyDescent="0.25">
      <c r="A358" s="299">
        <v>27</v>
      </c>
      <c r="B358" s="299" t="s">
        <v>98</v>
      </c>
      <c r="C358" s="299" t="s">
        <v>1369</v>
      </c>
      <c r="D358" s="299" t="str">
        <f t="shared" si="5"/>
        <v>20-34 Years</v>
      </c>
    </row>
    <row r="359" spans="1:4" x14ac:dyDescent="0.25">
      <c r="A359" s="299">
        <v>30</v>
      </c>
      <c r="B359" s="299" t="s">
        <v>98</v>
      </c>
      <c r="C359" s="299" t="s">
        <v>1369</v>
      </c>
      <c r="D359" s="299" t="str">
        <f t="shared" si="5"/>
        <v>20-34 Years</v>
      </c>
    </row>
    <row r="360" spans="1:4" x14ac:dyDescent="0.25">
      <c r="A360" s="299">
        <v>24</v>
      </c>
      <c r="B360" s="299" t="s">
        <v>98</v>
      </c>
      <c r="C360" s="299" t="s">
        <v>1369</v>
      </c>
      <c r="D360" s="299" t="str">
        <f t="shared" si="5"/>
        <v>20-34 Years</v>
      </c>
    </row>
    <row r="361" spans="1:4" x14ac:dyDescent="0.25">
      <c r="A361" s="299">
        <v>33</v>
      </c>
      <c r="B361" s="299" t="s">
        <v>98</v>
      </c>
      <c r="C361" s="299" t="s">
        <v>1369</v>
      </c>
      <c r="D361" s="299" t="str">
        <f t="shared" si="5"/>
        <v>20-34 Years</v>
      </c>
    </row>
    <row r="362" spans="1:4" x14ac:dyDescent="0.25">
      <c r="A362" s="299">
        <v>28</v>
      </c>
      <c r="B362" s="299" t="s">
        <v>98</v>
      </c>
      <c r="C362" s="299" t="s">
        <v>1369</v>
      </c>
      <c r="D362" s="299" t="str">
        <f t="shared" si="5"/>
        <v>20-34 Years</v>
      </c>
    </row>
    <row r="363" spans="1:4" x14ac:dyDescent="0.25">
      <c r="A363" s="299">
        <v>39</v>
      </c>
      <c r="B363" s="299" t="s">
        <v>98</v>
      </c>
      <c r="C363" s="299" t="s">
        <v>1369</v>
      </c>
      <c r="D363" s="299" t="str">
        <f t="shared" si="5"/>
        <v>35-49 Years</v>
      </c>
    </row>
    <row r="364" spans="1:4" x14ac:dyDescent="0.25">
      <c r="A364" s="299">
        <v>28</v>
      </c>
      <c r="B364" s="299" t="s">
        <v>98</v>
      </c>
      <c r="C364" s="299" t="s">
        <v>1369</v>
      </c>
      <c r="D364" s="299" t="str">
        <f t="shared" si="5"/>
        <v>20-34 Years</v>
      </c>
    </row>
    <row r="365" spans="1:4" x14ac:dyDescent="0.25">
      <c r="A365" s="299">
        <v>21</v>
      </c>
      <c r="B365" s="299" t="s">
        <v>98</v>
      </c>
      <c r="C365" s="299" t="s">
        <v>1369</v>
      </c>
      <c r="D365" s="299" t="str">
        <f t="shared" si="5"/>
        <v>20-34 Years</v>
      </c>
    </row>
    <row r="366" spans="1:4" x14ac:dyDescent="0.25">
      <c r="A366" s="299">
        <v>19</v>
      </c>
      <c r="B366" s="299" t="s">
        <v>98</v>
      </c>
      <c r="C366" s="299" t="s">
        <v>1369</v>
      </c>
      <c r="D366" s="299" t="str">
        <f t="shared" si="5"/>
        <v>18-19 Years</v>
      </c>
    </row>
    <row r="367" spans="1:4" x14ac:dyDescent="0.25">
      <c r="A367" s="299">
        <v>24</v>
      </c>
      <c r="B367" s="299" t="s">
        <v>98</v>
      </c>
      <c r="C367" s="299" t="s">
        <v>1369</v>
      </c>
      <c r="D367" s="299" t="str">
        <f t="shared" si="5"/>
        <v>20-34 Years</v>
      </c>
    </row>
    <row r="368" spans="1:4" x14ac:dyDescent="0.25">
      <c r="A368" s="299">
        <v>32</v>
      </c>
      <c r="B368" s="299" t="s">
        <v>98</v>
      </c>
      <c r="C368" s="299" t="s">
        <v>1369</v>
      </c>
      <c r="D368" s="299" t="str">
        <f t="shared" si="5"/>
        <v>20-34 Years</v>
      </c>
    </row>
    <row r="369" spans="1:4" x14ac:dyDescent="0.25">
      <c r="A369" s="299">
        <v>29</v>
      </c>
      <c r="B369" s="299" t="s">
        <v>98</v>
      </c>
      <c r="C369" s="299" t="s">
        <v>1369</v>
      </c>
      <c r="D369" s="299" t="str">
        <f t="shared" si="5"/>
        <v>20-34 Years</v>
      </c>
    </row>
    <row r="370" spans="1:4" x14ac:dyDescent="0.25">
      <c r="A370" s="299">
        <v>38</v>
      </c>
      <c r="B370" s="299" t="s">
        <v>98</v>
      </c>
      <c r="C370" s="299" t="s">
        <v>1369</v>
      </c>
      <c r="D370" s="299" t="str">
        <f t="shared" si="5"/>
        <v>35-49 Years</v>
      </c>
    </row>
    <row r="371" spans="1:4" x14ac:dyDescent="0.25">
      <c r="A371" s="299">
        <v>39</v>
      </c>
      <c r="B371" s="299" t="s">
        <v>98</v>
      </c>
      <c r="C371" s="299" t="s">
        <v>1369</v>
      </c>
      <c r="D371" s="299" t="str">
        <f t="shared" si="5"/>
        <v>35-49 Years</v>
      </c>
    </row>
    <row r="372" spans="1:4" x14ac:dyDescent="0.25">
      <c r="A372" s="299">
        <v>44</v>
      </c>
      <c r="B372" s="299" t="s">
        <v>98</v>
      </c>
      <c r="C372" s="299" t="s">
        <v>1369</v>
      </c>
      <c r="D372" s="299" t="str">
        <f t="shared" si="5"/>
        <v>35-49 Years</v>
      </c>
    </row>
    <row r="373" spans="1:4" x14ac:dyDescent="0.25">
      <c r="A373" s="299">
        <v>23</v>
      </c>
      <c r="B373" s="299" t="s">
        <v>98</v>
      </c>
      <c r="C373" s="299" t="s">
        <v>1369</v>
      </c>
      <c r="D373" s="299" t="str">
        <f t="shared" si="5"/>
        <v>20-34 Years</v>
      </c>
    </row>
    <row r="374" spans="1:4" x14ac:dyDescent="0.25">
      <c r="A374" s="299">
        <v>32</v>
      </c>
      <c r="B374" s="299" t="s">
        <v>98</v>
      </c>
      <c r="C374" s="299" t="s">
        <v>1369</v>
      </c>
      <c r="D374" s="299" t="str">
        <f t="shared" si="5"/>
        <v>20-34 Years</v>
      </c>
    </row>
    <row r="375" spans="1:4" x14ac:dyDescent="0.25">
      <c r="A375" s="299">
        <v>25</v>
      </c>
      <c r="B375" s="299" t="s">
        <v>98</v>
      </c>
      <c r="C375" s="299" t="s">
        <v>1369</v>
      </c>
      <c r="D375" s="299" t="str">
        <f t="shared" si="5"/>
        <v>20-34 Years</v>
      </c>
    </row>
    <row r="376" spans="1:4" x14ac:dyDescent="0.25">
      <c r="A376" s="299">
        <v>30</v>
      </c>
      <c r="B376" s="299" t="s">
        <v>98</v>
      </c>
      <c r="C376" s="299" t="s">
        <v>1369</v>
      </c>
      <c r="D376" s="299" t="str">
        <f t="shared" si="5"/>
        <v>20-34 Years</v>
      </c>
    </row>
    <row r="377" spans="1:4" x14ac:dyDescent="0.25">
      <c r="A377" s="299">
        <v>26</v>
      </c>
      <c r="B377" s="299" t="s">
        <v>98</v>
      </c>
      <c r="C377" s="299" t="s">
        <v>1369</v>
      </c>
      <c r="D377" s="299" t="str">
        <f t="shared" si="5"/>
        <v>20-34 Years</v>
      </c>
    </row>
    <row r="378" spans="1:4" x14ac:dyDescent="0.25">
      <c r="A378" s="299">
        <v>24</v>
      </c>
      <c r="B378" s="299" t="s">
        <v>98</v>
      </c>
      <c r="C378" s="299" t="s">
        <v>1369</v>
      </c>
      <c r="D378" s="299" t="str">
        <f t="shared" si="5"/>
        <v>20-34 Years</v>
      </c>
    </row>
    <row r="379" spans="1:4" x14ac:dyDescent="0.25">
      <c r="A379" s="299">
        <v>31</v>
      </c>
      <c r="B379" s="299" t="s">
        <v>98</v>
      </c>
      <c r="C379" s="299" t="s">
        <v>1369</v>
      </c>
      <c r="D379" s="299" t="str">
        <f t="shared" si="5"/>
        <v>20-34 Years</v>
      </c>
    </row>
    <row r="380" spans="1:4" x14ac:dyDescent="0.25">
      <c r="A380" s="299">
        <v>37</v>
      </c>
      <c r="B380" s="299" t="s">
        <v>98</v>
      </c>
      <c r="C380" s="299" t="s">
        <v>1369</v>
      </c>
      <c r="D380" s="299" t="str">
        <f t="shared" si="5"/>
        <v>35-49 Years</v>
      </c>
    </row>
    <row r="381" spans="1:4" x14ac:dyDescent="0.25">
      <c r="A381" s="299">
        <v>28</v>
      </c>
      <c r="B381" s="299" t="s">
        <v>98</v>
      </c>
      <c r="C381" s="299" t="s">
        <v>1369</v>
      </c>
      <c r="D381" s="299" t="str">
        <f t="shared" si="5"/>
        <v>20-34 Years</v>
      </c>
    </row>
    <row r="382" spans="1:4" x14ac:dyDescent="0.25">
      <c r="A382" s="299">
        <v>32</v>
      </c>
      <c r="B382" s="299" t="s">
        <v>98</v>
      </c>
      <c r="C382" s="299" t="s">
        <v>1369</v>
      </c>
      <c r="D382" s="299" t="str">
        <f t="shared" si="5"/>
        <v>20-34 Years</v>
      </c>
    </row>
    <row r="383" spans="1:4" x14ac:dyDescent="0.25">
      <c r="A383" s="299">
        <v>20</v>
      </c>
      <c r="B383" s="299" t="s">
        <v>98</v>
      </c>
      <c r="C383" s="299" t="s">
        <v>1369</v>
      </c>
      <c r="D383" s="299" t="str">
        <f t="shared" si="5"/>
        <v>20-34 Years</v>
      </c>
    </row>
    <row r="384" spans="1:4" x14ac:dyDescent="0.25">
      <c r="A384" s="299">
        <v>21</v>
      </c>
      <c r="B384" s="299" t="s">
        <v>98</v>
      </c>
      <c r="C384" s="299" t="s">
        <v>1369</v>
      </c>
      <c r="D384" s="299" t="str">
        <f t="shared" si="5"/>
        <v>20-34 Years</v>
      </c>
    </row>
    <row r="385" spans="1:4" x14ac:dyDescent="0.25">
      <c r="A385" s="299">
        <v>16</v>
      </c>
      <c r="B385" s="299" t="s">
        <v>98</v>
      </c>
      <c r="C385" s="299" t="s">
        <v>1369</v>
      </c>
      <c r="D385" s="299" t="str">
        <f t="shared" si="5"/>
        <v>15-17 Years</v>
      </c>
    </row>
    <row r="386" spans="1:4" x14ac:dyDescent="0.25">
      <c r="A386" s="299">
        <v>32</v>
      </c>
      <c r="B386" s="299" t="s">
        <v>98</v>
      </c>
      <c r="C386" s="299" t="s">
        <v>1369</v>
      </c>
      <c r="D386" s="299" t="str">
        <f t="shared" ref="D386:D449" si="6">IFERROR(
  IF(OR(RIGHT(UPPER(A386),1)="D", RIGHT(UPPER(A386),3)="DAY", RIGHT(UPPER(A386),4)="DAYS"), "0-28 Days",
  IF(RIGHT(UPPER(A386),3)="MTH", "1-11 Months",
  IF(A386+0&lt;1, "0-28 Days",
  IF(A386+0&lt;5, "1-4 Years",
  IF(A386+0&lt;10, "5-9 Years",
  IF(A386+0&lt;15, "10-14 Years",
  IF(A386+0&lt;18, "15-17 Years",
  IF(A386+0&lt;20, "18-19 Years",
  IF(A386+0&lt;35, "20-34 Years",
  IF(A386+0&lt;50, "35-49 Years",
  IF(A386+0&lt;60, "50-59 Years",
  IF(A386+0&lt;70, "60-69 Years", "70+ Years"
)))))))))))), "Unknown")</f>
        <v>20-34 Years</v>
      </c>
    </row>
    <row r="387" spans="1:4" x14ac:dyDescent="0.25">
      <c r="A387" s="299">
        <v>40</v>
      </c>
      <c r="B387" s="299" t="s">
        <v>98</v>
      </c>
      <c r="C387" s="299" t="s">
        <v>1369</v>
      </c>
      <c r="D387" s="299" t="str">
        <f t="shared" si="6"/>
        <v>35-49 Years</v>
      </c>
    </row>
    <row r="388" spans="1:4" x14ac:dyDescent="0.25">
      <c r="A388" s="299">
        <v>34</v>
      </c>
      <c r="B388" s="299" t="s">
        <v>98</v>
      </c>
      <c r="C388" s="299" t="s">
        <v>1369</v>
      </c>
      <c r="D388" s="299" t="str">
        <f t="shared" si="6"/>
        <v>20-34 Years</v>
      </c>
    </row>
    <row r="389" spans="1:4" x14ac:dyDescent="0.25">
      <c r="A389" s="299">
        <v>42</v>
      </c>
      <c r="B389" s="299" t="s">
        <v>98</v>
      </c>
      <c r="C389" s="299" t="s">
        <v>1369</v>
      </c>
      <c r="D389" s="299" t="str">
        <f t="shared" si="6"/>
        <v>35-49 Years</v>
      </c>
    </row>
    <row r="390" spans="1:4" x14ac:dyDescent="0.25">
      <c r="A390" s="503">
        <v>20</v>
      </c>
      <c r="B390" s="299" t="s">
        <v>98</v>
      </c>
      <c r="C390" s="299" t="s">
        <v>1369</v>
      </c>
      <c r="D390" s="503" t="str">
        <f t="shared" si="6"/>
        <v>20-34 Years</v>
      </c>
    </row>
    <row r="391" spans="1:4" x14ac:dyDescent="0.25">
      <c r="A391" s="299">
        <v>29</v>
      </c>
      <c r="B391" s="299" t="s">
        <v>98</v>
      </c>
      <c r="C391" s="299" t="s">
        <v>1369</v>
      </c>
      <c r="D391" s="299" t="str">
        <f t="shared" si="6"/>
        <v>20-34 Years</v>
      </c>
    </row>
    <row r="392" spans="1:4" x14ac:dyDescent="0.25">
      <c r="A392" s="299">
        <v>22</v>
      </c>
      <c r="B392" s="299" t="s">
        <v>98</v>
      </c>
      <c r="C392" s="299" t="s">
        <v>1369</v>
      </c>
      <c r="D392" s="299" t="str">
        <f t="shared" si="6"/>
        <v>20-34 Years</v>
      </c>
    </row>
    <row r="393" spans="1:4" x14ac:dyDescent="0.25">
      <c r="A393" s="299">
        <v>39</v>
      </c>
      <c r="B393" s="299" t="s">
        <v>98</v>
      </c>
      <c r="C393" s="299" t="s">
        <v>1369</v>
      </c>
      <c r="D393" s="299" t="str">
        <f t="shared" si="6"/>
        <v>35-49 Years</v>
      </c>
    </row>
    <row r="394" spans="1:4" x14ac:dyDescent="0.25">
      <c r="A394" s="299">
        <v>17</v>
      </c>
      <c r="B394" s="299" t="s">
        <v>98</v>
      </c>
      <c r="C394" s="299" t="s">
        <v>1369</v>
      </c>
      <c r="D394" s="299" t="str">
        <f t="shared" si="6"/>
        <v>15-17 Years</v>
      </c>
    </row>
    <row r="395" spans="1:4" x14ac:dyDescent="0.25">
      <c r="A395" s="299">
        <v>30</v>
      </c>
      <c r="B395" s="299" t="s">
        <v>98</v>
      </c>
      <c r="C395" s="299" t="s">
        <v>1369</v>
      </c>
      <c r="D395" s="299" t="str">
        <f t="shared" si="6"/>
        <v>20-34 Years</v>
      </c>
    </row>
    <row r="396" spans="1:4" x14ac:dyDescent="0.25">
      <c r="A396" s="299">
        <v>39</v>
      </c>
      <c r="B396" s="299" t="s">
        <v>98</v>
      </c>
      <c r="C396" s="299" t="s">
        <v>1369</v>
      </c>
      <c r="D396" s="299" t="str">
        <f t="shared" si="6"/>
        <v>35-49 Years</v>
      </c>
    </row>
    <row r="397" spans="1:4" x14ac:dyDescent="0.25">
      <c r="A397" s="299">
        <v>22</v>
      </c>
      <c r="B397" s="299" t="s">
        <v>98</v>
      </c>
      <c r="C397" s="299" t="s">
        <v>1369</v>
      </c>
      <c r="D397" s="299" t="str">
        <f t="shared" si="6"/>
        <v>20-34 Years</v>
      </c>
    </row>
    <row r="398" spans="1:4" x14ac:dyDescent="0.25">
      <c r="A398" s="299">
        <v>39</v>
      </c>
      <c r="B398" s="299" t="s">
        <v>98</v>
      </c>
      <c r="C398" s="299" t="s">
        <v>1369</v>
      </c>
      <c r="D398" s="299" t="str">
        <f t="shared" si="6"/>
        <v>35-49 Years</v>
      </c>
    </row>
    <row r="399" spans="1:4" x14ac:dyDescent="0.25">
      <c r="A399" s="299">
        <v>42</v>
      </c>
      <c r="B399" s="299" t="s">
        <v>98</v>
      </c>
      <c r="C399" s="299" t="s">
        <v>1369</v>
      </c>
      <c r="D399" s="299" t="str">
        <f t="shared" si="6"/>
        <v>35-49 Years</v>
      </c>
    </row>
    <row r="400" spans="1:4" x14ac:dyDescent="0.25">
      <c r="A400" s="299">
        <v>31</v>
      </c>
      <c r="B400" s="299" t="s">
        <v>98</v>
      </c>
      <c r="C400" s="299" t="s">
        <v>1369</v>
      </c>
      <c r="D400" s="299" t="str">
        <f t="shared" si="6"/>
        <v>20-34 Years</v>
      </c>
    </row>
    <row r="401" spans="1:4" x14ac:dyDescent="0.25">
      <c r="A401" s="299">
        <v>41</v>
      </c>
      <c r="B401" s="299" t="s">
        <v>98</v>
      </c>
      <c r="C401" s="299" t="s">
        <v>1370</v>
      </c>
      <c r="D401" s="299" t="str">
        <f t="shared" si="6"/>
        <v>35-49 Years</v>
      </c>
    </row>
    <row r="402" spans="1:4" x14ac:dyDescent="0.25">
      <c r="A402" s="299">
        <v>39</v>
      </c>
      <c r="B402" s="299" t="s">
        <v>98</v>
      </c>
      <c r="C402" s="299" t="s">
        <v>1370</v>
      </c>
      <c r="D402" s="299" t="str">
        <f t="shared" si="6"/>
        <v>35-49 Years</v>
      </c>
    </row>
    <row r="403" spans="1:4" x14ac:dyDescent="0.25">
      <c r="A403" s="299">
        <v>29</v>
      </c>
      <c r="B403" s="299" t="s">
        <v>98</v>
      </c>
      <c r="C403" s="299" t="s">
        <v>1370</v>
      </c>
      <c r="D403" s="299" t="str">
        <f t="shared" si="6"/>
        <v>20-34 Years</v>
      </c>
    </row>
    <row r="404" spans="1:4" x14ac:dyDescent="0.25">
      <c r="A404" s="299">
        <v>36</v>
      </c>
      <c r="B404" s="299" t="s">
        <v>98</v>
      </c>
      <c r="C404" s="299" t="s">
        <v>1370</v>
      </c>
      <c r="D404" s="299" t="str">
        <f t="shared" si="6"/>
        <v>35-49 Years</v>
      </c>
    </row>
    <row r="405" spans="1:4" x14ac:dyDescent="0.25">
      <c r="A405" s="299">
        <v>31</v>
      </c>
      <c r="B405" s="299" t="s">
        <v>98</v>
      </c>
      <c r="C405" s="299" t="s">
        <v>1370</v>
      </c>
      <c r="D405" s="299" t="str">
        <f t="shared" si="6"/>
        <v>20-34 Years</v>
      </c>
    </row>
    <row r="406" spans="1:4" x14ac:dyDescent="0.25">
      <c r="A406" s="299">
        <v>22</v>
      </c>
      <c r="B406" s="299" t="s">
        <v>98</v>
      </c>
      <c r="C406" s="299" t="s">
        <v>1370</v>
      </c>
      <c r="D406" s="299" t="str">
        <f t="shared" si="6"/>
        <v>20-34 Years</v>
      </c>
    </row>
    <row r="407" spans="1:4" x14ac:dyDescent="0.25">
      <c r="A407" s="299">
        <v>28</v>
      </c>
      <c r="B407" s="299" t="s">
        <v>98</v>
      </c>
      <c r="C407" s="299" t="s">
        <v>1370</v>
      </c>
      <c r="D407" s="299" t="str">
        <f t="shared" si="6"/>
        <v>20-34 Years</v>
      </c>
    </row>
    <row r="408" spans="1:4" x14ac:dyDescent="0.25">
      <c r="A408" s="299">
        <v>24</v>
      </c>
      <c r="B408" s="299" t="s">
        <v>98</v>
      </c>
      <c r="C408" s="299" t="s">
        <v>1370</v>
      </c>
      <c r="D408" s="299" t="str">
        <f t="shared" si="6"/>
        <v>20-34 Years</v>
      </c>
    </row>
    <row r="409" spans="1:4" x14ac:dyDescent="0.25">
      <c r="A409" s="299">
        <v>36</v>
      </c>
      <c r="B409" s="299" t="s">
        <v>98</v>
      </c>
      <c r="C409" s="299" t="s">
        <v>1370</v>
      </c>
      <c r="D409" s="299" t="str">
        <f t="shared" si="6"/>
        <v>35-49 Years</v>
      </c>
    </row>
    <row r="410" spans="1:4" x14ac:dyDescent="0.25">
      <c r="A410" s="299">
        <v>31</v>
      </c>
      <c r="B410" s="299" t="s">
        <v>98</v>
      </c>
      <c r="C410" s="299" t="s">
        <v>1370</v>
      </c>
      <c r="D410" s="299" t="str">
        <f t="shared" si="6"/>
        <v>20-34 Years</v>
      </c>
    </row>
    <row r="411" spans="1:4" x14ac:dyDescent="0.25">
      <c r="A411" s="299">
        <v>32</v>
      </c>
      <c r="B411" s="299" t="s">
        <v>98</v>
      </c>
      <c r="C411" s="299" t="s">
        <v>1370</v>
      </c>
      <c r="D411" s="299" t="str">
        <f t="shared" si="6"/>
        <v>20-34 Years</v>
      </c>
    </row>
    <row r="412" spans="1:4" x14ac:dyDescent="0.25">
      <c r="A412" s="299">
        <v>22</v>
      </c>
      <c r="B412" s="299" t="s">
        <v>98</v>
      </c>
      <c r="C412" s="299" t="s">
        <v>1370</v>
      </c>
      <c r="D412" s="299" t="str">
        <f t="shared" si="6"/>
        <v>20-34 Years</v>
      </c>
    </row>
    <row r="413" spans="1:4" x14ac:dyDescent="0.25">
      <c r="A413" s="299">
        <v>20</v>
      </c>
      <c r="B413" s="299" t="s">
        <v>98</v>
      </c>
      <c r="C413" s="299" t="s">
        <v>1370</v>
      </c>
      <c r="D413" s="299" t="str">
        <f t="shared" si="6"/>
        <v>20-34 Years</v>
      </c>
    </row>
    <row r="414" spans="1:4" x14ac:dyDescent="0.25">
      <c r="A414" s="299">
        <v>38</v>
      </c>
      <c r="B414" s="299" t="s">
        <v>98</v>
      </c>
      <c r="C414" s="299" t="s">
        <v>1370</v>
      </c>
      <c r="D414" s="299" t="str">
        <f t="shared" si="6"/>
        <v>35-49 Years</v>
      </c>
    </row>
    <row r="415" spans="1:4" x14ac:dyDescent="0.25">
      <c r="A415" s="299">
        <v>28</v>
      </c>
      <c r="B415" s="299" t="s">
        <v>98</v>
      </c>
      <c r="C415" s="299" t="s">
        <v>1370</v>
      </c>
      <c r="D415" s="299" t="str">
        <f t="shared" si="6"/>
        <v>20-34 Years</v>
      </c>
    </row>
    <row r="416" spans="1:4" x14ac:dyDescent="0.25">
      <c r="A416" s="299">
        <v>31</v>
      </c>
      <c r="B416" s="299" t="s">
        <v>98</v>
      </c>
      <c r="C416" s="299" t="s">
        <v>1370</v>
      </c>
      <c r="D416" s="299" t="str">
        <f t="shared" si="6"/>
        <v>20-34 Years</v>
      </c>
    </row>
    <row r="417" spans="1:4" x14ac:dyDescent="0.25">
      <c r="A417" s="299">
        <v>23</v>
      </c>
      <c r="B417" s="299" t="s">
        <v>98</v>
      </c>
      <c r="C417" s="299" t="s">
        <v>1370</v>
      </c>
      <c r="D417" s="299" t="str">
        <f t="shared" si="6"/>
        <v>20-34 Years</v>
      </c>
    </row>
    <row r="418" spans="1:4" x14ac:dyDescent="0.25">
      <c r="A418" s="299">
        <v>34</v>
      </c>
      <c r="B418" s="299" t="s">
        <v>98</v>
      </c>
      <c r="C418" s="299" t="s">
        <v>1370</v>
      </c>
      <c r="D418" s="299" t="str">
        <f t="shared" si="6"/>
        <v>20-34 Years</v>
      </c>
    </row>
    <row r="419" spans="1:4" x14ac:dyDescent="0.25">
      <c r="A419" s="299">
        <v>31</v>
      </c>
      <c r="B419" s="299" t="s">
        <v>98</v>
      </c>
      <c r="C419" s="299" t="s">
        <v>1370</v>
      </c>
      <c r="D419" s="299" t="str">
        <f t="shared" si="6"/>
        <v>20-34 Years</v>
      </c>
    </row>
    <row r="420" spans="1:4" x14ac:dyDescent="0.25">
      <c r="A420" s="299">
        <v>22</v>
      </c>
      <c r="B420" s="299" t="s">
        <v>98</v>
      </c>
      <c r="C420" s="299" t="s">
        <v>1370</v>
      </c>
      <c r="D420" s="299" t="str">
        <f t="shared" si="6"/>
        <v>20-34 Years</v>
      </c>
    </row>
    <row r="421" spans="1:4" x14ac:dyDescent="0.25">
      <c r="A421" s="299">
        <v>27</v>
      </c>
      <c r="B421" s="299" t="s">
        <v>98</v>
      </c>
      <c r="C421" s="299" t="s">
        <v>1370</v>
      </c>
      <c r="D421" s="299" t="str">
        <f t="shared" si="6"/>
        <v>20-34 Years</v>
      </c>
    </row>
    <row r="422" spans="1:4" x14ac:dyDescent="0.25">
      <c r="A422" s="299">
        <v>25</v>
      </c>
      <c r="B422" s="299" t="s">
        <v>98</v>
      </c>
      <c r="C422" s="299" t="s">
        <v>1370</v>
      </c>
      <c r="D422" s="299" t="str">
        <f t="shared" si="6"/>
        <v>20-34 Years</v>
      </c>
    </row>
    <row r="423" spans="1:4" x14ac:dyDescent="0.25">
      <c r="A423" s="299">
        <v>34</v>
      </c>
      <c r="B423" s="299" t="s">
        <v>98</v>
      </c>
      <c r="C423" s="299" t="s">
        <v>1370</v>
      </c>
      <c r="D423" s="299" t="str">
        <f t="shared" si="6"/>
        <v>20-34 Years</v>
      </c>
    </row>
    <row r="424" spans="1:4" x14ac:dyDescent="0.25">
      <c r="A424" s="299">
        <v>30</v>
      </c>
      <c r="B424" s="299" t="s">
        <v>98</v>
      </c>
      <c r="C424" s="299" t="s">
        <v>1370</v>
      </c>
      <c r="D424" s="299" t="str">
        <f t="shared" si="6"/>
        <v>20-34 Years</v>
      </c>
    </row>
    <row r="425" spans="1:4" x14ac:dyDescent="0.25">
      <c r="A425" s="299">
        <v>29</v>
      </c>
      <c r="B425" s="299" t="s">
        <v>98</v>
      </c>
      <c r="C425" s="299" t="s">
        <v>1370</v>
      </c>
      <c r="D425" s="299" t="str">
        <f t="shared" si="6"/>
        <v>20-34 Years</v>
      </c>
    </row>
    <row r="426" spans="1:4" x14ac:dyDescent="0.25">
      <c r="A426" s="299">
        <v>29</v>
      </c>
      <c r="B426" s="299" t="s">
        <v>98</v>
      </c>
      <c r="C426" s="299" t="s">
        <v>1370</v>
      </c>
      <c r="D426" s="299" t="str">
        <f t="shared" si="6"/>
        <v>20-34 Years</v>
      </c>
    </row>
    <row r="427" spans="1:4" x14ac:dyDescent="0.25">
      <c r="A427" s="299">
        <v>15</v>
      </c>
      <c r="B427" s="299" t="s">
        <v>98</v>
      </c>
      <c r="C427" s="299" t="s">
        <v>1370</v>
      </c>
      <c r="D427" s="299" t="str">
        <f t="shared" si="6"/>
        <v>15-17 Years</v>
      </c>
    </row>
    <row r="428" spans="1:4" x14ac:dyDescent="0.25">
      <c r="A428" s="299">
        <v>31</v>
      </c>
      <c r="B428" s="299" t="s">
        <v>98</v>
      </c>
      <c r="C428" s="299" t="s">
        <v>1370</v>
      </c>
      <c r="D428" s="299" t="str">
        <f t="shared" si="6"/>
        <v>20-34 Years</v>
      </c>
    </row>
    <row r="429" spans="1:4" x14ac:dyDescent="0.25">
      <c r="A429" s="299">
        <v>22</v>
      </c>
      <c r="B429" s="299" t="s">
        <v>98</v>
      </c>
      <c r="C429" s="299" t="s">
        <v>1370</v>
      </c>
      <c r="D429" s="299" t="str">
        <f t="shared" si="6"/>
        <v>20-34 Years</v>
      </c>
    </row>
    <row r="430" spans="1:4" x14ac:dyDescent="0.25">
      <c r="A430" s="299">
        <v>24</v>
      </c>
      <c r="B430" s="299" t="s">
        <v>98</v>
      </c>
      <c r="C430" s="299" t="s">
        <v>1370</v>
      </c>
      <c r="D430" s="299" t="str">
        <f t="shared" si="6"/>
        <v>20-34 Years</v>
      </c>
    </row>
    <row r="431" spans="1:4" x14ac:dyDescent="0.25">
      <c r="A431" s="299">
        <v>27</v>
      </c>
      <c r="B431" s="299" t="s">
        <v>98</v>
      </c>
      <c r="C431" s="299" t="s">
        <v>1370</v>
      </c>
      <c r="D431" s="299" t="str">
        <f t="shared" si="6"/>
        <v>20-34 Years</v>
      </c>
    </row>
    <row r="432" spans="1:4" x14ac:dyDescent="0.25">
      <c r="A432" s="299">
        <v>26</v>
      </c>
      <c r="B432" s="299" t="s">
        <v>98</v>
      </c>
      <c r="C432" s="299" t="s">
        <v>1370</v>
      </c>
      <c r="D432" s="299" t="str">
        <f t="shared" si="6"/>
        <v>20-34 Years</v>
      </c>
    </row>
    <row r="433" spans="1:4" x14ac:dyDescent="0.25">
      <c r="A433" s="299">
        <v>35</v>
      </c>
      <c r="B433" s="299" t="s">
        <v>98</v>
      </c>
      <c r="C433" s="299" t="s">
        <v>1370</v>
      </c>
      <c r="D433" s="299" t="str">
        <f t="shared" si="6"/>
        <v>35-49 Years</v>
      </c>
    </row>
    <row r="434" spans="1:4" x14ac:dyDescent="0.25">
      <c r="A434" s="299">
        <v>31</v>
      </c>
      <c r="B434" s="299" t="s">
        <v>98</v>
      </c>
      <c r="C434" s="299" t="s">
        <v>1370</v>
      </c>
      <c r="D434" s="299" t="str">
        <f t="shared" si="6"/>
        <v>20-34 Years</v>
      </c>
    </row>
    <row r="435" spans="1:4" x14ac:dyDescent="0.25">
      <c r="A435" s="299">
        <v>39</v>
      </c>
      <c r="B435" s="299" t="s">
        <v>98</v>
      </c>
      <c r="C435" s="299" t="s">
        <v>1370</v>
      </c>
      <c r="D435" s="299" t="str">
        <f t="shared" si="6"/>
        <v>35-49 Years</v>
      </c>
    </row>
    <row r="436" spans="1:4" x14ac:dyDescent="0.25">
      <c r="A436" s="299">
        <v>26</v>
      </c>
      <c r="B436" s="299" t="s">
        <v>98</v>
      </c>
      <c r="C436" s="299" t="s">
        <v>1370</v>
      </c>
      <c r="D436" s="299" t="str">
        <f t="shared" si="6"/>
        <v>20-34 Years</v>
      </c>
    </row>
    <row r="437" spans="1:4" x14ac:dyDescent="0.25">
      <c r="A437" s="299">
        <v>31</v>
      </c>
      <c r="B437" s="299" t="s">
        <v>98</v>
      </c>
      <c r="C437" s="299" t="s">
        <v>1370</v>
      </c>
      <c r="D437" s="299" t="str">
        <f t="shared" si="6"/>
        <v>20-34 Years</v>
      </c>
    </row>
    <row r="438" spans="1:4" x14ac:dyDescent="0.25">
      <c r="A438" s="299">
        <v>25</v>
      </c>
      <c r="B438" s="299" t="s">
        <v>98</v>
      </c>
      <c r="C438" s="299" t="s">
        <v>1370</v>
      </c>
      <c r="D438" s="299" t="str">
        <f t="shared" si="6"/>
        <v>20-34 Years</v>
      </c>
    </row>
    <row r="439" spans="1:4" x14ac:dyDescent="0.25">
      <c r="A439" s="299">
        <v>34</v>
      </c>
      <c r="B439" s="299" t="s">
        <v>98</v>
      </c>
      <c r="C439" s="299" t="s">
        <v>1370</v>
      </c>
      <c r="D439" s="299" t="str">
        <f t="shared" si="6"/>
        <v>20-34 Years</v>
      </c>
    </row>
    <row r="440" spans="1:4" x14ac:dyDescent="0.25">
      <c r="A440" s="299">
        <v>23</v>
      </c>
      <c r="B440" s="299" t="s">
        <v>98</v>
      </c>
      <c r="C440" s="299" t="s">
        <v>1370</v>
      </c>
      <c r="D440" s="299" t="str">
        <f t="shared" si="6"/>
        <v>20-34 Years</v>
      </c>
    </row>
    <row r="441" spans="1:4" x14ac:dyDescent="0.25">
      <c r="A441" s="299">
        <v>24</v>
      </c>
      <c r="B441" s="299" t="s">
        <v>98</v>
      </c>
      <c r="C441" s="299" t="s">
        <v>1370</v>
      </c>
      <c r="D441" s="299" t="str">
        <f t="shared" si="6"/>
        <v>20-34 Years</v>
      </c>
    </row>
    <row r="442" spans="1:4" x14ac:dyDescent="0.25">
      <c r="A442" s="299">
        <v>32</v>
      </c>
      <c r="B442" s="299" t="s">
        <v>98</v>
      </c>
      <c r="C442" s="299" t="s">
        <v>1370</v>
      </c>
      <c r="D442" s="299" t="str">
        <f t="shared" si="6"/>
        <v>20-34 Years</v>
      </c>
    </row>
    <row r="443" spans="1:4" x14ac:dyDescent="0.25">
      <c r="A443" s="299">
        <v>20</v>
      </c>
      <c r="B443" s="299" t="s">
        <v>98</v>
      </c>
      <c r="C443" s="299" t="s">
        <v>1370</v>
      </c>
      <c r="D443" s="299" t="str">
        <f t="shared" si="6"/>
        <v>20-34 Years</v>
      </c>
    </row>
    <row r="444" spans="1:4" x14ac:dyDescent="0.25">
      <c r="A444" s="299">
        <v>38</v>
      </c>
      <c r="B444" s="299" t="s">
        <v>98</v>
      </c>
      <c r="C444" s="299" t="s">
        <v>1370</v>
      </c>
      <c r="D444" s="299" t="str">
        <f t="shared" si="6"/>
        <v>35-49 Years</v>
      </c>
    </row>
    <row r="445" spans="1:4" x14ac:dyDescent="0.25">
      <c r="A445" s="299">
        <v>25</v>
      </c>
      <c r="B445" s="299" t="s">
        <v>98</v>
      </c>
      <c r="C445" s="299" t="s">
        <v>1370</v>
      </c>
      <c r="D445" s="299" t="str">
        <f t="shared" si="6"/>
        <v>20-34 Years</v>
      </c>
    </row>
    <row r="446" spans="1:4" x14ac:dyDescent="0.25">
      <c r="A446" s="299">
        <v>29</v>
      </c>
      <c r="B446" s="299" t="s">
        <v>98</v>
      </c>
      <c r="C446" s="299" t="s">
        <v>1370</v>
      </c>
      <c r="D446" s="299" t="str">
        <f t="shared" si="6"/>
        <v>20-34 Years</v>
      </c>
    </row>
    <row r="447" spans="1:4" x14ac:dyDescent="0.25">
      <c r="A447" s="299">
        <v>31</v>
      </c>
      <c r="B447" s="299" t="s">
        <v>98</v>
      </c>
      <c r="C447" s="299" t="s">
        <v>1370</v>
      </c>
      <c r="D447" s="299" t="str">
        <f t="shared" si="6"/>
        <v>20-34 Years</v>
      </c>
    </row>
    <row r="448" spans="1:4" x14ac:dyDescent="0.25">
      <c r="A448" s="299">
        <v>34</v>
      </c>
      <c r="B448" s="299" t="s">
        <v>98</v>
      </c>
      <c r="C448" s="299" t="s">
        <v>1370</v>
      </c>
      <c r="D448" s="299" t="str">
        <f t="shared" si="6"/>
        <v>20-34 Years</v>
      </c>
    </row>
    <row r="449" spans="1:4" x14ac:dyDescent="0.25">
      <c r="A449" s="299">
        <v>29</v>
      </c>
      <c r="B449" s="299" t="s">
        <v>98</v>
      </c>
      <c r="C449" s="299" t="s">
        <v>1370</v>
      </c>
      <c r="D449" s="299" t="str">
        <f t="shared" si="6"/>
        <v>20-34 Years</v>
      </c>
    </row>
    <row r="450" spans="1:4" x14ac:dyDescent="0.25">
      <c r="A450" s="299">
        <v>21</v>
      </c>
      <c r="B450" s="299" t="s">
        <v>98</v>
      </c>
      <c r="C450" s="299" t="s">
        <v>1370</v>
      </c>
      <c r="D450" s="299" t="str">
        <f t="shared" ref="D450:D513" si="7">IFERROR(
  IF(OR(RIGHT(UPPER(A450),1)="D", RIGHT(UPPER(A450),3)="DAY", RIGHT(UPPER(A450),4)="DAYS"), "0-28 Days",
  IF(RIGHT(UPPER(A450),3)="MTH", "1-11 Months",
  IF(A450+0&lt;1, "0-28 Days",
  IF(A450+0&lt;5, "1-4 Years",
  IF(A450+0&lt;10, "5-9 Years",
  IF(A450+0&lt;15, "10-14 Years",
  IF(A450+0&lt;18, "15-17 Years",
  IF(A450+0&lt;20, "18-19 Years",
  IF(A450+0&lt;35, "20-34 Years",
  IF(A450+0&lt;50, "35-49 Years",
  IF(A450+0&lt;60, "50-59 Years",
  IF(A450+0&lt;70, "60-69 Years", "70+ Years"
)))))))))))), "Unknown")</f>
        <v>20-34 Years</v>
      </c>
    </row>
    <row r="451" spans="1:4" x14ac:dyDescent="0.25">
      <c r="A451" s="299">
        <v>28</v>
      </c>
      <c r="B451" s="299" t="s">
        <v>98</v>
      </c>
      <c r="C451" s="299" t="s">
        <v>1370</v>
      </c>
      <c r="D451" s="299" t="str">
        <f t="shared" si="7"/>
        <v>20-34 Years</v>
      </c>
    </row>
    <row r="452" spans="1:4" x14ac:dyDescent="0.25">
      <c r="A452" s="299">
        <v>38</v>
      </c>
      <c r="B452" s="299" t="s">
        <v>98</v>
      </c>
      <c r="C452" s="299" t="s">
        <v>1370</v>
      </c>
      <c r="D452" s="299" t="str">
        <f t="shared" si="7"/>
        <v>35-49 Years</v>
      </c>
    </row>
    <row r="453" spans="1:4" x14ac:dyDescent="0.25">
      <c r="A453" s="299">
        <v>28</v>
      </c>
      <c r="B453" s="299" t="s">
        <v>98</v>
      </c>
      <c r="C453" s="299" t="s">
        <v>1370</v>
      </c>
      <c r="D453" s="299" t="str">
        <f t="shared" si="7"/>
        <v>20-34 Years</v>
      </c>
    </row>
    <row r="454" spans="1:4" x14ac:dyDescent="0.25">
      <c r="A454" s="299">
        <v>33</v>
      </c>
      <c r="B454" s="299" t="s">
        <v>98</v>
      </c>
      <c r="C454" s="299" t="s">
        <v>1370</v>
      </c>
      <c r="D454" s="299" t="str">
        <f t="shared" si="7"/>
        <v>20-34 Years</v>
      </c>
    </row>
    <row r="455" spans="1:4" x14ac:dyDescent="0.25">
      <c r="A455" s="299">
        <v>27</v>
      </c>
      <c r="B455" s="299" t="s">
        <v>98</v>
      </c>
      <c r="C455" s="299" t="s">
        <v>1370</v>
      </c>
      <c r="D455" s="299" t="str">
        <f t="shared" si="7"/>
        <v>20-34 Years</v>
      </c>
    </row>
    <row r="456" spans="1:4" x14ac:dyDescent="0.25">
      <c r="A456" s="299">
        <v>29</v>
      </c>
      <c r="B456" s="299" t="s">
        <v>98</v>
      </c>
      <c r="C456" s="299" t="s">
        <v>1370</v>
      </c>
      <c r="D456" s="299" t="str">
        <f t="shared" si="7"/>
        <v>20-34 Years</v>
      </c>
    </row>
    <row r="457" spans="1:4" x14ac:dyDescent="0.25">
      <c r="A457" s="299">
        <v>23</v>
      </c>
      <c r="B457" s="299" t="s">
        <v>98</v>
      </c>
      <c r="C457" s="299" t="s">
        <v>1370</v>
      </c>
      <c r="D457" s="299" t="str">
        <f t="shared" si="7"/>
        <v>20-34 Years</v>
      </c>
    </row>
    <row r="458" spans="1:4" x14ac:dyDescent="0.25">
      <c r="A458" s="299">
        <v>37</v>
      </c>
      <c r="B458" s="299" t="s">
        <v>98</v>
      </c>
      <c r="C458" s="299" t="s">
        <v>1370</v>
      </c>
      <c r="D458" s="299" t="str">
        <f t="shared" si="7"/>
        <v>35-49 Years</v>
      </c>
    </row>
    <row r="459" spans="1:4" x14ac:dyDescent="0.25">
      <c r="A459" s="299">
        <v>26</v>
      </c>
      <c r="B459" s="299" t="s">
        <v>98</v>
      </c>
      <c r="C459" s="299" t="s">
        <v>1370</v>
      </c>
      <c r="D459" s="299" t="str">
        <f t="shared" si="7"/>
        <v>20-34 Years</v>
      </c>
    </row>
    <row r="460" spans="1:4" x14ac:dyDescent="0.25">
      <c r="A460" s="299">
        <v>30</v>
      </c>
      <c r="B460" s="299" t="s">
        <v>98</v>
      </c>
      <c r="C460" s="299" t="s">
        <v>1370</v>
      </c>
      <c r="D460" s="299" t="str">
        <f t="shared" si="7"/>
        <v>20-34 Years</v>
      </c>
    </row>
    <row r="461" spans="1:4" x14ac:dyDescent="0.25">
      <c r="A461" s="299">
        <v>29</v>
      </c>
      <c r="B461" s="299" t="s">
        <v>98</v>
      </c>
      <c r="C461" s="299" t="s">
        <v>1370</v>
      </c>
      <c r="D461" s="299" t="str">
        <f t="shared" si="7"/>
        <v>20-34 Years</v>
      </c>
    </row>
    <row r="462" spans="1:4" x14ac:dyDescent="0.25">
      <c r="A462" s="299" t="s">
        <v>694</v>
      </c>
      <c r="B462" s="299" t="s">
        <v>98</v>
      </c>
      <c r="C462" s="299" t="s">
        <v>79</v>
      </c>
      <c r="D462" s="299" t="str">
        <f t="shared" si="7"/>
        <v>0-28 Days</v>
      </c>
    </row>
    <row r="463" spans="1:4" x14ac:dyDescent="0.25">
      <c r="A463" s="299" t="s">
        <v>694</v>
      </c>
      <c r="B463" s="299" t="s">
        <v>98</v>
      </c>
      <c r="C463" s="299" t="s">
        <v>79</v>
      </c>
      <c r="D463" s="299" t="str">
        <f t="shared" si="7"/>
        <v>0-28 Days</v>
      </c>
    </row>
    <row r="464" spans="1:4" x14ac:dyDescent="0.25">
      <c r="A464" s="299" t="s">
        <v>694</v>
      </c>
      <c r="B464" s="299" t="s">
        <v>97</v>
      </c>
      <c r="C464" s="299" t="s">
        <v>79</v>
      </c>
      <c r="D464" s="299" t="str">
        <f t="shared" si="7"/>
        <v>0-28 Days</v>
      </c>
    </row>
    <row r="465" spans="1:4" x14ac:dyDescent="0.25">
      <c r="A465" s="299" t="s">
        <v>695</v>
      </c>
      <c r="B465" s="299" t="s">
        <v>97</v>
      </c>
      <c r="C465" s="299" t="s">
        <v>79</v>
      </c>
      <c r="D465" s="299" t="str">
        <f t="shared" si="7"/>
        <v>0-28 Days</v>
      </c>
    </row>
    <row r="466" spans="1:4" x14ac:dyDescent="0.25">
      <c r="A466" s="299" t="s">
        <v>695</v>
      </c>
      <c r="B466" s="299" t="s">
        <v>97</v>
      </c>
      <c r="C466" s="299" t="s">
        <v>79</v>
      </c>
      <c r="D466" s="299" t="str">
        <f t="shared" si="7"/>
        <v>0-28 Days</v>
      </c>
    </row>
    <row r="467" spans="1:4" x14ac:dyDescent="0.25">
      <c r="A467" s="299" t="s">
        <v>694</v>
      </c>
      <c r="B467" s="299" t="s">
        <v>98</v>
      </c>
      <c r="C467" s="299" t="s">
        <v>79</v>
      </c>
      <c r="D467" s="299" t="str">
        <f t="shared" si="7"/>
        <v>0-28 Days</v>
      </c>
    </row>
    <row r="468" spans="1:4" x14ac:dyDescent="0.25">
      <c r="A468" s="299" t="s">
        <v>694</v>
      </c>
      <c r="B468" s="299" t="s">
        <v>98</v>
      </c>
      <c r="C468" s="299" t="s">
        <v>79</v>
      </c>
      <c r="D468" s="299" t="str">
        <f t="shared" si="7"/>
        <v>0-28 Days</v>
      </c>
    </row>
    <row r="469" spans="1:4" x14ac:dyDescent="0.25">
      <c r="A469" s="299" t="s">
        <v>694</v>
      </c>
      <c r="B469" s="299" t="s">
        <v>98</v>
      </c>
      <c r="C469" s="299" t="s">
        <v>79</v>
      </c>
      <c r="D469" s="299" t="str">
        <f t="shared" si="7"/>
        <v>0-28 Days</v>
      </c>
    </row>
    <row r="470" spans="1:4" x14ac:dyDescent="0.25">
      <c r="A470" s="299" t="s">
        <v>694</v>
      </c>
      <c r="B470" s="299" t="s">
        <v>97</v>
      </c>
      <c r="C470" s="299" t="s">
        <v>79</v>
      </c>
      <c r="D470" s="299" t="str">
        <f t="shared" si="7"/>
        <v>0-28 Days</v>
      </c>
    </row>
    <row r="471" spans="1:4" x14ac:dyDescent="0.25">
      <c r="A471" s="299" t="s">
        <v>694</v>
      </c>
      <c r="B471" s="299" t="s">
        <v>97</v>
      </c>
      <c r="C471" s="299" t="s">
        <v>79</v>
      </c>
      <c r="D471" s="299" t="str">
        <f t="shared" si="7"/>
        <v>0-28 Days</v>
      </c>
    </row>
    <row r="472" spans="1:4" x14ac:dyDescent="0.25">
      <c r="A472" s="299" t="s">
        <v>711</v>
      </c>
      <c r="B472" s="299" t="s">
        <v>97</v>
      </c>
      <c r="C472" s="299" t="s">
        <v>79</v>
      </c>
      <c r="D472" s="299" t="str">
        <f t="shared" si="7"/>
        <v>0-28 Days</v>
      </c>
    </row>
    <row r="473" spans="1:4" x14ac:dyDescent="0.25">
      <c r="A473" s="299" t="s">
        <v>694</v>
      </c>
      <c r="B473" s="299" t="s">
        <v>98</v>
      </c>
      <c r="C473" s="299" t="s">
        <v>79</v>
      </c>
      <c r="D473" s="299" t="str">
        <f t="shared" si="7"/>
        <v>0-28 Days</v>
      </c>
    </row>
    <row r="474" spans="1:4" x14ac:dyDescent="0.25">
      <c r="A474" s="299" t="s">
        <v>694</v>
      </c>
      <c r="B474" s="299" t="s">
        <v>97</v>
      </c>
      <c r="C474" s="299" t="s">
        <v>79</v>
      </c>
      <c r="D474" s="299" t="str">
        <f t="shared" si="7"/>
        <v>0-28 Days</v>
      </c>
    </row>
    <row r="475" spans="1:4" x14ac:dyDescent="0.25">
      <c r="A475" s="299" t="s">
        <v>694</v>
      </c>
      <c r="B475" s="299" t="s">
        <v>98</v>
      </c>
      <c r="C475" s="299" t="s">
        <v>79</v>
      </c>
      <c r="D475" s="299" t="str">
        <f t="shared" si="7"/>
        <v>0-28 Days</v>
      </c>
    </row>
    <row r="476" spans="1:4" x14ac:dyDescent="0.25">
      <c r="A476" s="299" t="s">
        <v>694</v>
      </c>
      <c r="B476" s="299" t="s">
        <v>98</v>
      </c>
      <c r="C476" s="299" t="s">
        <v>79</v>
      </c>
      <c r="D476" s="299" t="str">
        <f t="shared" si="7"/>
        <v>0-28 Days</v>
      </c>
    </row>
    <row r="477" spans="1:4" x14ac:dyDescent="0.25">
      <c r="A477" s="299" t="s">
        <v>694</v>
      </c>
      <c r="B477" s="299" t="s">
        <v>97</v>
      </c>
      <c r="C477" s="299" t="s">
        <v>79</v>
      </c>
      <c r="D477" s="299" t="str">
        <f t="shared" si="7"/>
        <v>0-28 Days</v>
      </c>
    </row>
    <row r="478" spans="1:4" x14ac:dyDescent="0.25">
      <c r="A478" s="299" t="s">
        <v>694</v>
      </c>
      <c r="B478" s="299" t="s">
        <v>97</v>
      </c>
      <c r="C478" s="299" t="s">
        <v>79</v>
      </c>
      <c r="D478" s="299" t="str">
        <f t="shared" si="7"/>
        <v>0-28 Days</v>
      </c>
    </row>
    <row r="479" spans="1:4" x14ac:dyDescent="0.25">
      <c r="A479" s="299" t="s">
        <v>694</v>
      </c>
      <c r="B479" s="299" t="s">
        <v>98</v>
      </c>
      <c r="C479" s="299" t="s">
        <v>79</v>
      </c>
      <c r="D479" s="299" t="str">
        <f t="shared" si="7"/>
        <v>0-28 Days</v>
      </c>
    </row>
    <row r="480" spans="1:4" x14ac:dyDescent="0.25">
      <c r="A480" s="299" t="s">
        <v>694</v>
      </c>
      <c r="B480" s="299" t="s">
        <v>97</v>
      </c>
      <c r="C480" s="299" t="s">
        <v>79</v>
      </c>
      <c r="D480" s="299" t="str">
        <f t="shared" si="7"/>
        <v>0-28 Days</v>
      </c>
    </row>
    <row r="481" spans="1:4" x14ac:dyDescent="0.25">
      <c r="A481" s="299" t="s">
        <v>698</v>
      </c>
      <c r="B481" s="299" t="s">
        <v>97</v>
      </c>
      <c r="C481" s="299" t="s">
        <v>79</v>
      </c>
      <c r="D481" s="299" t="str">
        <f t="shared" si="7"/>
        <v>0-28 Days</v>
      </c>
    </row>
    <row r="482" spans="1:4" x14ac:dyDescent="0.25">
      <c r="A482" s="299" t="s">
        <v>694</v>
      </c>
      <c r="B482" s="299" t="s">
        <v>97</v>
      </c>
      <c r="C482" s="299" t="s">
        <v>79</v>
      </c>
      <c r="D482" s="299" t="str">
        <f t="shared" si="7"/>
        <v>0-28 Days</v>
      </c>
    </row>
    <row r="483" spans="1:4" x14ac:dyDescent="0.25">
      <c r="A483" s="299" t="s">
        <v>694</v>
      </c>
      <c r="B483" s="299" t="s">
        <v>97</v>
      </c>
      <c r="C483" s="299" t="s">
        <v>79</v>
      </c>
      <c r="D483" s="299" t="str">
        <f t="shared" si="7"/>
        <v>0-28 Days</v>
      </c>
    </row>
    <row r="484" spans="1:4" x14ac:dyDescent="0.25">
      <c r="A484" s="299" t="s">
        <v>695</v>
      </c>
      <c r="B484" s="299" t="s">
        <v>97</v>
      </c>
      <c r="C484" s="299" t="s">
        <v>79</v>
      </c>
      <c r="D484" s="299" t="str">
        <f t="shared" si="7"/>
        <v>0-28 Days</v>
      </c>
    </row>
    <row r="485" spans="1:4" x14ac:dyDescent="0.25">
      <c r="A485" s="299" t="s">
        <v>694</v>
      </c>
      <c r="B485" s="299" t="s">
        <v>97</v>
      </c>
      <c r="C485" s="299" t="s">
        <v>79</v>
      </c>
      <c r="D485" s="299" t="str">
        <f t="shared" si="7"/>
        <v>0-28 Days</v>
      </c>
    </row>
    <row r="486" spans="1:4" x14ac:dyDescent="0.25">
      <c r="A486" s="299" t="s">
        <v>694</v>
      </c>
      <c r="B486" s="299" t="s">
        <v>98</v>
      </c>
      <c r="C486" s="299" t="s">
        <v>79</v>
      </c>
      <c r="D486" s="299" t="str">
        <f t="shared" si="7"/>
        <v>0-28 Days</v>
      </c>
    </row>
    <row r="487" spans="1:4" x14ac:dyDescent="0.25">
      <c r="A487" s="299" t="s">
        <v>696</v>
      </c>
      <c r="B487" s="299" t="s">
        <v>98</v>
      </c>
      <c r="C487" s="299" t="s">
        <v>79</v>
      </c>
      <c r="D487" s="299" t="str">
        <f t="shared" si="7"/>
        <v>0-28 Days</v>
      </c>
    </row>
    <row r="488" spans="1:4" x14ac:dyDescent="0.25">
      <c r="A488" s="299" t="s">
        <v>695</v>
      </c>
      <c r="B488" s="299" t="s">
        <v>97</v>
      </c>
      <c r="C488" s="299" t="s">
        <v>79</v>
      </c>
      <c r="D488" s="299" t="str">
        <f t="shared" si="7"/>
        <v>0-28 Days</v>
      </c>
    </row>
    <row r="489" spans="1:4" x14ac:dyDescent="0.25">
      <c r="A489" s="299" t="s">
        <v>684</v>
      </c>
      <c r="B489" s="299" t="s">
        <v>97</v>
      </c>
      <c r="C489" s="299" t="s">
        <v>79</v>
      </c>
      <c r="D489" s="299" t="str">
        <f t="shared" si="7"/>
        <v>0-28 Days</v>
      </c>
    </row>
    <row r="490" spans="1:4" x14ac:dyDescent="0.25">
      <c r="A490" s="299" t="s">
        <v>879</v>
      </c>
      <c r="B490" s="299" t="s">
        <v>97</v>
      </c>
      <c r="C490" s="299" t="s">
        <v>79</v>
      </c>
      <c r="D490" s="299" t="str">
        <f t="shared" si="7"/>
        <v>0-28 Days</v>
      </c>
    </row>
    <row r="491" spans="1:4" x14ac:dyDescent="0.25">
      <c r="A491" s="299" t="s">
        <v>712</v>
      </c>
      <c r="B491" s="299" t="s">
        <v>97</v>
      </c>
      <c r="C491" s="299" t="s">
        <v>79</v>
      </c>
      <c r="D491" s="299" t="str">
        <f t="shared" si="7"/>
        <v>0-28 Days</v>
      </c>
    </row>
    <row r="492" spans="1:4" x14ac:dyDescent="0.25">
      <c r="A492" s="299" t="s">
        <v>695</v>
      </c>
      <c r="B492" s="299" t="s">
        <v>97</v>
      </c>
      <c r="C492" s="299" t="s">
        <v>79</v>
      </c>
      <c r="D492" s="299" t="str">
        <f t="shared" si="7"/>
        <v>0-28 Days</v>
      </c>
    </row>
    <row r="493" spans="1:4" x14ac:dyDescent="0.25">
      <c r="A493" s="299" t="s">
        <v>694</v>
      </c>
      <c r="B493" s="299" t="s">
        <v>97</v>
      </c>
      <c r="C493" s="299" t="s">
        <v>79</v>
      </c>
      <c r="D493" s="299" t="str">
        <f t="shared" si="7"/>
        <v>0-28 Days</v>
      </c>
    </row>
    <row r="494" spans="1:4" x14ac:dyDescent="0.25">
      <c r="A494" s="299" t="s">
        <v>694</v>
      </c>
      <c r="B494" s="299" t="s">
        <v>97</v>
      </c>
      <c r="C494" s="299" t="s">
        <v>79</v>
      </c>
      <c r="D494" s="299" t="str">
        <f t="shared" si="7"/>
        <v>0-28 Days</v>
      </c>
    </row>
    <row r="495" spans="1:4" x14ac:dyDescent="0.25">
      <c r="A495" s="299" t="s">
        <v>694</v>
      </c>
      <c r="B495" s="299" t="s">
        <v>98</v>
      </c>
      <c r="C495" s="299" t="s">
        <v>79</v>
      </c>
      <c r="D495" s="299" t="str">
        <f t="shared" si="7"/>
        <v>0-28 Days</v>
      </c>
    </row>
    <row r="496" spans="1:4" x14ac:dyDescent="0.25">
      <c r="A496" s="299" t="s">
        <v>694</v>
      </c>
      <c r="B496" s="299" t="s">
        <v>98</v>
      </c>
      <c r="C496" s="299" t="s">
        <v>79</v>
      </c>
      <c r="D496" s="299" t="str">
        <f t="shared" si="7"/>
        <v>0-28 Days</v>
      </c>
    </row>
    <row r="497" spans="1:4" x14ac:dyDescent="0.25">
      <c r="A497" s="299" t="s">
        <v>694</v>
      </c>
      <c r="B497" s="299" t="s">
        <v>98</v>
      </c>
      <c r="C497" s="299" t="s">
        <v>79</v>
      </c>
      <c r="D497" s="299" t="str">
        <f t="shared" si="7"/>
        <v>0-28 Days</v>
      </c>
    </row>
    <row r="498" spans="1:4" x14ac:dyDescent="0.25">
      <c r="A498" s="299" t="s">
        <v>694</v>
      </c>
      <c r="B498" s="299" t="s">
        <v>97</v>
      </c>
      <c r="C498" s="299" t="s">
        <v>79</v>
      </c>
      <c r="D498" s="299" t="str">
        <f t="shared" si="7"/>
        <v>0-28 Days</v>
      </c>
    </row>
    <row r="499" spans="1:4" x14ac:dyDescent="0.25">
      <c r="A499" s="299" t="s">
        <v>694</v>
      </c>
      <c r="B499" s="299" t="s">
        <v>97</v>
      </c>
      <c r="C499" s="299" t="s">
        <v>79</v>
      </c>
      <c r="D499" s="299" t="str">
        <f t="shared" si="7"/>
        <v>0-28 Days</v>
      </c>
    </row>
    <row r="500" spans="1:4" x14ac:dyDescent="0.25">
      <c r="A500" s="299" t="s">
        <v>1089</v>
      </c>
      <c r="B500" s="299" t="s">
        <v>98</v>
      </c>
      <c r="C500" s="299" t="s">
        <v>79</v>
      </c>
      <c r="D500" s="299" t="str">
        <f t="shared" si="7"/>
        <v>0-28 Days</v>
      </c>
    </row>
    <row r="501" spans="1:4" x14ac:dyDescent="0.25">
      <c r="A501" s="299" t="s">
        <v>694</v>
      </c>
      <c r="B501" s="299" t="s">
        <v>98</v>
      </c>
      <c r="C501" s="299" t="s">
        <v>79</v>
      </c>
      <c r="D501" s="299" t="str">
        <f t="shared" si="7"/>
        <v>0-28 Days</v>
      </c>
    </row>
    <row r="502" spans="1:4" x14ac:dyDescent="0.25">
      <c r="A502" s="299" t="s">
        <v>694</v>
      </c>
      <c r="B502" s="299" t="s">
        <v>97</v>
      </c>
      <c r="C502" s="299" t="s">
        <v>79</v>
      </c>
      <c r="D502" s="299" t="str">
        <f t="shared" si="7"/>
        <v>0-28 Days</v>
      </c>
    </row>
    <row r="503" spans="1:4" x14ac:dyDescent="0.25">
      <c r="A503" s="299" t="s">
        <v>695</v>
      </c>
      <c r="B503" s="299" t="s">
        <v>98</v>
      </c>
      <c r="C503" s="299" t="s">
        <v>79</v>
      </c>
      <c r="D503" s="299" t="str">
        <f t="shared" si="7"/>
        <v>0-28 Days</v>
      </c>
    </row>
    <row r="504" spans="1:4" x14ac:dyDescent="0.25">
      <c r="A504" s="299" t="s">
        <v>703</v>
      </c>
      <c r="B504" s="299" t="s">
        <v>97</v>
      </c>
      <c r="C504" s="299" t="s">
        <v>79</v>
      </c>
      <c r="D504" s="299" t="str">
        <f t="shared" si="7"/>
        <v>0-28 Days</v>
      </c>
    </row>
    <row r="505" spans="1:4" x14ac:dyDescent="0.25">
      <c r="A505" s="299">
        <v>46</v>
      </c>
      <c r="B505" s="299" t="s">
        <v>98</v>
      </c>
      <c r="C505" s="299" t="s">
        <v>688</v>
      </c>
      <c r="D505" s="299" t="str">
        <f t="shared" si="7"/>
        <v>35-49 Years</v>
      </c>
    </row>
    <row r="506" spans="1:4" x14ac:dyDescent="0.25">
      <c r="A506" s="299">
        <v>32</v>
      </c>
      <c r="B506" s="299" t="s">
        <v>97</v>
      </c>
      <c r="C506" s="299" t="s">
        <v>688</v>
      </c>
      <c r="D506" s="299" t="str">
        <f t="shared" si="7"/>
        <v>20-34 Years</v>
      </c>
    </row>
    <row r="507" spans="1:4" x14ac:dyDescent="0.25">
      <c r="A507" s="299">
        <v>64</v>
      </c>
      <c r="B507" s="299" t="s">
        <v>98</v>
      </c>
      <c r="C507" s="299" t="s">
        <v>688</v>
      </c>
      <c r="D507" s="299" t="str">
        <f t="shared" si="7"/>
        <v>60-69 Years</v>
      </c>
    </row>
    <row r="508" spans="1:4" x14ac:dyDescent="0.25">
      <c r="A508" s="299">
        <v>17</v>
      </c>
      <c r="B508" s="299" t="s">
        <v>97</v>
      </c>
      <c r="C508" s="299" t="s">
        <v>688</v>
      </c>
      <c r="D508" s="299" t="str">
        <f t="shared" si="7"/>
        <v>15-17 Years</v>
      </c>
    </row>
    <row r="509" spans="1:4" x14ac:dyDescent="0.25">
      <c r="A509" s="299">
        <v>7</v>
      </c>
      <c r="B509" s="299" t="s">
        <v>97</v>
      </c>
      <c r="C509" s="299" t="s">
        <v>688</v>
      </c>
      <c r="D509" s="299" t="str">
        <f t="shared" si="7"/>
        <v>5-9 Years</v>
      </c>
    </row>
    <row r="510" spans="1:4" x14ac:dyDescent="0.25">
      <c r="A510" s="299">
        <v>46</v>
      </c>
      <c r="B510" s="299" t="s">
        <v>97</v>
      </c>
      <c r="C510" s="299" t="s">
        <v>688</v>
      </c>
      <c r="D510" s="299" t="str">
        <f t="shared" si="7"/>
        <v>35-49 Years</v>
      </c>
    </row>
    <row r="511" spans="1:4" x14ac:dyDescent="0.25">
      <c r="A511" s="299">
        <v>85</v>
      </c>
      <c r="B511" s="299" t="s">
        <v>97</v>
      </c>
      <c r="C511" s="299" t="s">
        <v>688</v>
      </c>
      <c r="D511" s="299" t="str">
        <f t="shared" si="7"/>
        <v>70+ Years</v>
      </c>
    </row>
    <row r="512" spans="1:4" x14ac:dyDescent="0.25">
      <c r="A512" s="299">
        <v>18</v>
      </c>
      <c r="B512" s="299" t="s">
        <v>98</v>
      </c>
      <c r="C512" s="299" t="s">
        <v>688</v>
      </c>
      <c r="D512" s="299" t="str">
        <f t="shared" si="7"/>
        <v>18-19 Years</v>
      </c>
    </row>
    <row r="513" spans="1:4" x14ac:dyDescent="0.25">
      <c r="A513" s="299">
        <v>33</v>
      </c>
      <c r="B513" s="299" t="s">
        <v>98</v>
      </c>
      <c r="C513" s="299" t="s">
        <v>688</v>
      </c>
      <c r="D513" s="299" t="str">
        <f t="shared" si="7"/>
        <v>20-34 Years</v>
      </c>
    </row>
    <row r="514" spans="1:4" x14ac:dyDescent="0.25">
      <c r="A514" s="299">
        <v>3</v>
      </c>
      <c r="B514" s="299" t="s">
        <v>97</v>
      </c>
      <c r="C514" s="299" t="s">
        <v>688</v>
      </c>
      <c r="D514" s="299" t="str">
        <f t="shared" ref="D514:D577" si="8">IFERROR(
  IF(OR(RIGHT(UPPER(A514),1)="D", RIGHT(UPPER(A514),3)="DAY", RIGHT(UPPER(A514),4)="DAYS"), "0-28 Days",
  IF(RIGHT(UPPER(A514),3)="MTH", "1-11 Months",
  IF(A514+0&lt;1, "0-28 Days",
  IF(A514+0&lt;5, "1-4 Years",
  IF(A514+0&lt;10, "5-9 Years",
  IF(A514+0&lt;15, "10-14 Years",
  IF(A514+0&lt;18, "15-17 Years",
  IF(A514+0&lt;20, "18-19 Years",
  IF(A514+0&lt;35, "20-34 Years",
  IF(A514+0&lt;50, "35-49 Years",
  IF(A514+0&lt;60, "50-59 Years",
  IF(A514+0&lt;70, "60-69 Years", "70+ Years"
)))))))))))), "Unknown")</f>
        <v>1-4 Years</v>
      </c>
    </row>
    <row r="515" spans="1:4" x14ac:dyDescent="0.25">
      <c r="A515" s="299">
        <v>74</v>
      </c>
      <c r="B515" s="299" t="s">
        <v>97</v>
      </c>
      <c r="C515" s="299" t="s">
        <v>688</v>
      </c>
      <c r="D515" s="299" t="str">
        <f t="shared" si="8"/>
        <v>70+ Years</v>
      </c>
    </row>
    <row r="516" spans="1:4" x14ac:dyDescent="0.25">
      <c r="A516" s="299">
        <v>31</v>
      </c>
      <c r="B516" s="299" t="s">
        <v>97</v>
      </c>
      <c r="C516" s="299" t="s">
        <v>688</v>
      </c>
      <c r="D516" s="299" t="str">
        <f t="shared" si="8"/>
        <v>20-34 Years</v>
      </c>
    </row>
    <row r="517" spans="1:4" x14ac:dyDescent="0.25">
      <c r="A517" s="299">
        <v>31</v>
      </c>
      <c r="B517" s="299" t="s">
        <v>97</v>
      </c>
      <c r="C517" s="299" t="s">
        <v>688</v>
      </c>
      <c r="D517" s="299" t="str">
        <f t="shared" si="8"/>
        <v>20-34 Years</v>
      </c>
    </row>
    <row r="518" spans="1:4" x14ac:dyDescent="0.25">
      <c r="A518" s="503">
        <v>42</v>
      </c>
      <c r="B518" s="503" t="s">
        <v>98</v>
      </c>
      <c r="C518" s="299" t="s">
        <v>688</v>
      </c>
      <c r="D518" s="503" t="str">
        <f t="shared" si="8"/>
        <v>35-49 Years</v>
      </c>
    </row>
    <row r="519" spans="1:4" x14ac:dyDescent="0.25">
      <c r="A519" s="299">
        <v>52</v>
      </c>
      <c r="B519" s="299" t="s">
        <v>98</v>
      </c>
      <c r="C519" s="299" t="s">
        <v>688</v>
      </c>
      <c r="D519" s="299" t="str">
        <f t="shared" si="8"/>
        <v>50-59 Years</v>
      </c>
    </row>
    <row r="520" spans="1:4" x14ac:dyDescent="0.25">
      <c r="A520" s="299">
        <v>40</v>
      </c>
      <c r="B520" s="299" t="s">
        <v>97</v>
      </c>
      <c r="C520" s="299" t="s">
        <v>688</v>
      </c>
      <c r="D520" s="299" t="str">
        <f t="shared" si="8"/>
        <v>35-49 Years</v>
      </c>
    </row>
    <row r="521" spans="1:4" x14ac:dyDescent="0.25">
      <c r="A521" s="299">
        <v>16</v>
      </c>
      <c r="B521" s="299" t="s">
        <v>97</v>
      </c>
      <c r="C521" s="299" t="s">
        <v>688</v>
      </c>
      <c r="D521" s="299" t="str">
        <f t="shared" si="8"/>
        <v>15-17 Years</v>
      </c>
    </row>
    <row r="522" spans="1:4" x14ac:dyDescent="0.25">
      <c r="A522" s="299">
        <v>56</v>
      </c>
      <c r="B522" s="299" t="s">
        <v>97</v>
      </c>
      <c r="C522" s="299" t="s">
        <v>688</v>
      </c>
      <c r="D522" s="299" t="str">
        <f t="shared" si="8"/>
        <v>50-59 Years</v>
      </c>
    </row>
    <row r="523" spans="1:4" x14ac:dyDescent="0.25">
      <c r="A523" s="299">
        <v>50</v>
      </c>
      <c r="B523" s="299" t="s">
        <v>97</v>
      </c>
      <c r="C523" s="299" t="s">
        <v>688</v>
      </c>
      <c r="D523" s="299" t="str">
        <f t="shared" si="8"/>
        <v>50-59 Years</v>
      </c>
    </row>
    <row r="524" spans="1:4" x14ac:dyDescent="0.25">
      <c r="A524" s="299">
        <v>61</v>
      </c>
      <c r="B524" s="299" t="s">
        <v>97</v>
      </c>
      <c r="C524" s="299" t="s">
        <v>688</v>
      </c>
      <c r="D524" s="299" t="str">
        <f t="shared" si="8"/>
        <v>60-69 Years</v>
      </c>
    </row>
    <row r="525" spans="1:4" x14ac:dyDescent="0.25">
      <c r="A525" s="299">
        <v>39</v>
      </c>
      <c r="B525" s="299" t="s">
        <v>98</v>
      </c>
      <c r="C525" s="299" t="s">
        <v>688</v>
      </c>
      <c r="D525" s="299" t="str">
        <f t="shared" si="8"/>
        <v>35-49 Years</v>
      </c>
    </row>
    <row r="526" spans="1:4" x14ac:dyDescent="0.25">
      <c r="A526" s="299">
        <v>53</v>
      </c>
      <c r="B526" s="299" t="s">
        <v>98</v>
      </c>
      <c r="C526" s="299" t="s">
        <v>688</v>
      </c>
      <c r="D526" s="299" t="str">
        <f t="shared" si="8"/>
        <v>50-59 Years</v>
      </c>
    </row>
    <row r="527" spans="1:4" x14ac:dyDescent="0.25">
      <c r="A527" s="299">
        <v>58</v>
      </c>
      <c r="B527" s="299" t="s">
        <v>97</v>
      </c>
      <c r="C527" s="299" t="s">
        <v>688</v>
      </c>
      <c r="D527" s="299" t="str">
        <f t="shared" si="8"/>
        <v>50-59 Years</v>
      </c>
    </row>
    <row r="528" spans="1:4" x14ac:dyDescent="0.25">
      <c r="A528" s="299">
        <v>50</v>
      </c>
      <c r="B528" s="299" t="s">
        <v>97</v>
      </c>
      <c r="C528" s="299" t="s">
        <v>688</v>
      </c>
      <c r="D528" s="299" t="str">
        <f t="shared" si="8"/>
        <v>50-59 Years</v>
      </c>
    </row>
    <row r="529" spans="1:4" x14ac:dyDescent="0.25">
      <c r="A529" s="299">
        <v>63</v>
      </c>
      <c r="B529" s="299" t="s">
        <v>97</v>
      </c>
      <c r="C529" s="299" t="s">
        <v>688</v>
      </c>
      <c r="D529" s="299" t="str">
        <f t="shared" si="8"/>
        <v>60-69 Years</v>
      </c>
    </row>
    <row r="530" spans="1:4" x14ac:dyDescent="0.25">
      <c r="A530" s="299">
        <v>70</v>
      </c>
      <c r="B530" s="299" t="s">
        <v>97</v>
      </c>
      <c r="C530" s="299" t="s">
        <v>688</v>
      </c>
      <c r="D530" s="299" t="str">
        <f t="shared" si="8"/>
        <v>70+ Years</v>
      </c>
    </row>
    <row r="531" spans="1:4" x14ac:dyDescent="0.25">
      <c r="A531" s="299">
        <v>34</v>
      </c>
      <c r="B531" s="299" t="s">
        <v>97</v>
      </c>
      <c r="C531" s="299" t="s">
        <v>688</v>
      </c>
      <c r="D531" s="299" t="str">
        <f t="shared" si="8"/>
        <v>20-34 Years</v>
      </c>
    </row>
    <row r="532" spans="1:4" x14ac:dyDescent="0.25">
      <c r="A532" s="299">
        <v>58</v>
      </c>
      <c r="B532" s="299" t="s">
        <v>97</v>
      </c>
      <c r="C532" s="299" t="s">
        <v>688</v>
      </c>
      <c r="D532" s="299" t="str">
        <f t="shared" si="8"/>
        <v>50-59 Years</v>
      </c>
    </row>
    <row r="533" spans="1:4" x14ac:dyDescent="0.25">
      <c r="A533" s="299">
        <v>53</v>
      </c>
      <c r="B533" s="299" t="s">
        <v>97</v>
      </c>
      <c r="C533" s="299" t="s">
        <v>688</v>
      </c>
      <c r="D533" s="299" t="str">
        <f t="shared" si="8"/>
        <v>50-59 Years</v>
      </c>
    </row>
    <row r="534" spans="1:4" x14ac:dyDescent="0.25">
      <c r="A534" s="299">
        <v>31</v>
      </c>
      <c r="B534" s="299" t="s">
        <v>97</v>
      </c>
      <c r="C534" s="299" t="s">
        <v>688</v>
      </c>
      <c r="D534" s="299" t="str">
        <f t="shared" si="8"/>
        <v>20-34 Years</v>
      </c>
    </row>
    <row r="535" spans="1:4" x14ac:dyDescent="0.25">
      <c r="A535" s="299">
        <v>49</v>
      </c>
      <c r="B535" s="299" t="s">
        <v>97</v>
      </c>
      <c r="C535" s="299" t="s">
        <v>688</v>
      </c>
      <c r="D535" s="299" t="str">
        <f t="shared" si="8"/>
        <v>35-49 Years</v>
      </c>
    </row>
    <row r="536" spans="1:4" x14ac:dyDescent="0.25">
      <c r="A536" s="299">
        <v>33</v>
      </c>
      <c r="B536" s="299" t="s">
        <v>97</v>
      </c>
      <c r="C536" s="299" t="s">
        <v>688</v>
      </c>
      <c r="D536" s="299" t="str">
        <f t="shared" si="8"/>
        <v>20-34 Years</v>
      </c>
    </row>
    <row r="537" spans="1:4" x14ac:dyDescent="0.25">
      <c r="A537" s="299">
        <v>16</v>
      </c>
      <c r="B537" s="299" t="s">
        <v>97</v>
      </c>
      <c r="C537" s="299" t="s">
        <v>688</v>
      </c>
      <c r="D537" s="299" t="str">
        <f t="shared" si="8"/>
        <v>15-17 Years</v>
      </c>
    </row>
    <row r="538" spans="1:4" x14ac:dyDescent="0.25">
      <c r="A538" s="299">
        <v>19</v>
      </c>
      <c r="B538" s="299" t="s">
        <v>98</v>
      </c>
      <c r="C538" s="299" t="s">
        <v>688</v>
      </c>
      <c r="D538" s="299" t="str">
        <f t="shared" si="8"/>
        <v>18-19 Years</v>
      </c>
    </row>
    <row r="539" spans="1:4" x14ac:dyDescent="0.25">
      <c r="A539" s="299">
        <v>33</v>
      </c>
      <c r="B539" s="299" t="s">
        <v>98</v>
      </c>
      <c r="C539" s="299" t="s">
        <v>688</v>
      </c>
      <c r="D539" s="299" t="str">
        <f t="shared" si="8"/>
        <v>20-34 Years</v>
      </c>
    </row>
    <row r="540" spans="1:4" x14ac:dyDescent="0.25">
      <c r="A540" s="299">
        <v>48</v>
      </c>
      <c r="B540" s="299" t="s">
        <v>98</v>
      </c>
      <c r="C540" s="299" t="s">
        <v>688</v>
      </c>
      <c r="D540" s="299" t="str">
        <f t="shared" si="8"/>
        <v>35-49 Years</v>
      </c>
    </row>
    <row r="541" spans="1:4" x14ac:dyDescent="0.25">
      <c r="A541" s="299">
        <v>43</v>
      </c>
      <c r="B541" s="299" t="s">
        <v>97</v>
      </c>
      <c r="C541" s="299" t="s">
        <v>688</v>
      </c>
      <c r="D541" s="299" t="str">
        <f t="shared" si="8"/>
        <v>35-49 Years</v>
      </c>
    </row>
    <row r="542" spans="1:4" x14ac:dyDescent="0.25">
      <c r="A542" s="299">
        <v>26</v>
      </c>
      <c r="B542" s="299" t="s">
        <v>97</v>
      </c>
      <c r="C542" s="299" t="s">
        <v>688</v>
      </c>
      <c r="D542" s="299" t="str">
        <f t="shared" si="8"/>
        <v>20-34 Years</v>
      </c>
    </row>
    <row r="543" spans="1:4" x14ac:dyDescent="0.25">
      <c r="A543" s="299">
        <v>70</v>
      </c>
      <c r="B543" s="299" t="s">
        <v>98</v>
      </c>
      <c r="C543" s="299" t="s">
        <v>688</v>
      </c>
      <c r="D543" s="299" t="str">
        <f t="shared" si="8"/>
        <v>70+ Years</v>
      </c>
    </row>
    <row r="544" spans="1:4" x14ac:dyDescent="0.25">
      <c r="A544" s="299">
        <v>68</v>
      </c>
      <c r="B544" s="299" t="s">
        <v>97</v>
      </c>
      <c r="C544" s="299" t="s">
        <v>688</v>
      </c>
      <c r="D544" s="299" t="str">
        <f t="shared" si="8"/>
        <v>60-69 Years</v>
      </c>
    </row>
    <row r="545" spans="1:4" x14ac:dyDescent="0.25">
      <c r="A545" s="299">
        <v>42</v>
      </c>
      <c r="B545" s="299" t="s">
        <v>98</v>
      </c>
      <c r="C545" s="299" t="s">
        <v>688</v>
      </c>
      <c r="D545" s="299" t="str">
        <f t="shared" si="8"/>
        <v>35-49 Years</v>
      </c>
    </row>
    <row r="546" spans="1:4" x14ac:dyDescent="0.25">
      <c r="A546" s="299">
        <v>58</v>
      </c>
      <c r="B546" s="299" t="s">
        <v>97</v>
      </c>
      <c r="C546" s="299" t="s">
        <v>688</v>
      </c>
      <c r="D546" s="299" t="str">
        <f t="shared" si="8"/>
        <v>50-59 Years</v>
      </c>
    </row>
    <row r="547" spans="1:4" x14ac:dyDescent="0.25">
      <c r="A547" s="299">
        <v>57</v>
      </c>
      <c r="B547" s="299" t="s">
        <v>97</v>
      </c>
      <c r="C547" s="299" t="s">
        <v>688</v>
      </c>
      <c r="D547" s="299" t="str">
        <f t="shared" si="8"/>
        <v>50-59 Years</v>
      </c>
    </row>
    <row r="548" spans="1:4" x14ac:dyDescent="0.25">
      <c r="A548" s="299">
        <v>69</v>
      </c>
      <c r="B548" s="299" t="s">
        <v>97</v>
      </c>
      <c r="C548" s="299" t="s">
        <v>688</v>
      </c>
      <c r="D548" s="299" t="str">
        <f t="shared" si="8"/>
        <v>60-69 Years</v>
      </c>
    </row>
    <row r="549" spans="1:4" x14ac:dyDescent="0.25">
      <c r="A549" s="299">
        <v>3</v>
      </c>
      <c r="B549" s="299" t="s">
        <v>98</v>
      </c>
      <c r="C549" s="299" t="s">
        <v>688</v>
      </c>
      <c r="D549" s="299" t="str">
        <f t="shared" si="8"/>
        <v>1-4 Years</v>
      </c>
    </row>
    <row r="550" spans="1:4" x14ac:dyDescent="0.25">
      <c r="A550" s="299">
        <v>7</v>
      </c>
      <c r="B550" s="299" t="s">
        <v>97</v>
      </c>
      <c r="C550" s="299" t="s">
        <v>688</v>
      </c>
      <c r="D550" s="299" t="str">
        <f t="shared" si="8"/>
        <v>5-9 Years</v>
      </c>
    </row>
    <row r="551" spans="1:4" x14ac:dyDescent="0.25">
      <c r="A551" s="299">
        <v>53</v>
      </c>
      <c r="B551" s="299" t="s">
        <v>97</v>
      </c>
      <c r="C551" s="299" t="s">
        <v>688</v>
      </c>
      <c r="D551" s="299" t="str">
        <f t="shared" si="8"/>
        <v>50-59 Years</v>
      </c>
    </row>
    <row r="552" spans="1:4" x14ac:dyDescent="0.25">
      <c r="A552" s="299">
        <v>46</v>
      </c>
      <c r="B552" s="299" t="s">
        <v>98</v>
      </c>
      <c r="C552" s="299" t="s">
        <v>688</v>
      </c>
      <c r="D552" s="299" t="str">
        <f t="shared" si="8"/>
        <v>35-49 Years</v>
      </c>
    </row>
    <row r="553" spans="1:4" x14ac:dyDescent="0.25">
      <c r="A553" s="299">
        <v>72</v>
      </c>
      <c r="B553" s="299" t="s">
        <v>97</v>
      </c>
      <c r="C553" s="299" t="s">
        <v>688</v>
      </c>
      <c r="D553" s="299" t="str">
        <f t="shared" si="8"/>
        <v>70+ Years</v>
      </c>
    </row>
    <row r="554" spans="1:4" x14ac:dyDescent="0.25">
      <c r="A554" s="299">
        <v>32</v>
      </c>
      <c r="B554" s="299" t="s">
        <v>97</v>
      </c>
      <c r="C554" s="299" t="s">
        <v>688</v>
      </c>
      <c r="D554" s="299" t="str">
        <f t="shared" si="8"/>
        <v>20-34 Years</v>
      </c>
    </row>
    <row r="555" spans="1:4" x14ac:dyDescent="0.25">
      <c r="A555" s="299">
        <v>71</v>
      </c>
      <c r="B555" s="299" t="s">
        <v>97</v>
      </c>
      <c r="C555" s="299" t="s">
        <v>688</v>
      </c>
      <c r="D555" s="299" t="str">
        <f t="shared" si="8"/>
        <v>70+ Years</v>
      </c>
    </row>
    <row r="556" spans="1:4" x14ac:dyDescent="0.25">
      <c r="A556" s="299">
        <v>47</v>
      </c>
      <c r="B556" s="299" t="s">
        <v>98</v>
      </c>
      <c r="C556" s="299" t="s">
        <v>688</v>
      </c>
      <c r="D556" s="299" t="str">
        <f t="shared" si="8"/>
        <v>35-49 Years</v>
      </c>
    </row>
    <row r="557" spans="1:4" x14ac:dyDescent="0.25">
      <c r="A557" s="299">
        <v>68</v>
      </c>
      <c r="B557" s="299" t="s">
        <v>98</v>
      </c>
      <c r="C557" s="299" t="s">
        <v>688</v>
      </c>
      <c r="D557" s="299" t="str">
        <f t="shared" si="8"/>
        <v>60-69 Years</v>
      </c>
    </row>
    <row r="558" spans="1:4" x14ac:dyDescent="0.25">
      <c r="A558" s="299">
        <v>52</v>
      </c>
      <c r="B558" s="299" t="s">
        <v>97</v>
      </c>
      <c r="C558" s="299" t="s">
        <v>688</v>
      </c>
      <c r="D558" s="299" t="str">
        <f t="shared" si="8"/>
        <v>50-59 Years</v>
      </c>
    </row>
    <row r="559" spans="1:4" x14ac:dyDescent="0.25">
      <c r="A559" s="299">
        <v>49</v>
      </c>
      <c r="B559" s="299" t="s">
        <v>97</v>
      </c>
      <c r="C559" s="299" t="s">
        <v>688</v>
      </c>
      <c r="D559" s="299" t="str">
        <f t="shared" si="8"/>
        <v>35-49 Years</v>
      </c>
    </row>
    <row r="560" spans="1:4" x14ac:dyDescent="0.25">
      <c r="A560" s="299">
        <v>25</v>
      </c>
      <c r="B560" s="299" t="s">
        <v>97</v>
      </c>
      <c r="C560" s="299" t="s">
        <v>688</v>
      </c>
      <c r="D560" s="299" t="str">
        <f t="shared" si="8"/>
        <v>20-34 Years</v>
      </c>
    </row>
    <row r="561" spans="1:4" x14ac:dyDescent="0.25">
      <c r="A561" s="299">
        <v>75</v>
      </c>
      <c r="B561" s="299" t="s">
        <v>97</v>
      </c>
      <c r="C561" s="299" t="s">
        <v>688</v>
      </c>
      <c r="D561" s="299" t="str">
        <f t="shared" si="8"/>
        <v>70+ Years</v>
      </c>
    </row>
    <row r="562" spans="1:4" x14ac:dyDescent="0.25">
      <c r="A562" s="299">
        <v>62</v>
      </c>
      <c r="B562" s="299" t="s">
        <v>98</v>
      </c>
      <c r="C562" s="299" t="s">
        <v>688</v>
      </c>
      <c r="D562" s="299" t="str">
        <f t="shared" si="8"/>
        <v>60-69 Years</v>
      </c>
    </row>
    <row r="563" spans="1:4" x14ac:dyDescent="0.25">
      <c r="A563" s="299">
        <v>68</v>
      </c>
      <c r="B563" s="299" t="s">
        <v>97</v>
      </c>
      <c r="C563" s="299" t="s">
        <v>688</v>
      </c>
      <c r="D563" s="299" t="str">
        <f t="shared" si="8"/>
        <v>60-69 Years</v>
      </c>
    </row>
    <row r="564" spans="1:4" x14ac:dyDescent="0.25">
      <c r="A564" s="299">
        <v>61</v>
      </c>
      <c r="B564" s="299" t="s">
        <v>98</v>
      </c>
      <c r="C564" s="299" t="s">
        <v>688</v>
      </c>
      <c r="D564" s="299" t="str">
        <f t="shared" si="8"/>
        <v>60-69 Years</v>
      </c>
    </row>
    <row r="565" spans="1:4" x14ac:dyDescent="0.25">
      <c r="A565" s="299">
        <v>69</v>
      </c>
      <c r="B565" s="299" t="s">
        <v>97</v>
      </c>
      <c r="C565" s="299" t="s">
        <v>688</v>
      </c>
      <c r="D565" s="299" t="str">
        <f t="shared" si="8"/>
        <v>60-69 Years</v>
      </c>
    </row>
    <row r="566" spans="1:4" x14ac:dyDescent="0.25">
      <c r="A566" s="299">
        <v>26</v>
      </c>
      <c r="B566" s="299" t="s">
        <v>98</v>
      </c>
      <c r="C566" s="299" t="s">
        <v>688</v>
      </c>
      <c r="D566" s="299" t="str">
        <f t="shared" si="8"/>
        <v>20-34 Years</v>
      </c>
    </row>
    <row r="567" spans="1:4" x14ac:dyDescent="0.25">
      <c r="A567" s="299">
        <v>70</v>
      </c>
      <c r="B567" s="299" t="s">
        <v>97</v>
      </c>
      <c r="C567" s="299" t="s">
        <v>688</v>
      </c>
      <c r="D567" s="299" t="str">
        <f t="shared" si="8"/>
        <v>70+ Years</v>
      </c>
    </row>
    <row r="568" spans="1:4" x14ac:dyDescent="0.25">
      <c r="A568" s="299">
        <v>57</v>
      </c>
      <c r="B568" s="299" t="s">
        <v>97</v>
      </c>
      <c r="C568" s="299" t="s">
        <v>688</v>
      </c>
      <c r="D568" s="299" t="str">
        <f t="shared" si="8"/>
        <v>50-59 Years</v>
      </c>
    </row>
    <row r="569" spans="1:4" x14ac:dyDescent="0.25">
      <c r="A569" s="299">
        <v>23</v>
      </c>
      <c r="B569" s="299" t="s">
        <v>97</v>
      </c>
      <c r="C569" s="299" t="s">
        <v>688</v>
      </c>
      <c r="D569" s="299" t="str">
        <f t="shared" si="8"/>
        <v>20-34 Years</v>
      </c>
    </row>
    <row r="570" spans="1:4" x14ac:dyDescent="0.25">
      <c r="A570" s="299">
        <v>79</v>
      </c>
      <c r="B570" s="299" t="s">
        <v>97</v>
      </c>
      <c r="C570" s="299" t="s">
        <v>688</v>
      </c>
      <c r="D570" s="299" t="str">
        <f t="shared" si="8"/>
        <v>70+ Years</v>
      </c>
    </row>
    <row r="571" spans="1:4" x14ac:dyDescent="0.25">
      <c r="A571" s="299">
        <v>12</v>
      </c>
      <c r="B571" s="299" t="s">
        <v>98</v>
      </c>
      <c r="C571" s="299" t="s">
        <v>688</v>
      </c>
      <c r="D571" s="299" t="str">
        <f t="shared" si="8"/>
        <v>10-14 Years</v>
      </c>
    </row>
    <row r="572" spans="1:4" x14ac:dyDescent="0.25">
      <c r="A572" s="299">
        <v>78</v>
      </c>
      <c r="B572" s="299" t="s">
        <v>98</v>
      </c>
      <c r="C572" s="299" t="s">
        <v>688</v>
      </c>
      <c r="D572" s="299" t="str">
        <f t="shared" si="8"/>
        <v>70+ Years</v>
      </c>
    </row>
    <row r="573" spans="1:4" x14ac:dyDescent="0.25">
      <c r="A573" s="299">
        <v>39</v>
      </c>
      <c r="B573" s="299" t="s">
        <v>97</v>
      </c>
      <c r="C573" s="299" t="s">
        <v>688</v>
      </c>
      <c r="D573" s="299" t="str">
        <f t="shared" si="8"/>
        <v>35-49 Years</v>
      </c>
    </row>
    <row r="574" spans="1:4" x14ac:dyDescent="0.25">
      <c r="A574" s="299">
        <v>24</v>
      </c>
      <c r="B574" s="299" t="s">
        <v>97</v>
      </c>
      <c r="C574" s="299" t="s">
        <v>688</v>
      </c>
      <c r="D574" s="299" t="str">
        <f t="shared" si="8"/>
        <v>20-34 Years</v>
      </c>
    </row>
    <row r="575" spans="1:4" x14ac:dyDescent="0.25">
      <c r="A575" s="299">
        <v>27</v>
      </c>
      <c r="B575" s="299" t="s">
        <v>97</v>
      </c>
      <c r="C575" s="299" t="s">
        <v>688</v>
      </c>
      <c r="D575" s="299" t="str">
        <f t="shared" si="8"/>
        <v>20-34 Years</v>
      </c>
    </row>
    <row r="576" spans="1:4" x14ac:dyDescent="0.25">
      <c r="A576" s="299">
        <v>83</v>
      </c>
      <c r="B576" s="299" t="s">
        <v>97</v>
      </c>
      <c r="C576" s="299" t="s">
        <v>688</v>
      </c>
      <c r="D576" s="299" t="str">
        <f t="shared" si="8"/>
        <v>70+ Years</v>
      </c>
    </row>
    <row r="577" spans="1:4" x14ac:dyDescent="0.25">
      <c r="A577" s="299">
        <v>59</v>
      </c>
      <c r="B577" s="299" t="s">
        <v>98</v>
      </c>
      <c r="C577" s="299" t="s">
        <v>688</v>
      </c>
      <c r="D577" s="299" t="str">
        <f t="shared" si="8"/>
        <v>50-59 Years</v>
      </c>
    </row>
    <row r="578" spans="1:4" x14ac:dyDescent="0.25">
      <c r="A578" s="299">
        <v>64</v>
      </c>
      <c r="B578" s="299" t="s">
        <v>97</v>
      </c>
      <c r="C578" s="299" t="s">
        <v>688</v>
      </c>
      <c r="D578" s="299" t="str">
        <f t="shared" ref="D578:D638" si="9">IFERROR(
  IF(OR(RIGHT(UPPER(A578),1)="D", RIGHT(UPPER(A578),3)="DAY", RIGHT(UPPER(A578),4)="DAYS"), "0-28 Days",
  IF(RIGHT(UPPER(A578),3)="MTH", "1-11 Months",
  IF(A578+0&lt;1, "0-28 Days",
  IF(A578+0&lt;5, "1-4 Years",
  IF(A578+0&lt;10, "5-9 Years",
  IF(A578+0&lt;15, "10-14 Years",
  IF(A578+0&lt;18, "15-17 Years",
  IF(A578+0&lt;20, "18-19 Years",
  IF(A578+0&lt;35, "20-34 Years",
  IF(A578+0&lt;50, "35-49 Years",
  IF(A578+0&lt;60, "50-59 Years",
  IF(A578+0&lt;70, "60-69 Years", "70+ Years"
)))))))))))), "Unknown")</f>
        <v>60-69 Years</v>
      </c>
    </row>
    <row r="579" spans="1:4" x14ac:dyDescent="0.25">
      <c r="A579" s="299">
        <v>59</v>
      </c>
      <c r="B579" s="299" t="s">
        <v>97</v>
      </c>
      <c r="C579" s="299" t="s">
        <v>688</v>
      </c>
      <c r="D579" s="299" t="str">
        <f t="shared" si="9"/>
        <v>50-59 Years</v>
      </c>
    </row>
    <row r="580" spans="1:4" x14ac:dyDescent="0.25">
      <c r="A580" s="299">
        <v>51</v>
      </c>
      <c r="B580" s="299" t="s">
        <v>97</v>
      </c>
      <c r="C580" s="299" t="s">
        <v>688</v>
      </c>
      <c r="D580" s="299" t="str">
        <f t="shared" si="9"/>
        <v>50-59 Years</v>
      </c>
    </row>
    <row r="581" spans="1:4" x14ac:dyDescent="0.25">
      <c r="A581" s="299">
        <v>52</v>
      </c>
      <c r="B581" s="299" t="s">
        <v>98</v>
      </c>
      <c r="C581" s="299" t="s">
        <v>688</v>
      </c>
      <c r="D581" s="299" t="str">
        <f t="shared" si="9"/>
        <v>50-59 Years</v>
      </c>
    </row>
    <row r="582" spans="1:4" x14ac:dyDescent="0.25">
      <c r="A582" s="299">
        <v>47</v>
      </c>
      <c r="B582" s="299" t="s">
        <v>97</v>
      </c>
      <c r="C582" s="299" t="s">
        <v>688</v>
      </c>
      <c r="D582" s="299" t="str">
        <f t="shared" si="9"/>
        <v>35-49 Years</v>
      </c>
    </row>
    <row r="583" spans="1:4" x14ac:dyDescent="0.25">
      <c r="A583" s="299">
        <v>22</v>
      </c>
      <c r="B583" s="299" t="s">
        <v>97</v>
      </c>
      <c r="C583" s="299" t="s">
        <v>688</v>
      </c>
      <c r="D583" s="299" t="str">
        <f t="shared" si="9"/>
        <v>20-34 Years</v>
      </c>
    </row>
    <row r="584" spans="1:4" x14ac:dyDescent="0.25">
      <c r="A584" s="299">
        <v>20</v>
      </c>
      <c r="B584" s="299" t="s">
        <v>97</v>
      </c>
      <c r="C584" s="299" t="s">
        <v>688</v>
      </c>
      <c r="D584" s="299" t="str">
        <f t="shared" si="9"/>
        <v>20-34 Years</v>
      </c>
    </row>
    <row r="585" spans="1:4" x14ac:dyDescent="0.25">
      <c r="A585" s="299">
        <v>14</v>
      </c>
      <c r="B585" s="299" t="s">
        <v>97</v>
      </c>
      <c r="C585" s="299" t="s">
        <v>688</v>
      </c>
      <c r="D585" s="299" t="str">
        <f t="shared" si="9"/>
        <v>10-14 Years</v>
      </c>
    </row>
    <row r="586" spans="1:4" x14ac:dyDescent="0.25">
      <c r="A586" s="299">
        <v>51</v>
      </c>
      <c r="B586" s="299" t="s">
        <v>98</v>
      </c>
      <c r="C586" s="299" t="s">
        <v>688</v>
      </c>
      <c r="D586" s="299" t="str">
        <f t="shared" si="9"/>
        <v>50-59 Years</v>
      </c>
    </row>
    <row r="587" spans="1:4" x14ac:dyDescent="0.25">
      <c r="A587" s="299">
        <v>35</v>
      </c>
      <c r="B587" s="299" t="s">
        <v>97</v>
      </c>
      <c r="C587" s="299" t="s">
        <v>688</v>
      </c>
      <c r="D587" s="299" t="str">
        <f t="shared" si="9"/>
        <v>35-49 Years</v>
      </c>
    </row>
    <row r="588" spans="1:4" x14ac:dyDescent="0.25">
      <c r="A588" s="299">
        <v>83</v>
      </c>
      <c r="B588" s="299" t="s">
        <v>98</v>
      </c>
      <c r="C588" s="299" t="s">
        <v>688</v>
      </c>
      <c r="D588" s="299" t="str">
        <f t="shared" si="9"/>
        <v>70+ Years</v>
      </c>
    </row>
    <row r="589" spans="1:4" x14ac:dyDescent="0.25">
      <c r="A589" s="299">
        <v>14</v>
      </c>
      <c r="B589" s="299" t="s">
        <v>98</v>
      </c>
      <c r="C589" s="299" t="s">
        <v>688</v>
      </c>
      <c r="D589" s="299" t="str">
        <f t="shared" si="9"/>
        <v>10-14 Years</v>
      </c>
    </row>
    <row r="590" spans="1:4" x14ac:dyDescent="0.25">
      <c r="A590" s="299">
        <v>18</v>
      </c>
      <c r="B590" s="299" t="s">
        <v>97</v>
      </c>
      <c r="C590" s="299" t="s">
        <v>688</v>
      </c>
      <c r="D590" s="299" t="str">
        <f t="shared" si="9"/>
        <v>18-19 Years</v>
      </c>
    </row>
    <row r="591" spans="1:4" x14ac:dyDescent="0.25">
      <c r="A591" s="299">
        <v>55</v>
      </c>
      <c r="B591" s="299" t="s">
        <v>97</v>
      </c>
      <c r="C591" s="299" t="s">
        <v>688</v>
      </c>
      <c r="D591" s="299" t="str">
        <f t="shared" si="9"/>
        <v>50-59 Years</v>
      </c>
    </row>
    <row r="592" spans="1:4" x14ac:dyDescent="0.25">
      <c r="A592" s="299">
        <v>75</v>
      </c>
      <c r="B592" s="299" t="s">
        <v>97</v>
      </c>
      <c r="C592" s="299" t="s">
        <v>688</v>
      </c>
      <c r="D592" s="299" t="str">
        <f t="shared" si="9"/>
        <v>70+ Years</v>
      </c>
    </row>
    <row r="593" spans="1:4" x14ac:dyDescent="0.25">
      <c r="A593" s="299">
        <v>90</v>
      </c>
      <c r="B593" s="299" t="s">
        <v>97</v>
      </c>
      <c r="C593" s="299" t="s">
        <v>688</v>
      </c>
      <c r="D593" s="299" t="str">
        <f t="shared" si="9"/>
        <v>70+ Years</v>
      </c>
    </row>
    <row r="594" spans="1:4" x14ac:dyDescent="0.25">
      <c r="A594" s="299">
        <v>49</v>
      </c>
      <c r="B594" s="299" t="s">
        <v>97</v>
      </c>
      <c r="C594" s="299" t="s">
        <v>688</v>
      </c>
      <c r="D594" s="299" t="str">
        <f t="shared" si="9"/>
        <v>35-49 Years</v>
      </c>
    </row>
    <row r="595" spans="1:4" x14ac:dyDescent="0.25">
      <c r="A595" s="299">
        <v>27</v>
      </c>
      <c r="B595" s="299" t="s">
        <v>97</v>
      </c>
      <c r="C595" s="299" t="s">
        <v>688</v>
      </c>
      <c r="D595" s="299" t="str">
        <f t="shared" si="9"/>
        <v>20-34 Years</v>
      </c>
    </row>
    <row r="596" spans="1:4" x14ac:dyDescent="0.25">
      <c r="A596" s="299">
        <v>25</v>
      </c>
      <c r="B596" s="299" t="s">
        <v>97</v>
      </c>
      <c r="C596" s="299" t="s">
        <v>688</v>
      </c>
      <c r="D596" s="299" t="str">
        <f t="shared" si="9"/>
        <v>20-34 Years</v>
      </c>
    </row>
    <row r="597" spans="1:4" x14ac:dyDescent="0.25">
      <c r="A597" s="299">
        <v>50</v>
      </c>
      <c r="B597" s="299" t="s">
        <v>97</v>
      </c>
      <c r="C597" s="299" t="s">
        <v>688</v>
      </c>
      <c r="D597" s="299" t="str">
        <f t="shared" si="9"/>
        <v>50-59 Years</v>
      </c>
    </row>
    <row r="598" spans="1:4" x14ac:dyDescent="0.25">
      <c r="A598" s="299">
        <v>58</v>
      </c>
      <c r="B598" s="299" t="s">
        <v>98</v>
      </c>
      <c r="C598" s="299" t="s">
        <v>688</v>
      </c>
      <c r="D598" s="299" t="str">
        <f t="shared" si="9"/>
        <v>50-59 Years</v>
      </c>
    </row>
    <row r="599" spans="1:4" x14ac:dyDescent="0.25">
      <c r="A599" s="299">
        <v>38</v>
      </c>
      <c r="B599" s="299" t="s">
        <v>97</v>
      </c>
      <c r="C599" s="299" t="s">
        <v>688</v>
      </c>
      <c r="D599" s="299" t="str">
        <f t="shared" si="9"/>
        <v>35-49 Years</v>
      </c>
    </row>
    <row r="600" spans="1:4" x14ac:dyDescent="0.25">
      <c r="A600" s="299">
        <v>16</v>
      </c>
      <c r="B600" s="299" t="s">
        <v>97</v>
      </c>
      <c r="C600" s="299" t="s">
        <v>688</v>
      </c>
      <c r="D600" s="299" t="str">
        <f t="shared" si="9"/>
        <v>15-17 Years</v>
      </c>
    </row>
    <row r="601" spans="1:4" x14ac:dyDescent="0.25">
      <c r="A601" s="299">
        <v>58</v>
      </c>
      <c r="B601" s="299" t="s">
        <v>98</v>
      </c>
      <c r="C601" s="299" t="s">
        <v>688</v>
      </c>
      <c r="D601" s="299" t="str">
        <f t="shared" si="9"/>
        <v>50-59 Years</v>
      </c>
    </row>
    <row r="602" spans="1:4" x14ac:dyDescent="0.25">
      <c r="A602" s="299">
        <v>71</v>
      </c>
      <c r="B602" s="299" t="s">
        <v>97</v>
      </c>
      <c r="C602" s="299" t="s">
        <v>688</v>
      </c>
      <c r="D602" s="299" t="str">
        <f t="shared" si="9"/>
        <v>70+ Years</v>
      </c>
    </row>
    <row r="603" spans="1:4" x14ac:dyDescent="0.25">
      <c r="A603" s="299">
        <v>84</v>
      </c>
      <c r="B603" s="299" t="s">
        <v>98</v>
      </c>
      <c r="C603" s="299" t="s">
        <v>688</v>
      </c>
      <c r="D603" s="299" t="str">
        <f t="shared" si="9"/>
        <v>70+ Years</v>
      </c>
    </row>
    <row r="604" spans="1:4" x14ac:dyDescent="0.25">
      <c r="A604" s="299">
        <v>5</v>
      </c>
      <c r="B604" s="299" t="s">
        <v>97</v>
      </c>
      <c r="C604" s="299" t="s">
        <v>688</v>
      </c>
      <c r="D604" s="299" t="str">
        <f t="shared" si="9"/>
        <v>5-9 Years</v>
      </c>
    </row>
    <row r="605" spans="1:4" x14ac:dyDescent="0.25">
      <c r="A605" s="299">
        <v>46</v>
      </c>
      <c r="B605" s="299" t="s">
        <v>97</v>
      </c>
      <c r="C605" s="299" t="s">
        <v>688</v>
      </c>
      <c r="D605" s="299" t="str">
        <f t="shared" si="9"/>
        <v>35-49 Years</v>
      </c>
    </row>
    <row r="606" spans="1:4" x14ac:dyDescent="0.25">
      <c r="A606" s="299">
        <v>48</v>
      </c>
      <c r="B606" s="299" t="s">
        <v>97</v>
      </c>
      <c r="C606" s="299" t="s">
        <v>688</v>
      </c>
      <c r="D606" s="299" t="str">
        <f t="shared" si="9"/>
        <v>35-49 Years</v>
      </c>
    </row>
    <row r="607" spans="1:4" x14ac:dyDescent="0.25">
      <c r="A607" s="299">
        <v>5</v>
      </c>
      <c r="B607" s="299" t="s">
        <v>98</v>
      </c>
      <c r="C607" s="299" t="s">
        <v>688</v>
      </c>
      <c r="D607" s="299" t="str">
        <f t="shared" si="9"/>
        <v>5-9 Years</v>
      </c>
    </row>
    <row r="608" spans="1:4" x14ac:dyDescent="0.25">
      <c r="A608" s="299">
        <v>34</v>
      </c>
      <c r="B608" s="299" t="s">
        <v>98</v>
      </c>
      <c r="C608" s="299" t="s">
        <v>688</v>
      </c>
      <c r="D608" s="299" t="str">
        <f t="shared" si="9"/>
        <v>20-34 Years</v>
      </c>
    </row>
    <row r="609" spans="1:4" x14ac:dyDescent="0.25">
      <c r="A609" s="299">
        <v>9</v>
      </c>
      <c r="B609" s="299" t="s">
        <v>97</v>
      </c>
      <c r="C609" s="299" t="s">
        <v>688</v>
      </c>
      <c r="D609" s="299" t="str">
        <f t="shared" si="9"/>
        <v>5-9 Years</v>
      </c>
    </row>
    <row r="610" spans="1:4" x14ac:dyDescent="0.25">
      <c r="A610" s="299">
        <v>59</v>
      </c>
      <c r="B610" s="299" t="s">
        <v>98</v>
      </c>
      <c r="C610" s="299" t="s">
        <v>688</v>
      </c>
      <c r="D610" s="299" t="str">
        <f t="shared" si="9"/>
        <v>50-59 Years</v>
      </c>
    </row>
    <row r="611" spans="1:4" x14ac:dyDescent="0.25">
      <c r="A611" s="299">
        <v>82</v>
      </c>
      <c r="B611" s="299" t="s">
        <v>97</v>
      </c>
      <c r="C611" s="299" t="s">
        <v>688</v>
      </c>
      <c r="D611" s="299" t="str">
        <f t="shared" si="9"/>
        <v>70+ Years</v>
      </c>
    </row>
    <row r="612" spans="1:4" x14ac:dyDescent="0.25">
      <c r="A612" s="299">
        <v>15</v>
      </c>
      <c r="B612" s="299" t="s">
        <v>98</v>
      </c>
      <c r="C612" s="299" t="s">
        <v>688</v>
      </c>
      <c r="D612" s="299" t="str">
        <f t="shared" si="9"/>
        <v>15-17 Years</v>
      </c>
    </row>
    <row r="613" spans="1:4" x14ac:dyDescent="0.25">
      <c r="A613" s="299">
        <v>11</v>
      </c>
      <c r="B613" s="299" t="s">
        <v>97</v>
      </c>
      <c r="C613" s="299" t="s">
        <v>688</v>
      </c>
      <c r="D613" s="299" t="str">
        <f t="shared" si="9"/>
        <v>10-14 Years</v>
      </c>
    </row>
    <row r="614" spans="1:4" x14ac:dyDescent="0.25">
      <c r="A614" s="299">
        <v>5</v>
      </c>
      <c r="B614" s="299" t="s">
        <v>98</v>
      </c>
      <c r="C614" s="299" t="s">
        <v>688</v>
      </c>
      <c r="D614" s="299" t="str">
        <f t="shared" si="9"/>
        <v>5-9 Years</v>
      </c>
    </row>
    <row r="615" spans="1:4" x14ac:dyDescent="0.25">
      <c r="A615" s="299" t="s">
        <v>704</v>
      </c>
      <c r="B615" s="299" t="s">
        <v>97</v>
      </c>
      <c r="C615" s="299" t="s">
        <v>688</v>
      </c>
      <c r="D615" s="299" t="str">
        <f t="shared" si="9"/>
        <v>1-11 Months</v>
      </c>
    </row>
    <row r="616" spans="1:4" x14ac:dyDescent="0.25">
      <c r="A616" s="299">
        <v>12</v>
      </c>
      <c r="B616" s="299" t="s">
        <v>98</v>
      </c>
      <c r="C616" s="299" t="s">
        <v>688</v>
      </c>
      <c r="D616" s="299" t="str">
        <f t="shared" si="9"/>
        <v>10-14 Years</v>
      </c>
    </row>
    <row r="617" spans="1:4" x14ac:dyDescent="0.25">
      <c r="A617" s="299">
        <v>24</v>
      </c>
      <c r="B617" s="299" t="s">
        <v>97</v>
      </c>
      <c r="C617" s="299" t="s">
        <v>688</v>
      </c>
      <c r="D617" s="299" t="str">
        <f t="shared" si="9"/>
        <v>20-34 Years</v>
      </c>
    </row>
    <row r="618" spans="1:4" x14ac:dyDescent="0.25">
      <c r="A618" s="299">
        <v>8</v>
      </c>
      <c r="B618" s="299" t="s">
        <v>97</v>
      </c>
      <c r="C618" s="299" t="s">
        <v>688</v>
      </c>
      <c r="D618" s="299" t="str">
        <f t="shared" si="9"/>
        <v>5-9 Years</v>
      </c>
    </row>
    <row r="619" spans="1:4" x14ac:dyDescent="0.25">
      <c r="A619" s="299">
        <v>40</v>
      </c>
      <c r="B619" s="299" t="s">
        <v>98</v>
      </c>
      <c r="C619" s="299" t="s">
        <v>688</v>
      </c>
      <c r="D619" s="299" t="str">
        <f t="shared" si="9"/>
        <v>35-49 Years</v>
      </c>
    </row>
    <row r="620" spans="1:4" x14ac:dyDescent="0.25">
      <c r="A620" s="299">
        <v>38</v>
      </c>
      <c r="B620" s="299" t="s">
        <v>97</v>
      </c>
      <c r="C620" s="299" t="s">
        <v>688</v>
      </c>
      <c r="D620" s="299" t="str">
        <f t="shared" si="9"/>
        <v>35-49 Years</v>
      </c>
    </row>
    <row r="621" spans="1:4" x14ac:dyDescent="0.25">
      <c r="A621" s="299">
        <v>52</v>
      </c>
      <c r="B621" s="299" t="s">
        <v>98</v>
      </c>
      <c r="C621" s="299" t="s">
        <v>688</v>
      </c>
      <c r="D621" s="299" t="str">
        <f t="shared" si="9"/>
        <v>50-59 Years</v>
      </c>
    </row>
    <row r="622" spans="1:4" x14ac:dyDescent="0.25">
      <c r="A622" s="299">
        <v>54</v>
      </c>
      <c r="B622" s="299" t="s">
        <v>97</v>
      </c>
      <c r="C622" s="299" t="s">
        <v>688</v>
      </c>
      <c r="D622" s="299" t="str">
        <f t="shared" si="9"/>
        <v>50-59 Years</v>
      </c>
    </row>
    <row r="623" spans="1:4" x14ac:dyDescent="0.25">
      <c r="A623" s="299">
        <v>42</v>
      </c>
      <c r="B623" s="299" t="s">
        <v>97</v>
      </c>
      <c r="C623" s="299" t="s">
        <v>688</v>
      </c>
      <c r="D623" s="299" t="str">
        <f t="shared" si="9"/>
        <v>35-49 Years</v>
      </c>
    </row>
    <row r="624" spans="1:4" x14ac:dyDescent="0.25">
      <c r="A624" s="299">
        <v>43</v>
      </c>
      <c r="B624" s="299" t="s">
        <v>97</v>
      </c>
      <c r="C624" s="299" t="s">
        <v>688</v>
      </c>
      <c r="D624" s="299" t="str">
        <f t="shared" si="9"/>
        <v>35-49 Years</v>
      </c>
    </row>
    <row r="625" spans="1:4" x14ac:dyDescent="0.25">
      <c r="A625" s="299">
        <v>51</v>
      </c>
      <c r="B625" s="299" t="s">
        <v>98</v>
      </c>
      <c r="C625" s="299" t="s">
        <v>688</v>
      </c>
      <c r="D625" s="299" t="str">
        <f t="shared" si="9"/>
        <v>50-59 Years</v>
      </c>
    </row>
    <row r="626" spans="1:4" x14ac:dyDescent="0.25">
      <c r="A626" s="299">
        <v>51</v>
      </c>
      <c r="B626" s="299" t="s">
        <v>97</v>
      </c>
      <c r="C626" s="299" t="s">
        <v>688</v>
      </c>
      <c r="D626" s="299" t="str">
        <f t="shared" si="9"/>
        <v>50-59 Years</v>
      </c>
    </row>
    <row r="627" spans="1:4" x14ac:dyDescent="0.25">
      <c r="A627" s="299">
        <v>46</v>
      </c>
      <c r="B627" s="299" t="s">
        <v>97</v>
      </c>
      <c r="C627" s="299" t="s">
        <v>688</v>
      </c>
      <c r="D627" s="299" t="str">
        <f t="shared" si="9"/>
        <v>35-49 Years</v>
      </c>
    </row>
    <row r="628" spans="1:4" x14ac:dyDescent="0.25">
      <c r="A628" s="299">
        <v>41</v>
      </c>
      <c r="B628" s="299" t="s">
        <v>97</v>
      </c>
      <c r="C628" s="299" t="s">
        <v>688</v>
      </c>
      <c r="D628" s="299" t="str">
        <f t="shared" si="9"/>
        <v>35-49 Years</v>
      </c>
    </row>
    <row r="629" spans="1:4" x14ac:dyDescent="0.25">
      <c r="A629" s="299">
        <v>28</v>
      </c>
      <c r="B629" s="299" t="s">
        <v>97</v>
      </c>
      <c r="C629" s="299" t="s">
        <v>688</v>
      </c>
      <c r="D629" s="299" t="str">
        <f t="shared" si="9"/>
        <v>20-34 Years</v>
      </c>
    </row>
    <row r="630" spans="1:4" x14ac:dyDescent="0.25">
      <c r="A630" s="299">
        <v>52</v>
      </c>
      <c r="B630" s="299" t="s">
        <v>97</v>
      </c>
      <c r="C630" s="299" t="s">
        <v>688</v>
      </c>
      <c r="D630" s="299" t="str">
        <f t="shared" si="9"/>
        <v>50-59 Years</v>
      </c>
    </row>
    <row r="631" spans="1:4" x14ac:dyDescent="0.25">
      <c r="A631" s="299">
        <v>26</v>
      </c>
      <c r="B631" s="299" t="s">
        <v>97</v>
      </c>
      <c r="C631" s="299" t="s">
        <v>688</v>
      </c>
      <c r="D631" s="299" t="str">
        <f t="shared" si="9"/>
        <v>20-34 Years</v>
      </c>
    </row>
    <row r="632" spans="1:4" x14ac:dyDescent="0.25">
      <c r="A632" s="299">
        <v>19</v>
      </c>
      <c r="B632" s="299" t="s">
        <v>97</v>
      </c>
      <c r="C632" s="299" t="s">
        <v>688</v>
      </c>
      <c r="D632" s="299" t="str">
        <f t="shared" si="9"/>
        <v>18-19 Years</v>
      </c>
    </row>
    <row r="633" spans="1:4" x14ac:dyDescent="0.25">
      <c r="A633" s="299">
        <v>75</v>
      </c>
      <c r="B633" s="299" t="s">
        <v>97</v>
      </c>
      <c r="C633" s="299" t="s">
        <v>688</v>
      </c>
      <c r="D633" s="299" t="str">
        <f t="shared" si="9"/>
        <v>70+ Years</v>
      </c>
    </row>
    <row r="634" spans="1:4" x14ac:dyDescent="0.25">
      <c r="A634" s="299">
        <v>75</v>
      </c>
      <c r="B634" s="299" t="s">
        <v>97</v>
      </c>
      <c r="C634" s="299" t="s">
        <v>688</v>
      </c>
      <c r="D634" s="299" t="str">
        <f t="shared" si="9"/>
        <v>70+ Years</v>
      </c>
    </row>
    <row r="635" spans="1:4" x14ac:dyDescent="0.25">
      <c r="A635" s="299">
        <v>5</v>
      </c>
      <c r="B635" s="299" t="s">
        <v>97</v>
      </c>
      <c r="C635" s="299" t="s">
        <v>688</v>
      </c>
      <c r="D635" s="299" t="str">
        <f t="shared" si="9"/>
        <v>5-9 Years</v>
      </c>
    </row>
    <row r="636" spans="1:4" x14ac:dyDescent="0.25">
      <c r="A636" s="299">
        <v>33</v>
      </c>
      <c r="B636" s="299" t="s">
        <v>97</v>
      </c>
      <c r="C636" s="299" t="s">
        <v>688</v>
      </c>
      <c r="D636" s="299" t="str">
        <f t="shared" si="9"/>
        <v>20-34 Years</v>
      </c>
    </row>
    <row r="637" spans="1:4" x14ac:dyDescent="0.25">
      <c r="A637" s="299">
        <v>45</v>
      </c>
      <c r="B637" s="299" t="s">
        <v>98</v>
      </c>
      <c r="C637" s="299" t="s">
        <v>688</v>
      </c>
      <c r="D637" s="299" t="str">
        <f t="shared" si="9"/>
        <v>35-49 Years</v>
      </c>
    </row>
    <row r="638" spans="1:4" x14ac:dyDescent="0.25">
      <c r="A638" s="299">
        <v>77</v>
      </c>
      <c r="B638" s="299" t="s">
        <v>97</v>
      </c>
      <c r="C638" s="299" t="s">
        <v>688</v>
      </c>
      <c r="D638" s="299" t="str">
        <f t="shared" si="9"/>
        <v>70+ Years</v>
      </c>
    </row>
    <row r="639" spans="1:4" x14ac:dyDescent="0.25">
      <c r="A639" s="299">
        <v>53</v>
      </c>
      <c r="B639" s="299" t="s">
        <v>98</v>
      </c>
      <c r="C639" s="299" t="s">
        <v>688</v>
      </c>
      <c r="D639" s="299" t="str">
        <f t="shared" ref="D639:D702" si="10">IFERROR(
  IF(OR(RIGHT(UPPER(A639),1)="D", RIGHT(UPPER(A639),3)="DAY", RIGHT(UPPER(A639),4)="DAYS"), "0-28 Days",
  IF(RIGHT(UPPER(A639),3)="MTH", "1-11 Months",
  IF(A639+0&lt;1, "0-28 Days",
  IF(A639+0&lt;5, "1-4 Years",
  IF(A639+0&lt;10, "5-9 Years",
  IF(A639+0&lt;15, "10-14 Years",
  IF(A639+0&lt;18, "15-17 Years",
  IF(A639+0&lt;20, "18-19 Years",
  IF(A639+0&lt;35, "20-34 Years",
  IF(A639+0&lt;50, "35-49 Years",
  IF(A639+0&lt;60, "50-59 Years",
  IF(A639+0&lt;70, "60-69 Years", "70+ Years"
)))))))))))), "Unknown")</f>
        <v>50-59 Years</v>
      </c>
    </row>
    <row r="640" spans="1:4" x14ac:dyDescent="0.25">
      <c r="A640" s="299">
        <v>40</v>
      </c>
      <c r="B640" s="299" t="s">
        <v>98</v>
      </c>
      <c r="C640" s="299" t="s">
        <v>688</v>
      </c>
      <c r="D640" s="299" t="str">
        <f t="shared" si="10"/>
        <v>35-49 Years</v>
      </c>
    </row>
    <row r="641" spans="1:4" x14ac:dyDescent="0.25">
      <c r="A641" s="299">
        <v>66</v>
      </c>
      <c r="B641" s="299" t="s">
        <v>97</v>
      </c>
      <c r="C641" s="299" t="s">
        <v>688</v>
      </c>
      <c r="D641" s="299" t="str">
        <f t="shared" si="10"/>
        <v>60-69 Years</v>
      </c>
    </row>
    <row r="642" spans="1:4" x14ac:dyDescent="0.25">
      <c r="A642" s="299">
        <v>2</v>
      </c>
      <c r="B642" s="299" t="s">
        <v>97</v>
      </c>
      <c r="C642" s="299" t="s">
        <v>688</v>
      </c>
      <c r="D642" s="299" t="str">
        <f t="shared" si="10"/>
        <v>1-4 Years</v>
      </c>
    </row>
    <row r="643" spans="1:4" x14ac:dyDescent="0.25">
      <c r="A643" s="299">
        <v>68</v>
      </c>
      <c r="B643" s="299" t="s">
        <v>97</v>
      </c>
      <c r="C643" s="299" t="s">
        <v>688</v>
      </c>
      <c r="D643" s="299" t="str">
        <f t="shared" si="10"/>
        <v>60-69 Years</v>
      </c>
    </row>
    <row r="644" spans="1:4" x14ac:dyDescent="0.25">
      <c r="A644" s="299">
        <v>31</v>
      </c>
      <c r="B644" s="299" t="s">
        <v>97</v>
      </c>
      <c r="C644" s="299" t="s">
        <v>688</v>
      </c>
      <c r="D644" s="299" t="str">
        <f t="shared" si="10"/>
        <v>20-34 Years</v>
      </c>
    </row>
    <row r="645" spans="1:4" x14ac:dyDescent="0.25">
      <c r="A645" s="299">
        <v>31</v>
      </c>
      <c r="B645" s="299" t="s">
        <v>97</v>
      </c>
      <c r="C645" s="299" t="s">
        <v>688</v>
      </c>
      <c r="D645" s="299" t="str">
        <f t="shared" si="10"/>
        <v>20-34 Years</v>
      </c>
    </row>
    <row r="646" spans="1:4" x14ac:dyDescent="0.25">
      <c r="A646" s="299">
        <v>31</v>
      </c>
      <c r="B646" s="299" t="s">
        <v>97</v>
      </c>
      <c r="C646" s="299" t="s">
        <v>688</v>
      </c>
      <c r="D646" s="299" t="str">
        <f t="shared" si="10"/>
        <v>20-34 Years</v>
      </c>
    </row>
    <row r="647" spans="1:4" x14ac:dyDescent="0.25">
      <c r="A647" s="299">
        <v>44</v>
      </c>
      <c r="B647" s="299" t="s">
        <v>97</v>
      </c>
      <c r="C647" s="299" t="s">
        <v>688</v>
      </c>
      <c r="D647" s="299" t="str">
        <f t="shared" si="10"/>
        <v>35-49 Years</v>
      </c>
    </row>
    <row r="648" spans="1:4" x14ac:dyDescent="0.25">
      <c r="A648" s="299">
        <v>38</v>
      </c>
      <c r="B648" s="299" t="s">
        <v>97</v>
      </c>
      <c r="C648" s="299" t="s">
        <v>688</v>
      </c>
      <c r="D648" s="299" t="str">
        <f t="shared" si="10"/>
        <v>35-49 Years</v>
      </c>
    </row>
    <row r="649" spans="1:4" x14ac:dyDescent="0.25">
      <c r="A649" s="299">
        <v>75</v>
      </c>
      <c r="B649" s="299" t="s">
        <v>98</v>
      </c>
      <c r="C649" s="299" t="s">
        <v>688</v>
      </c>
      <c r="D649" s="299" t="str">
        <f t="shared" si="10"/>
        <v>70+ Years</v>
      </c>
    </row>
    <row r="650" spans="1:4" x14ac:dyDescent="0.25">
      <c r="A650" s="299">
        <v>41</v>
      </c>
      <c r="B650" s="299" t="s">
        <v>98</v>
      </c>
      <c r="C650" s="299" t="s">
        <v>688</v>
      </c>
      <c r="D650" s="299" t="str">
        <f t="shared" si="10"/>
        <v>35-49 Years</v>
      </c>
    </row>
    <row r="651" spans="1:4" x14ac:dyDescent="0.25">
      <c r="A651" s="299">
        <v>17</v>
      </c>
      <c r="B651" s="299" t="s">
        <v>97</v>
      </c>
      <c r="C651" s="299" t="s">
        <v>688</v>
      </c>
      <c r="D651" s="299" t="str">
        <f t="shared" si="10"/>
        <v>15-17 Years</v>
      </c>
    </row>
    <row r="652" spans="1:4" x14ac:dyDescent="0.25">
      <c r="D652" s="299" t="str">
        <f t="shared" si="10"/>
        <v>0-28 Days</v>
      </c>
    </row>
    <row r="653" spans="1:4" x14ac:dyDescent="0.25">
      <c r="D653" s="299" t="str">
        <f t="shared" si="10"/>
        <v>0-28 Days</v>
      </c>
    </row>
    <row r="654" spans="1:4" x14ac:dyDescent="0.25">
      <c r="D654" s="299" t="str">
        <f t="shared" si="10"/>
        <v>0-28 Days</v>
      </c>
    </row>
    <row r="655" spans="1:4" x14ac:dyDescent="0.25">
      <c r="D655" s="299" t="str">
        <f t="shared" si="10"/>
        <v>0-28 Days</v>
      </c>
    </row>
    <row r="656" spans="1:4" x14ac:dyDescent="0.25">
      <c r="D656" s="299" t="str">
        <f t="shared" si="10"/>
        <v>0-28 Days</v>
      </c>
    </row>
    <row r="657" spans="1:4" x14ac:dyDescent="0.25">
      <c r="D657" s="299" t="str">
        <f t="shared" si="10"/>
        <v>0-28 Days</v>
      </c>
    </row>
    <row r="658" spans="1:4" x14ac:dyDescent="0.25">
      <c r="D658" s="299" t="str">
        <f t="shared" si="10"/>
        <v>0-28 Days</v>
      </c>
    </row>
    <row r="659" spans="1:4" x14ac:dyDescent="0.25">
      <c r="D659" s="299" t="str">
        <f t="shared" si="10"/>
        <v>0-28 Days</v>
      </c>
    </row>
    <row r="660" spans="1:4" x14ac:dyDescent="0.25">
      <c r="D660" s="299" t="str">
        <f t="shared" si="10"/>
        <v>0-28 Days</v>
      </c>
    </row>
    <row r="661" spans="1:4" x14ac:dyDescent="0.25">
      <c r="A661" s="503"/>
      <c r="B661" s="503"/>
      <c r="D661" s="299" t="str">
        <f t="shared" si="10"/>
        <v>0-28 Days</v>
      </c>
    </row>
    <row r="662" spans="1:4" x14ac:dyDescent="0.25">
      <c r="D662" s="299" t="str">
        <f t="shared" si="10"/>
        <v>0-28 Days</v>
      </c>
    </row>
    <row r="663" spans="1:4" x14ac:dyDescent="0.25">
      <c r="D663" s="299" t="str">
        <f t="shared" si="10"/>
        <v>0-28 Days</v>
      </c>
    </row>
    <row r="664" spans="1:4" x14ac:dyDescent="0.25">
      <c r="D664" s="299" t="str">
        <f t="shared" si="10"/>
        <v>0-28 Days</v>
      </c>
    </row>
    <row r="665" spans="1:4" x14ac:dyDescent="0.25">
      <c r="D665" s="299" t="str">
        <f t="shared" si="10"/>
        <v>0-28 Days</v>
      </c>
    </row>
    <row r="666" spans="1:4" x14ac:dyDescent="0.25">
      <c r="D666" s="299" t="str">
        <f t="shared" si="10"/>
        <v>0-28 Days</v>
      </c>
    </row>
    <row r="667" spans="1:4" x14ac:dyDescent="0.25">
      <c r="D667" s="299" t="str">
        <f t="shared" si="10"/>
        <v>0-28 Days</v>
      </c>
    </row>
    <row r="668" spans="1:4" x14ac:dyDescent="0.25">
      <c r="D668" s="299" t="str">
        <f t="shared" si="10"/>
        <v>0-28 Days</v>
      </c>
    </row>
    <row r="669" spans="1:4" x14ac:dyDescent="0.25">
      <c r="D669" s="299" t="str">
        <f t="shared" si="10"/>
        <v>0-28 Days</v>
      </c>
    </row>
    <row r="670" spans="1:4" x14ac:dyDescent="0.25">
      <c r="D670" s="299" t="str">
        <f t="shared" si="10"/>
        <v>0-28 Days</v>
      </c>
    </row>
    <row r="671" spans="1:4" x14ac:dyDescent="0.25">
      <c r="D671" s="299" t="str">
        <f t="shared" si="10"/>
        <v>0-28 Days</v>
      </c>
    </row>
    <row r="672" spans="1:4" x14ac:dyDescent="0.25">
      <c r="D672" s="299" t="str">
        <f t="shared" si="10"/>
        <v>0-28 Days</v>
      </c>
    </row>
    <row r="673" spans="4:4" x14ac:dyDescent="0.25">
      <c r="D673" s="299" t="str">
        <f t="shared" si="10"/>
        <v>0-28 Days</v>
      </c>
    </row>
    <row r="674" spans="4:4" x14ac:dyDescent="0.25">
      <c r="D674" s="299" t="str">
        <f t="shared" si="10"/>
        <v>0-28 Days</v>
      </c>
    </row>
    <row r="675" spans="4:4" x14ac:dyDescent="0.25">
      <c r="D675" s="299" t="str">
        <f t="shared" si="10"/>
        <v>0-28 Days</v>
      </c>
    </row>
    <row r="676" spans="4:4" x14ac:dyDescent="0.25">
      <c r="D676" s="299" t="str">
        <f t="shared" si="10"/>
        <v>0-28 Days</v>
      </c>
    </row>
    <row r="677" spans="4:4" x14ac:dyDescent="0.25">
      <c r="D677" s="299" t="str">
        <f t="shared" si="10"/>
        <v>0-28 Days</v>
      </c>
    </row>
    <row r="678" spans="4:4" x14ac:dyDescent="0.25">
      <c r="D678" s="299" t="str">
        <f t="shared" si="10"/>
        <v>0-28 Days</v>
      </c>
    </row>
    <row r="679" spans="4:4" x14ac:dyDescent="0.25">
      <c r="D679" s="299" t="str">
        <f t="shared" si="10"/>
        <v>0-28 Days</v>
      </c>
    </row>
    <row r="680" spans="4:4" x14ac:dyDescent="0.25">
      <c r="D680" s="299" t="str">
        <f t="shared" si="10"/>
        <v>0-28 Days</v>
      </c>
    </row>
    <row r="681" spans="4:4" x14ac:dyDescent="0.25">
      <c r="D681" s="299" t="str">
        <f t="shared" si="10"/>
        <v>0-28 Days</v>
      </c>
    </row>
    <row r="682" spans="4:4" x14ac:dyDescent="0.25">
      <c r="D682" s="299" t="str">
        <f t="shared" si="10"/>
        <v>0-28 Days</v>
      </c>
    </row>
    <row r="683" spans="4:4" x14ac:dyDescent="0.25">
      <c r="D683" s="299" t="str">
        <f t="shared" si="10"/>
        <v>0-28 Days</v>
      </c>
    </row>
    <row r="684" spans="4:4" x14ac:dyDescent="0.25">
      <c r="D684" s="299" t="str">
        <f t="shared" si="10"/>
        <v>0-28 Days</v>
      </c>
    </row>
    <row r="685" spans="4:4" x14ac:dyDescent="0.25">
      <c r="D685" s="299" t="str">
        <f t="shared" si="10"/>
        <v>0-28 Days</v>
      </c>
    </row>
    <row r="686" spans="4:4" x14ac:dyDescent="0.25">
      <c r="D686" s="299" t="str">
        <f t="shared" si="10"/>
        <v>0-28 Days</v>
      </c>
    </row>
    <row r="687" spans="4:4" x14ac:dyDescent="0.25">
      <c r="D687" s="299" t="str">
        <f t="shared" si="10"/>
        <v>0-28 Days</v>
      </c>
    </row>
    <row r="688" spans="4:4" x14ac:dyDescent="0.25">
      <c r="D688" s="299" t="str">
        <f t="shared" si="10"/>
        <v>0-28 Days</v>
      </c>
    </row>
    <row r="689" spans="4:4" x14ac:dyDescent="0.25">
      <c r="D689" s="299" t="str">
        <f t="shared" si="10"/>
        <v>0-28 Days</v>
      </c>
    </row>
    <row r="690" spans="4:4" x14ac:dyDescent="0.25">
      <c r="D690" s="299" t="str">
        <f t="shared" si="10"/>
        <v>0-28 Days</v>
      </c>
    </row>
    <row r="691" spans="4:4" x14ac:dyDescent="0.25">
      <c r="D691" s="299" t="str">
        <f t="shared" si="10"/>
        <v>0-28 Days</v>
      </c>
    </row>
    <row r="692" spans="4:4" x14ac:dyDescent="0.25">
      <c r="D692" s="299" t="str">
        <f t="shared" si="10"/>
        <v>0-28 Days</v>
      </c>
    </row>
    <row r="693" spans="4:4" x14ac:dyDescent="0.25">
      <c r="D693" s="299" t="str">
        <f t="shared" si="10"/>
        <v>0-28 Days</v>
      </c>
    </row>
    <row r="694" spans="4:4" x14ac:dyDescent="0.25">
      <c r="D694" s="299" t="str">
        <f t="shared" si="10"/>
        <v>0-28 Days</v>
      </c>
    </row>
    <row r="695" spans="4:4" x14ac:dyDescent="0.25">
      <c r="D695" s="299" t="str">
        <f t="shared" si="10"/>
        <v>0-28 Days</v>
      </c>
    </row>
    <row r="696" spans="4:4" x14ac:dyDescent="0.25">
      <c r="D696" s="299" t="str">
        <f t="shared" si="10"/>
        <v>0-28 Days</v>
      </c>
    </row>
    <row r="697" spans="4:4" x14ac:dyDescent="0.25">
      <c r="D697" s="299" t="str">
        <f t="shared" si="10"/>
        <v>0-28 Days</v>
      </c>
    </row>
    <row r="698" spans="4:4" x14ac:dyDescent="0.25">
      <c r="D698" s="299" t="str">
        <f t="shared" si="10"/>
        <v>0-28 Days</v>
      </c>
    </row>
    <row r="699" spans="4:4" x14ac:dyDescent="0.25">
      <c r="D699" s="299" t="str">
        <f t="shared" si="10"/>
        <v>0-28 Days</v>
      </c>
    </row>
    <row r="700" spans="4:4" x14ac:dyDescent="0.25">
      <c r="D700" s="299" t="str">
        <f t="shared" si="10"/>
        <v>0-28 Days</v>
      </c>
    </row>
    <row r="701" spans="4:4" x14ac:dyDescent="0.25">
      <c r="D701" s="299" t="str">
        <f t="shared" si="10"/>
        <v>0-28 Days</v>
      </c>
    </row>
    <row r="702" spans="4:4" x14ac:dyDescent="0.25">
      <c r="D702" s="299" t="str">
        <f t="shared" si="10"/>
        <v>0-28 Days</v>
      </c>
    </row>
    <row r="703" spans="4:4" x14ac:dyDescent="0.25">
      <c r="D703" s="299" t="str">
        <f t="shared" ref="D703:D766" si="11">IFERROR(
  IF(OR(RIGHT(UPPER(A703),1)="D", RIGHT(UPPER(A703),3)="DAY", RIGHT(UPPER(A703),4)="DAYS"), "0-28 Days",
  IF(RIGHT(UPPER(A703),3)="MTH", "1-11 Months",
  IF(A703+0&lt;1, "0-28 Days",
  IF(A703+0&lt;5, "1-4 Years",
  IF(A703+0&lt;10, "5-9 Years",
  IF(A703+0&lt;15, "10-14 Years",
  IF(A703+0&lt;18, "15-17 Years",
  IF(A703+0&lt;20, "18-19 Years",
  IF(A703+0&lt;35, "20-34 Years",
  IF(A703+0&lt;50, "35-49 Years",
  IF(A703+0&lt;60, "50-59 Years",
  IF(A703+0&lt;70, "60-69 Years", "70+ Years"
)))))))))))), "Unknown")</f>
        <v>0-28 Days</v>
      </c>
    </row>
    <row r="704" spans="4:4" x14ac:dyDescent="0.25">
      <c r="D704" s="299" t="str">
        <f t="shared" si="11"/>
        <v>0-28 Days</v>
      </c>
    </row>
    <row r="705" spans="4:4" x14ac:dyDescent="0.25">
      <c r="D705" s="299" t="str">
        <f t="shared" si="11"/>
        <v>0-28 Days</v>
      </c>
    </row>
    <row r="706" spans="4:4" x14ac:dyDescent="0.25">
      <c r="D706" s="299" t="str">
        <f t="shared" si="11"/>
        <v>0-28 Days</v>
      </c>
    </row>
    <row r="707" spans="4:4" x14ac:dyDescent="0.25">
      <c r="D707" s="299" t="str">
        <f t="shared" si="11"/>
        <v>0-28 Days</v>
      </c>
    </row>
    <row r="708" spans="4:4" x14ac:dyDescent="0.25">
      <c r="D708" s="299" t="str">
        <f t="shared" si="11"/>
        <v>0-28 Days</v>
      </c>
    </row>
    <row r="709" spans="4:4" x14ac:dyDescent="0.25">
      <c r="D709" s="299" t="str">
        <f t="shared" si="11"/>
        <v>0-28 Days</v>
      </c>
    </row>
    <row r="710" spans="4:4" x14ac:dyDescent="0.25">
      <c r="D710" s="299" t="str">
        <f t="shared" si="11"/>
        <v>0-28 Days</v>
      </c>
    </row>
    <row r="711" spans="4:4" x14ac:dyDescent="0.25">
      <c r="D711" s="299" t="str">
        <f t="shared" si="11"/>
        <v>0-28 Days</v>
      </c>
    </row>
    <row r="712" spans="4:4" x14ac:dyDescent="0.25">
      <c r="D712" s="299" t="str">
        <f t="shared" si="11"/>
        <v>0-28 Days</v>
      </c>
    </row>
    <row r="713" spans="4:4" x14ac:dyDescent="0.25">
      <c r="D713" s="299" t="str">
        <f t="shared" si="11"/>
        <v>0-28 Days</v>
      </c>
    </row>
    <row r="714" spans="4:4" x14ac:dyDescent="0.25">
      <c r="D714" s="299" t="str">
        <f t="shared" si="11"/>
        <v>0-28 Days</v>
      </c>
    </row>
    <row r="715" spans="4:4" x14ac:dyDescent="0.25">
      <c r="D715" s="299" t="str">
        <f t="shared" si="11"/>
        <v>0-28 Days</v>
      </c>
    </row>
    <row r="716" spans="4:4" x14ac:dyDescent="0.25">
      <c r="D716" s="299" t="str">
        <f t="shared" si="11"/>
        <v>0-28 Days</v>
      </c>
    </row>
    <row r="717" spans="4:4" x14ac:dyDescent="0.25">
      <c r="D717" s="299" t="str">
        <f t="shared" si="11"/>
        <v>0-28 Days</v>
      </c>
    </row>
    <row r="718" spans="4:4" x14ac:dyDescent="0.25">
      <c r="D718" s="299" t="str">
        <f t="shared" si="11"/>
        <v>0-28 Days</v>
      </c>
    </row>
    <row r="719" spans="4:4" x14ac:dyDescent="0.25">
      <c r="D719" s="299" t="str">
        <f t="shared" si="11"/>
        <v>0-28 Days</v>
      </c>
    </row>
    <row r="720" spans="4:4" x14ac:dyDescent="0.25">
      <c r="D720" s="299" t="str">
        <f t="shared" si="11"/>
        <v>0-28 Days</v>
      </c>
    </row>
    <row r="721" spans="4:4" x14ac:dyDescent="0.25">
      <c r="D721" s="299" t="str">
        <f t="shared" si="11"/>
        <v>0-28 Days</v>
      </c>
    </row>
    <row r="722" spans="4:4" x14ac:dyDescent="0.25">
      <c r="D722" s="299" t="str">
        <f t="shared" si="11"/>
        <v>0-28 Days</v>
      </c>
    </row>
    <row r="723" spans="4:4" x14ac:dyDescent="0.25">
      <c r="D723" s="299" t="str">
        <f t="shared" si="11"/>
        <v>0-28 Days</v>
      </c>
    </row>
    <row r="724" spans="4:4" x14ac:dyDescent="0.25">
      <c r="D724" s="299" t="str">
        <f t="shared" si="11"/>
        <v>0-28 Days</v>
      </c>
    </row>
    <row r="725" spans="4:4" x14ac:dyDescent="0.25">
      <c r="D725" s="299" t="str">
        <f t="shared" si="11"/>
        <v>0-28 Days</v>
      </c>
    </row>
    <row r="726" spans="4:4" x14ac:dyDescent="0.25">
      <c r="D726" s="299" t="str">
        <f t="shared" si="11"/>
        <v>0-28 Days</v>
      </c>
    </row>
    <row r="727" spans="4:4" x14ac:dyDescent="0.25">
      <c r="D727" s="299" t="str">
        <f t="shared" si="11"/>
        <v>0-28 Days</v>
      </c>
    </row>
    <row r="728" spans="4:4" x14ac:dyDescent="0.25">
      <c r="D728" s="299" t="str">
        <f t="shared" si="11"/>
        <v>0-28 Days</v>
      </c>
    </row>
    <row r="729" spans="4:4" x14ac:dyDescent="0.25">
      <c r="D729" s="299" t="str">
        <f t="shared" si="11"/>
        <v>0-28 Days</v>
      </c>
    </row>
    <row r="730" spans="4:4" x14ac:dyDescent="0.25">
      <c r="D730" s="299" t="str">
        <f t="shared" si="11"/>
        <v>0-28 Days</v>
      </c>
    </row>
    <row r="731" spans="4:4" x14ac:dyDescent="0.25">
      <c r="D731" s="299" t="str">
        <f t="shared" si="11"/>
        <v>0-28 Days</v>
      </c>
    </row>
    <row r="732" spans="4:4" x14ac:dyDescent="0.25">
      <c r="D732" s="299" t="str">
        <f t="shared" si="11"/>
        <v>0-28 Days</v>
      </c>
    </row>
    <row r="733" spans="4:4" x14ac:dyDescent="0.25">
      <c r="D733" s="299" t="str">
        <f t="shared" si="11"/>
        <v>0-28 Days</v>
      </c>
    </row>
    <row r="734" spans="4:4" x14ac:dyDescent="0.25">
      <c r="D734" s="299" t="str">
        <f t="shared" si="11"/>
        <v>0-28 Days</v>
      </c>
    </row>
    <row r="735" spans="4:4" x14ac:dyDescent="0.25">
      <c r="D735" s="299" t="str">
        <f t="shared" si="11"/>
        <v>0-28 Days</v>
      </c>
    </row>
    <row r="736" spans="4:4" x14ac:dyDescent="0.25">
      <c r="D736" s="299" t="str">
        <f t="shared" si="11"/>
        <v>0-28 Days</v>
      </c>
    </row>
    <row r="737" spans="4:4" x14ac:dyDescent="0.25">
      <c r="D737" s="299" t="str">
        <f t="shared" si="11"/>
        <v>0-28 Days</v>
      </c>
    </row>
    <row r="738" spans="4:4" x14ac:dyDescent="0.25">
      <c r="D738" s="299" t="str">
        <f t="shared" si="11"/>
        <v>0-28 Days</v>
      </c>
    </row>
    <row r="739" spans="4:4" x14ac:dyDescent="0.25">
      <c r="D739" s="299" t="str">
        <f t="shared" si="11"/>
        <v>0-28 Days</v>
      </c>
    </row>
    <row r="740" spans="4:4" x14ac:dyDescent="0.25">
      <c r="D740" s="299" t="str">
        <f t="shared" si="11"/>
        <v>0-28 Days</v>
      </c>
    </row>
    <row r="741" spans="4:4" x14ac:dyDescent="0.25">
      <c r="D741" s="299" t="str">
        <f t="shared" si="11"/>
        <v>0-28 Days</v>
      </c>
    </row>
    <row r="742" spans="4:4" x14ac:dyDescent="0.25">
      <c r="D742" s="299" t="str">
        <f t="shared" si="11"/>
        <v>0-28 Days</v>
      </c>
    </row>
    <row r="743" spans="4:4" x14ac:dyDescent="0.25">
      <c r="D743" s="299" t="str">
        <f t="shared" si="11"/>
        <v>0-28 Days</v>
      </c>
    </row>
    <row r="744" spans="4:4" x14ac:dyDescent="0.25">
      <c r="D744" s="299" t="str">
        <f t="shared" si="11"/>
        <v>0-28 Days</v>
      </c>
    </row>
    <row r="745" spans="4:4" x14ac:dyDescent="0.25">
      <c r="D745" s="299" t="str">
        <f t="shared" si="11"/>
        <v>0-28 Days</v>
      </c>
    </row>
    <row r="746" spans="4:4" x14ac:dyDescent="0.25">
      <c r="D746" s="299" t="str">
        <f t="shared" si="11"/>
        <v>0-28 Days</v>
      </c>
    </row>
    <row r="747" spans="4:4" x14ac:dyDescent="0.25">
      <c r="D747" s="299" t="str">
        <f t="shared" si="11"/>
        <v>0-28 Days</v>
      </c>
    </row>
    <row r="748" spans="4:4" x14ac:dyDescent="0.25">
      <c r="D748" s="299" t="str">
        <f t="shared" si="11"/>
        <v>0-28 Days</v>
      </c>
    </row>
    <row r="749" spans="4:4" x14ac:dyDescent="0.25">
      <c r="D749" s="299" t="str">
        <f t="shared" si="11"/>
        <v>0-28 Days</v>
      </c>
    </row>
    <row r="750" spans="4:4" x14ac:dyDescent="0.25">
      <c r="D750" s="299" t="str">
        <f t="shared" si="11"/>
        <v>0-28 Days</v>
      </c>
    </row>
    <row r="751" spans="4:4" x14ac:dyDescent="0.25">
      <c r="D751" s="299" t="str">
        <f t="shared" si="11"/>
        <v>0-28 Days</v>
      </c>
    </row>
    <row r="752" spans="4:4" x14ac:dyDescent="0.25">
      <c r="D752" s="299" t="str">
        <f t="shared" si="11"/>
        <v>0-28 Days</v>
      </c>
    </row>
    <row r="753" spans="4:4" x14ac:dyDescent="0.25">
      <c r="D753" s="299" t="str">
        <f t="shared" si="11"/>
        <v>0-28 Days</v>
      </c>
    </row>
    <row r="754" spans="4:4" x14ac:dyDescent="0.25">
      <c r="D754" s="299" t="str">
        <f t="shared" si="11"/>
        <v>0-28 Days</v>
      </c>
    </row>
    <row r="755" spans="4:4" x14ac:dyDescent="0.25">
      <c r="D755" s="299" t="str">
        <f t="shared" si="11"/>
        <v>0-28 Days</v>
      </c>
    </row>
    <row r="756" spans="4:4" x14ac:dyDescent="0.25">
      <c r="D756" s="299" t="str">
        <f t="shared" si="11"/>
        <v>0-28 Days</v>
      </c>
    </row>
    <row r="757" spans="4:4" x14ac:dyDescent="0.25">
      <c r="D757" s="299" t="str">
        <f t="shared" si="11"/>
        <v>0-28 Days</v>
      </c>
    </row>
    <row r="758" spans="4:4" x14ac:dyDescent="0.25">
      <c r="D758" s="299" t="str">
        <f t="shared" si="11"/>
        <v>0-28 Days</v>
      </c>
    </row>
    <row r="759" spans="4:4" x14ac:dyDescent="0.25">
      <c r="D759" s="299" t="str">
        <f t="shared" si="11"/>
        <v>0-28 Days</v>
      </c>
    </row>
    <row r="760" spans="4:4" x14ac:dyDescent="0.25">
      <c r="D760" s="299" t="str">
        <f t="shared" si="11"/>
        <v>0-28 Days</v>
      </c>
    </row>
    <row r="761" spans="4:4" x14ac:dyDescent="0.25">
      <c r="D761" s="299" t="str">
        <f t="shared" si="11"/>
        <v>0-28 Days</v>
      </c>
    </row>
    <row r="762" spans="4:4" x14ac:dyDescent="0.25">
      <c r="D762" s="299" t="str">
        <f t="shared" si="11"/>
        <v>0-28 Days</v>
      </c>
    </row>
    <row r="763" spans="4:4" x14ac:dyDescent="0.25">
      <c r="D763" s="299" t="str">
        <f t="shared" si="11"/>
        <v>0-28 Days</v>
      </c>
    </row>
    <row r="764" spans="4:4" x14ac:dyDescent="0.25">
      <c r="D764" s="299" t="str">
        <f t="shared" si="11"/>
        <v>0-28 Days</v>
      </c>
    </row>
    <row r="765" spans="4:4" x14ac:dyDescent="0.25">
      <c r="D765" s="299" t="str">
        <f t="shared" si="11"/>
        <v>0-28 Days</v>
      </c>
    </row>
    <row r="766" spans="4:4" x14ac:dyDescent="0.25">
      <c r="D766" s="299" t="str">
        <f t="shared" si="11"/>
        <v>0-28 Days</v>
      </c>
    </row>
    <row r="767" spans="4:4" x14ac:dyDescent="0.25">
      <c r="D767" s="299" t="str">
        <f t="shared" ref="D767:D790" si="12">IFERROR(
  IF(OR(RIGHT(UPPER(A767),1)="D", RIGHT(UPPER(A767),3)="DAY", RIGHT(UPPER(A767),4)="DAYS"), "0-28 Days",
  IF(RIGHT(UPPER(A767),3)="MTH", "1-11 Months",
  IF(A767+0&lt;1, "0-28 Days",
  IF(A767+0&lt;5, "1-4 Years",
  IF(A767+0&lt;10, "5-9 Years",
  IF(A767+0&lt;15, "10-14 Years",
  IF(A767+0&lt;18, "15-17 Years",
  IF(A767+0&lt;20, "18-19 Years",
  IF(A767+0&lt;35, "20-34 Years",
  IF(A767+0&lt;50, "35-49 Years",
  IF(A767+0&lt;60, "50-59 Years",
  IF(A767+0&lt;70, "60-69 Years", "70+ Years"
)))))))))))), "Unknown")</f>
        <v>0-28 Days</v>
      </c>
    </row>
    <row r="768" spans="4:4" x14ac:dyDescent="0.25">
      <c r="D768" s="299" t="str">
        <f t="shared" si="12"/>
        <v>0-28 Days</v>
      </c>
    </row>
    <row r="769" spans="4:4" x14ac:dyDescent="0.25">
      <c r="D769" s="299" t="str">
        <f t="shared" si="12"/>
        <v>0-28 Days</v>
      </c>
    </row>
    <row r="770" spans="4:4" x14ac:dyDescent="0.25">
      <c r="D770" s="299" t="str">
        <f t="shared" si="12"/>
        <v>0-28 Days</v>
      </c>
    </row>
    <row r="771" spans="4:4" x14ac:dyDescent="0.25">
      <c r="D771" s="299" t="str">
        <f t="shared" si="12"/>
        <v>0-28 Days</v>
      </c>
    </row>
    <row r="772" spans="4:4" x14ac:dyDescent="0.25">
      <c r="D772" s="299" t="str">
        <f t="shared" si="12"/>
        <v>0-28 Days</v>
      </c>
    </row>
    <row r="773" spans="4:4" x14ac:dyDescent="0.25">
      <c r="D773" s="299" t="str">
        <f t="shared" si="12"/>
        <v>0-28 Days</v>
      </c>
    </row>
    <row r="774" spans="4:4" x14ac:dyDescent="0.25">
      <c r="D774" s="299" t="str">
        <f t="shared" si="12"/>
        <v>0-28 Days</v>
      </c>
    </row>
    <row r="775" spans="4:4" x14ac:dyDescent="0.25">
      <c r="D775" s="299" t="str">
        <f t="shared" si="12"/>
        <v>0-28 Days</v>
      </c>
    </row>
    <row r="776" spans="4:4" x14ac:dyDescent="0.25">
      <c r="D776" s="299" t="str">
        <f t="shared" si="12"/>
        <v>0-28 Days</v>
      </c>
    </row>
    <row r="777" spans="4:4" x14ac:dyDescent="0.25">
      <c r="D777" s="299" t="str">
        <f t="shared" si="12"/>
        <v>0-28 Days</v>
      </c>
    </row>
    <row r="778" spans="4:4" x14ac:dyDescent="0.25">
      <c r="D778" s="299" t="str">
        <f t="shared" si="12"/>
        <v>0-28 Days</v>
      </c>
    </row>
    <row r="779" spans="4:4" x14ac:dyDescent="0.25">
      <c r="D779" s="299" t="str">
        <f t="shared" si="12"/>
        <v>0-28 Days</v>
      </c>
    </row>
    <row r="780" spans="4:4" x14ac:dyDescent="0.25">
      <c r="D780" s="299" t="str">
        <f t="shared" si="12"/>
        <v>0-28 Days</v>
      </c>
    </row>
    <row r="781" spans="4:4" x14ac:dyDescent="0.25">
      <c r="D781" s="299" t="str">
        <f t="shared" si="12"/>
        <v>0-28 Days</v>
      </c>
    </row>
    <row r="782" spans="4:4" x14ac:dyDescent="0.25">
      <c r="D782" s="299" t="str">
        <f t="shared" si="12"/>
        <v>0-28 Days</v>
      </c>
    </row>
    <row r="783" spans="4:4" x14ac:dyDescent="0.25">
      <c r="D783" s="299" t="str">
        <f t="shared" si="12"/>
        <v>0-28 Days</v>
      </c>
    </row>
    <row r="784" spans="4:4" x14ac:dyDescent="0.25">
      <c r="D784" s="299" t="str">
        <f t="shared" si="12"/>
        <v>0-28 Days</v>
      </c>
    </row>
    <row r="785" spans="4:4" x14ac:dyDescent="0.25">
      <c r="D785" s="299" t="str">
        <f t="shared" si="12"/>
        <v>0-28 Days</v>
      </c>
    </row>
    <row r="786" spans="4:4" x14ac:dyDescent="0.25">
      <c r="D786" s="299" t="str">
        <f t="shared" si="12"/>
        <v>0-28 Days</v>
      </c>
    </row>
    <row r="787" spans="4:4" x14ac:dyDescent="0.25">
      <c r="D787" s="299" t="str">
        <f t="shared" si="12"/>
        <v>0-28 Days</v>
      </c>
    </row>
    <row r="788" spans="4:4" x14ac:dyDescent="0.25">
      <c r="D788" s="299" t="str">
        <f t="shared" si="12"/>
        <v>0-28 Days</v>
      </c>
    </row>
    <row r="789" spans="4:4" x14ac:dyDescent="0.25">
      <c r="D789" s="299" t="str">
        <f t="shared" si="12"/>
        <v>0-28 Days</v>
      </c>
    </row>
    <row r="790" spans="4:4" x14ac:dyDescent="0.25">
      <c r="D790" s="299" t="str">
        <f t="shared" si="12"/>
        <v>0-28 Days</v>
      </c>
    </row>
  </sheetData>
  <autoFilter ref="A1:D790" xr:uid="{90B7893F-62AB-4657-9B89-D11FD33943C8}"/>
  <mergeCells count="5">
    <mergeCell ref="E1:F1048576"/>
    <mergeCell ref="G1:J1"/>
    <mergeCell ref="H39:I39"/>
    <mergeCell ref="O1:Q1"/>
    <mergeCell ref="O16:Q1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>
    <tabColor theme="3"/>
  </sheetPr>
  <dimension ref="A1:AD168"/>
  <sheetViews>
    <sheetView topLeftCell="A140" workbookViewId="0">
      <selection activeCell="F172" sqref="F172"/>
    </sheetView>
  </sheetViews>
  <sheetFormatPr defaultRowHeight="15" x14ac:dyDescent="0.25"/>
  <cols>
    <col min="1" max="1" width="20.7109375" customWidth="1"/>
    <col min="2" max="2" width="20" customWidth="1"/>
    <col min="3" max="3" width="15.7109375" customWidth="1"/>
    <col min="4" max="4" width="18" customWidth="1"/>
    <col min="5" max="5" width="12.42578125" customWidth="1"/>
    <col min="6" max="6" width="15.140625" customWidth="1"/>
    <col min="7" max="7" width="13.85546875" customWidth="1"/>
    <col min="8" max="8" width="17.42578125" customWidth="1"/>
  </cols>
  <sheetData>
    <row r="1" spans="1:30" ht="27" x14ac:dyDescent="0.35">
      <c r="A1" s="645" t="s">
        <v>1</v>
      </c>
      <c r="B1" s="645"/>
      <c r="C1" s="645"/>
      <c r="D1" s="645"/>
      <c r="E1" s="645"/>
      <c r="F1" s="645"/>
      <c r="G1" s="645"/>
      <c r="H1" s="645"/>
    </row>
    <row r="2" spans="1:30" ht="27" x14ac:dyDescent="0.35">
      <c r="A2" s="645" t="s">
        <v>627</v>
      </c>
      <c r="B2" s="645"/>
      <c r="C2" s="645"/>
      <c r="D2" s="645"/>
      <c r="E2" s="645"/>
      <c r="F2" s="645"/>
      <c r="G2" s="645"/>
      <c r="H2" s="645"/>
    </row>
    <row r="3" spans="1:30" s="66" customFormat="1" ht="18" x14ac:dyDescent="0.25">
      <c r="A3" s="67" t="s">
        <v>20</v>
      </c>
      <c r="B3" s="68" t="s">
        <v>21</v>
      </c>
      <c r="C3" s="68" t="s">
        <v>9</v>
      </c>
      <c r="D3" s="68" t="s">
        <v>10</v>
      </c>
      <c r="E3" s="68" t="s">
        <v>11</v>
      </c>
      <c r="F3" s="68" t="s">
        <v>25</v>
      </c>
      <c r="G3" s="68" t="s">
        <v>23</v>
      </c>
      <c r="H3" s="68" t="s">
        <v>24</v>
      </c>
    </row>
    <row r="4" spans="1:30" s="65" customFormat="1" ht="33.75" customHeight="1" x14ac:dyDescent="0.25">
      <c r="A4" s="69" t="s">
        <v>26</v>
      </c>
      <c r="B4" s="66">
        <f>Monthly!C4</f>
        <v>32</v>
      </c>
      <c r="C4" s="66">
        <f>Monthly!D4</f>
        <v>0</v>
      </c>
      <c r="D4" s="66">
        <f>Monthly!E4</f>
        <v>0</v>
      </c>
      <c r="E4" s="66">
        <f>Monthly!F4</f>
        <v>0</v>
      </c>
      <c r="F4" s="66">
        <f>Monthly!H4</f>
        <v>558</v>
      </c>
      <c r="G4" s="66">
        <f>Monthly!I4</f>
        <v>0</v>
      </c>
      <c r="H4" s="66">
        <f>Monthly!J4</f>
        <v>0</v>
      </c>
      <c r="X4" s="65">
        <v>14</v>
      </c>
      <c r="Y4" s="65">
        <v>145</v>
      </c>
      <c r="Z4" s="65">
        <v>36</v>
      </c>
      <c r="AA4" s="65">
        <v>0</v>
      </c>
      <c r="AB4" s="65">
        <v>300</v>
      </c>
      <c r="AC4" s="65">
        <v>0</v>
      </c>
      <c r="AD4" s="65">
        <v>111</v>
      </c>
    </row>
    <row r="5" spans="1:30" s="65" customFormat="1" ht="33.75" customHeight="1" x14ac:dyDescent="0.25">
      <c r="A5" s="69" t="s">
        <v>68</v>
      </c>
      <c r="B5" s="66">
        <f>Monthly!C5</f>
        <v>27</v>
      </c>
      <c r="C5" s="66">
        <f>Monthly!D5</f>
        <v>0</v>
      </c>
      <c r="D5" s="66">
        <f>Monthly!E5</f>
        <v>0</v>
      </c>
      <c r="E5" s="66">
        <f>Monthly!F5</f>
        <v>0</v>
      </c>
      <c r="F5" s="66">
        <f>Monthly!H5</f>
        <v>186</v>
      </c>
      <c r="G5" s="66">
        <f>Monthly!I5</f>
        <v>0</v>
      </c>
      <c r="H5" s="66">
        <f>Monthly!J5</f>
        <v>0</v>
      </c>
      <c r="X5" s="65">
        <v>22</v>
      </c>
      <c r="Y5" s="65">
        <v>74</v>
      </c>
      <c r="Z5" s="65">
        <v>185</v>
      </c>
      <c r="AA5" s="65">
        <v>0</v>
      </c>
      <c r="AB5" s="65">
        <v>322</v>
      </c>
      <c r="AC5" s="65">
        <v>111</v>
      </c>
      <c r="AD5" s="65">
        <v>0</v>
      </c>
    </row>
    <row r="6" spans="1:30" s="65" customFormat="1" ht="33.75" customHeight="1" x14ac:dyDescent="0.25">
      <c r="A6" s="69" t="s">
        <v>28</v>
      </c>
      <c r="B6" s="66">
        <f>Monthly!C6</f>
        <v>28</v>
      </c>
      <c r="C6" s="66">
        <f>Monthly!D6</f>
        <v>0</v>
      </c>
      <c r="D6" s="66">
        <f>Monthly!E6</f>
        <v>0</v>
      </c>
      <c r="E6" s="66">
        <f>Monthly!F6</f>
        <v>0</v>
      </c>
      <c r="F6" s="66">
        <f>Monthly!H6</f>
        <v>465</v>
      </c>
      <c r="G6" s="66">
        <f>Monthly!I6</f>
        <v>0</v>
      </c>
      <c r="H6" s="66">
        <f>Monthly!J6</f>
        <v>0</v>
      </c>
      <c r="X6" s="65">
        <f t="shared" ref="X6:AD6" si="0">SUM(X4:X5)</f>
        <v>36</v>
      </c>
      <c r="Y6" s="65">
        <f t="shared" si="0"/>
        <v>219</v>
      </c>
      <c r="Z6" s="65">
        <f t="shared" si="0"/>
        <v>221</v>
      </c>
      <c r="AA6" s="65">
        <f t="shared" si="0"/>
        <v>0</v>
      </c>
      <c r="AB6" s="65">
        <f t="shared" si="0"/>
        <v>622</v>
      </c>
      <c r="AC6" s="65">
        <f t="shared" si="0"/>
        <v>111</v>
      </c>
      <c r="AD6" s="65">
        <f t="shared" si="0"/>
        <v>111</v>
      </c>
    </row>
    <row r="7" spans="1:30" s="65" customFormat="1" ht="33.75" customHeight="1" x14ac:dyDescent="0.25">
      <c r="A7" s="69" t="s">
        <v>69</v>
      </c>
      <c r="B7" s="66">
        <f>Monthly!C7</f>
        <v>20</v>
      </c>
      <c r="C7" s="66">
        <f>Monthly!D7</f>
        <v>82</v>
      </c>
      <c r="D7" s="66">
        <f>Monthly!E7</f>
        <v>81</v>
      </c>
      <c r="E7" s="66">
        <f>Monthly!F7</f>
        <v>0</v>
      </c>
      <c r="F7" s="66">
        <f>Monthly!H7</f>
        <v>277</v>
      </c>
      <c r="G7" s="66">
        <f>Monthly!I7</f>
        <v>1</v>
      </c>
      <c r="H7" s="66">
        <f>Monthly!J7</f>
        <v>7</v>
      </c>
    </row>
    <row r="8" spans="1:30" s="65" customFormat="1" ht="33.75" customHeight="1" x14ac:dyDescent="0.25">
      <c r="A8" s="69" t="s">
        <v>30</v>
      </c>
      <c r="B8" s="66">
        <f>Monthly!C8</f>
        <v>10</v>
      </c>
      <c r="C8" s="66">
        <f>Monthly!D8</f>
        <v>63</v>
      </c>
      <c r="D8" s="66">
        <f>Monthly!E8</f>
        <v>31</v>
      </c>
      <c r="E8" s="66">
        <f>Monthly!F8</f>
        <v>6</v>
      </c>
      <c r="F8" s="66">
        <f>Monthly!H8</f>
        <v>123</v>
      </c>
      <c r="G8" s="66">
        <f>Monthly!I8</f>
        <v>0</v>
      </c>
      <c r="H8" s="66">
        <f>Monthly!J8</f>
        <v>27</v>
      </c>
    </row>
    <row r="9" spans="1:30" s="65" customFormat="1" ht="33.75" customHeight="1" x14ac:dyDescent="0.25">
      <c r="A9" s="69" t="s">
        <v>70</v>
      </c>
      <c r="B9" s="66">
        <f>Monthly!C9+Monthly!C10</f>
        <v>36</v>
      </c>
      <c r="C9" s="66">
        <f>Monthly!D9+Monthly!D10</f>
        <v>164</v>
      </c>
      <c r="D9" s="66">
        <f>Monthly!E9+Monthly!E10</f>
        <v>167</v>
      </c>
      <c r="E9" s="66">
        <f>Monthly!F9+Monthly!F10</f>
        <v>0</v>
      </c>
      <c r="F9" s="66">
        <f>Monthly!H9+Monthly!H10</f>
        <v>560</v>
      </c>
      <c r="G9" s="66">
        <f>Monthly!I9+Monthly!I10</f>
        <v>54</v>
      </c>
      <c r="H9" s="66">
        <f>Monthly!J9+Monthly!J10</f>
        <v>48</v>
      </c>
    </row>
    <row r="10" spans="1:30" s="65" customFormat="1" ht="33.75" customHeight="1" x14ac:dyDescent="0.25">
      <c r="A10" s="69" t="s">
        <v>33</v>
      </c>
      <c r="B10" s="66">
        <f>Monthly!C11</f>
        <v>10</v>
      </c>
      <c r="C10" s="66">
        <f>Monthly!D11</f>
        <v>45</v>
      </c>
      <c r="D10" s="66">
        <f>Monthly!E11</f>
        <v>9</v>
      </c>
      <c r="E10" s="66">
        <f>Monthly!F11</f>
        <v>4</v>
      </c>
      <c r="F10" s="66">
        <f>Monthly!H11</f>
        <v>96</v>
      </c>
      <c r="G10" s="66">
        <f>Monthly!I11</f>
        <v>0</v>
      </c>
      <c r="H10" s="66">
        <f>Monthly!J11</f>
        <v>33</v>
      </c>
    </row>
    <row r="11" spans="1:30" s="65" customFormat="1" ht="33.75" customHeight="1" x14ac:dyDescent="0.25">
      <c r="A11" s="69" t="s">
        <v>34</v>
      </c>
      <c r="B11" s="66">
        <f>Monthly!C12</f>
        <v>15</v>
      </c>
      <c r="C11" s="66">
        <f>Monthly!D12</f>
        <v>44</v>
      </c>
      <c r="D11" s="66">
        <f>Monthly!E12</f>
        <v>42</v>
      </c>
      <c r="E11" s="66">
        <f>Monthly!F12</f>
        <v>1</v>
      </c>
      <c r="F11" s="66">
        <f>Monthly!H12</f>
        <v>316</v>
      </c>
      <c r="G11" s="66">
        <f>Monthly!I12</f>
        <v>0</v>
      </c>
      <c r="H11" s="66">
        <f>Monthly!J12</f>
        <v>1</v>
      </c>
    </row>
    <row r="12" spans="1:30" s="65" customFormat="1" ht="33.75" customHeight="1" x14ac:dyDescent="0.25">
      <c r="A12" s="70" t="s">
        <v>35</v>
      </c>
      <c r="B12" s="67">
        <f>SUM(B4:B11)</f>
        <v>178</v>
      </c>
      <c r="C12" s="67">
        <f t="shared" ref="C12:H12" si="1">SUM(C4:C11)</f>
        <v>398</v>
      </c>
      <c r="D12" s="67">
        <f t="shared" si="1"/>
        <v>330</v>
      </c>
      <c r="E12" s="67">
        <f t="shared" si="1"/>
        <v>11</v>
      </c>
      <c r="F12" s="67">
        <f t="shared" si="1"/>
        <v>2581</v>
      </c>
      <c r="G12" s="67">
        <f t="shared" si="1"/>
        <v>55</v>
      </c>
      <c r="H12" s="67">
        <f t="shared" si="1"/>
        <v>116</v>
      </c>
    </row>
    <row r="15" spans="1:30" ht="27" x14ac:dyDescent="0.35">
      <c r="A15" s="645" t="s">
        <v>1</v>
      </c>
      <c r="B15" s="645"/>
      <c r="C15" s="645"/>
      <c r="D15" s="645"/>
      <c r="E15" s="645"/>
      <c r="F15" s="645"/>
      <c r="G15" s="645"/>
      <c r="H15" s="645"/>
    </row>
    <row r="16" spans="1:30" ht="27" x14ac:dyDescent="0.35">
      <c r="A16" s="645" t="s">
        <v>628</v>
      </c>
      <c r="B16" s="645"/>
      <c r="C16" s="645"/>
      <c r="D16" s="645"/>
      <c r="E16" s="645"/>
      <c r="F16" s="645"/>
      <c r="G16" s="645"/>
      <c r="H16" s="645"/>
    </row>
    <row r="17" spans="1:8" ht="18" x14ac:dyDescent="0.25">
      <c r="A17" s="67" t="s">
        <v>20</v>
      </c>
      <c r="B17" s="68" t="s">
        <v>21</v>
      </c>
      <c r="C17" s="68" t="s">
        <v>9</v>
      </c>
      <c r="D17" s="68" t="s">
        <v>10</v>
      </c>
      <c r="E17" s="68" t="s">
        <v>11</v>
      </c>
      <c r="F17" s="68" t="s">
        <v>25</v>
      </c>
      <c r="G17" s="68" t="s">
        <v>23</v>
      </c>
      <c r="H17" s="68" t="s">
        <v>24</v>
      </c>
    </row>
    <row r="18" spans="1:8" ht="33.75" customHeight="1" x14ac:dyDescent="0.25">
      <c r="A18" s="69" t="s">
        <v>26</v>
      </c>
      <c r="B18" s="66">
        <f>Monthly!C19</f>
        <v>32</v>
      </c>
      <c r="C18" s="66">
        <f>Monthly!D19</f>
        <v>0</v>
      </c>
      <c r="D18" s="66">
        <f>Monthly!E19</f>
        <v>0</v>
      </c>
      <c r="E18" s="66">
        <f>Monthly!F19</f>
        <v>0</v>
      </c>
      <c r="F18" s="66">
        <f>Monthly!H19</f>
        <v>522</v>
      </c>
      <c r="G18" s="66">
        <f>Monthly!I19</f>
        <v>0</v>
      </c>
      <c r="H18" s="66">
        <f>Monthly!J19</f>
        <v>0</v>
      </c>
    </row>
    <row r="19" spans="1:8" ht="33.75" customHeight="1" x14ac:dyDescent="0.25">
      <c r="A19" s="69" t="s">
        <v>68</v>
      </c>
      <c r="B19" s="66">
        <f>Monthly!C20</f>
        <v>27</v>
      </c>
      <c r="C19" s="66">
        <f>Monthly!D20</f>
        <v>0</v>
      </c>
      <c r="D19" s="66">
        <f>Monthly!E20</f>
        <v>0</v>
      </c>
      <c r="E19" s="66">
        <f>Monthly!F20</f>
        <v>0</v>
      </c>
      <c r="F19" s="66">
        <f>Monthly!H20</f>
        <v>174</v>
      </c>
      <c r="G19" s="66">
        <f>Monthly!I20</f>
        <v>0</v>
      </c>
      <c r="H19" s="66">
        <f>Monthly!J20</f>
        <v>0</v>
      </c>
    </row>
    <row r="20" spans="1:8" ht="33.75" customHeight="1" x14ac:dyDescent="0.25">
      <c r="A20" s="69" t="s">
        <v>28</v>
      </c>
      <c r="B20" s="66">
        <f>Monthly!C21</f>
        <v>28</v>
      </c>
      <c r="C20" s="66">
        <f>Monthly!D21</f>
        <v>67</v>
      </c>
      <c r="D20" s="66">
        <f>Monthly!E21</f>
        <v>0</v>
      </c>
      <c r="E20" s="66">
        <f>Monthly!F21</f>
        <v>0</v>
      </c>
      <c r="F20" s="66">
        <f>Monthly!H21</f>
        <v>435</v>
      </c>
      <c r="G20" s="66">
        <f>Monthly!I21</f>
        <v>0</v>
      </c>
      <c r="H20" s="66">
        <f>Monthly!J21</f>
        <v>0</v>
      </c>
    </row>
    <row r="21" spans="1:8" ht="33.75" customHeight="1" x14ac:dyDescent="0.25">
      <c r="A21" s="69" t="s">
        <v>69</v>
      </c>
      <c r="B21" s="66">
        <f>Monthly!C22</f>
        <v>20</v>
      </c>
      <c r="C21" s="66">
        <f>Monthly!D22</f>
        <v>65</v>
      </c>
      <c r="D21" s="66">
        <f>Monthly!E22</f>
        <v>63</v>
      </c>
      <c r="E21" s="66">
        <f>Monthly!F22</f>
        <v>0</v>
      </c>
      <c r="F21" s="66">
        <f>Monthly!H22</f>
        <v>165</v>
      </c>
      <c r="G21" s="66">
        <f>Monthly!I22</f>
        <v>0</v>
      </c>
      <c r="H21" s="66">
        <f>Monthly!J22</f>
        <v>2</v>
      </c>
    </row>
    <row r="22" spans="1:8" ht="33.75" customHeight="1" x14ac:dyDescent="0.25">
      <c r="A22" s="69" t="s">
        <v>30</v>
      </c>
      <c r="B22" s="66">
        <f>Monthly!C23</f>
        <v>10</v>
      </c>
      <c r="C22" s="66">
        <f>Monthly!D23</f>
        <v>74</v>
      </c>
      <c r="D22" s="66">
        <f>Monthly!E23</f>
        <v>23</v>
      </c>
      <c r="E22" s="66">
        <f>Monthly!F23</f>
        <v>5</v>
      </c>
      <c r="F22" s="66">
        <f>Monthly!H23</f>
        <v>128</v>
      </c>
      <c r="G22" s="66">
        <f>Monthly!I23</f>
        <v>0</v>
      </c>
      <c r="H22" s="66">
        <f>Monthly!J23</f>
        <v>42</v>
      </c>
    </row>
    <row r="23" spans="1:8" ht="33.75" customHeight="1" x14ac:dyDescent="0.25">
      <c r="A23" s="69" t="s">
        <v>70</v>
      </c>
      <c r="B23" s="66">
        <f>Monthly!C24+Monthly!C25</f>
        <v>36</v>
      </c>
      <c r="C23" s="66">
        <f>Monthly!D24+Monthly!D25</f>
        <v>146</v>
      </c>
      <c r="D23" s="66">
        <f>Monthly!E24+Monthly!E25</f>
        <v>145</v>
      </c>
      <c r="E23" s="66">
        <f>Monthly!F24+Monthly!F25</f>
        <v>0</v>
      </c>
      <c r="F23" s="66">
        <f>Monthly!H24+Monthly!H25</f>
        <v>584</v>
      </c>
      <c r="G23" s="66">
        <f>Monthly!I24+Monthly!I25</f>
        <v>55</v>
      </c>
      <c r="H23" s="66">
        <f>Monthly!J24+Monthly!J25</f>
        <v>53</v>
      </c>
    </row>
    <row r="24" spans="1:8" ht="33.75" customHeight="1" x14ac:dyDescent="0.25">
      <c r="A24" s="69" t="s">
        <v>33</v>
      </c>
      <c r="B24" s="66">
        <f>Monthly!C26</f>
        <v>10</v>
      </c>
      <c r="C24" s="66">
        <f>Monthly!D26</f>
        <v>41</v>
      </c>
      <c r="D24" s="66">
        <f>Monthly!E26</f>
        <v>9</v>
      </c>
      <c r="E24" s="66">
        <f>Monthly!F26</f>
        <v>4</v>
      </c>
      <c r="F24" s="66">
        <f>Monthly!H26</f>
        <v>91</v>
      </c>
      <c r="G24" s="66">
        <f>Monthly!I26</f>
        <v>0</v>
      </c>
      <c r="H24" s="66">
        <f>Monthly!J26</f>
        <v>29</v>
      </c>
    </row>
    <row r="25" spans="1:8" ht="33.75" customHeight="1" x14ac:dyDescent="0.25">
      <c r="A25" s="69" t="s">
        <v>34</v>
      </c>
      <c r="B25" s="66">
        <f>Monthly!C27</f>
        <v>15</v>
      </c>
      <c r="C25" s="66">
        <f>Monthly!D27</f>
        <v>61</v>
      </c>
      <c r="D25" s="66">
        <f>Monthly!E27</f>
        <v>48</v>
      </c>
      <c r="E25" s="66">
        <f>Monthly!F27</f>
        <v>3</v>
      </c>
      <c r="F25" s="66">
        <f>Monthly!H27</f>
        <v>520</v>
      </c>
      <c r="G25" s="66">
        <f>Monthly!I27</f>
        <v>0</v>
      </c>
      <c r="H25" s="66">
        <f>Monthly!J27</f>
        <v>0</v>
      </c>
    </row>
    <row r="26" spans="1:8" ht="33.75" customHeight="1" x14ac:dyDescent="0.25">
      <c r="A26" s="70" t="s">
        <v>35</v>
      </c>
      <c r="B26" s="67">
        <f>SUM(B18:B25)</f>
        <v>178</v>
      </c>
      <c r="C26" s="67">
        <f t="shared" ref="C26:H26" si="2">SUM(C18:C25)</f>
        <v>454</v>
      </c>
      <c r="D26" s="67">
        <f t="shared" si="2"/>
        <v>288</v>
      </c>
      <c r="E26" s="67">
        <f t="shared" si="2"/>
        <v>12</v>
      </c>
      <c r="F26" s="67">
        <f t="shared" si="2"/>
        <v>2619</v>
      </c>
      <c r="G26" s="67">
        <f t="shared" si="2"/>
        <v>55</v>
      </c>
      <c r="H26" s="67">
        <f t="shared" si="2"/>
        <v>126</v>
      </c>
    </row>
    <row r="29" spans="1:8" ht="27" x14ac:dyDescent="0.35">
      <c r="A29" s="645" t="s">
        <v>1</v>
      </c>
      <c r="B29" s="645"/>
      <c r="C29" s="645"/>
      <c r="D29" s="645"/>
      <c r="E29" s="645"/>
      <c r="F29" s="645"/>
      <c r="G29" s="645"/>
      <c r="H29" s="645"/>
    </row>
    <row r="30" spans="1:8" ht="27" x14ac:dyDescent="0.35">
      <c r="A30" s="645" t="s">
        <v>629</v>
      </c>
      <c r="B30" s="645"/>
      <c r="C30" s="645"/>
      <c r="D30" s="645"/>
      <c r="E30" s="645"/>
      <c r="F30" s="645"/>
      <c r="G30" s="645"/>
      <c r="H30" s="645"/>
    </row>
    <row r="31" spans="1:8" ht="18" x14ac:dyDescent="0.25">
      <c r="A31" s="67" t="s">
        <v>20</v>
      </c>
      <c r="B31" s="68" t="s">
        <v>21</v>
      </c>
      <c r="C31" s="68" t="s">
        <v>9</v>
      </c>
      <c r="D31" s="68" t="s">
        <v>10</v>
      </c>
      <c r="E31" s="68" t="s">
        <v>11</v>
      </c>
      <c r="F31" s="68" t="s">
        <v>25</v>
      </c>
      <c r="G31" s="68" t="s">
        <v>23</v>
      </c>
      <c r="H31" s="68" t="s">
        <v>24</v>
      </c>
    </row>
    <row r="32" spans="1:8" ht="33.75" customHeight="1" x14ac:dyDescent="0.25">
      <c r="A32" s="69" t="s">
        <v>26</v>
      </c>
      <c r="B32" s="66">
        <f>Monthly!C34</f>
        <v>32</v>
      </c>
      <c r="C32" s="66">
        <f>Monthly!D34</f>
        <v>0</v>
      </c>
      <c r="D32" s="66">
        <f>Monthly!E34</f>
        <v>0</v>
      </c>
      <c r="E32" s="66">
        <f>Monthly!F34</f>
        <v>0</v>
      </c>
      <c r="F32" s="66">
        <v>402</v>
      </c>
      <c r="G32" s="66">
        <f>Monthly!I34</f>
        <v>0</v>
      </c>
      <c r="H32" s="66">
        <f>Monthly!J34</f>
        <v>0</v>
      </c>
    </row>
    <row r="33" spans="1:13" ht="33.75" customHeight="1" x14ac:dyDescent="0.25">
      <c r="A33" s="69" t="s">
        <v>68</v>
      </c>
      <c r="B33" s="66">
        <f>Monthly!C35</f>
        <v>27</v>
      </c>
      <c r="C33" s="66">
        <f>Monthly!D35</f>
        <v>0</v>
      </c>
      <c r="D33" s="66">
        <f>Monthly!E35</f>
        <v>0</v>
      </c>
      <c r="E33" s="66">
        <f>Monthly!F35</f>
        <v>0</v>
      </c>
      <c r="F33" s="66">
        <v>344</v>
      </c>
      <c r="G33" s="66">
        <f>Monthly!I35</f>
        <v>0</v>
      </c>
      <c r="H33" s="66">
        <f>Monthly!J35</f>
        <v>0</v>
      </c>
    </row>
    <row r="34" spans="1:13" ht="33.75" customHeight="1" x14ac:dyDescent="0.25">
      <c r="A34" s="69" t="s">
        <v>28</v>
      </c>
      <c r="B34" s="66">
        <f>Monthly!C36</f>
        <v>28</v>
      </c>
      <c r="C34" s="66">
        <f>Monthly!D36</f>
        <v>0</v>
      </c>
      <c r="D34" s="66">
        <f>Monthly!E36</f>
        <v>0</v>
      </c>
      <c r="E34" s="66">
        <f>Monthly!F36</f>
        <v>0</v>
      </c>
      <c r="F34" s="66">
        <v>285</v>
      </c>
      <c r="G34" s="66">
        <f>Monthly!I36</f>
        <v>0</v>
      </c>
      <c r="H34" s="66">
        <f>Monthly!J36</f>
        <v>0</v>
      </c>
    </row>
    <row r="35" spans="1:13" ht="33.75" customHeight="1" x14ac:dyDescent="0.25">
      <c r="A35" s="69" t="s">
        <v>69</v>
      </c>
      <c r="B35" s="66">
        <f>Monthly!C37</f>
        <v>20</v>
      </c>
      <c r="C35" s="66">
        <f>Monthly!D37</f>
        <v>78</v>
      </c>
      <c r="D35" s="66">
        <f>Monthly!E37</f>
        <v>76</v>
      </c>
      <c r="E35" s="66">
        <f>Monthly!F37</f>
        <v>0</v>
      </c>
      <c r="F35" s="66">
        <v>231</v>
      </c>
      <c r="G35" s="66">
        <f>Monthly!I37</f>
        <v>5</v>
      </c>
      <c r="H35" s="66">
        <f>Monthly!J37</f>
        <v>1</v>
      </c>
    </row>
    <row r="36" spans="1:13" ht="33.75" customHeight="1" x14ac:dyDescent="0.25">
      <c r="A36" s="69" t="s">
        <v>30</v>
      </c>
      <c r="B36" s="66">
        <f>Monthly!C38</f>
        <v>10</v>
      </c>
      <c r="C36" s="66">
        <f>Monthly!D38</f>
        <v>53</v>
      </c>
      <c r="D36" s="66">
        <f>Monthly!E38</f>
        <v>17</v>
      </c>
      <c r="E36" s="66">
        <f>Monthly!F38</f>
        <v>2</v>
      </c>
      <c r="F36" s="66">
        <v>107</v>
      </c>
      <c r="G36" s="66">
        <f>Monthly!I38</f>
        <v>0</v>
      </c>
      <c r="H36" s="66">
        <f>Monthly!J38</f>
        <v>36</v>
      </c>
      <c r="K36" s="333"/>
      <c r="L36" s="333"/>
      <c r="M36" s="333"/>
    </row>
    <row r="37" spans="1:13" ht="33.75" customHeight="1" x14ac:dyDescent="0.25">
      <c r="A37" s="69" t="s">
        <v>70</v>
      </c>
      <c r="B37" s="66">
        <f>Monthly!C39+Monthly!C40</f>
        <v>36</v>
      </c>
      <c r="C37" s="66">
        <f>Monthly!D39+Monthly!D40</f>
        <v>190</v>
      </c>
      <c r="D37" s="66">
        <f>Monthly!E39+Monthly!E40</f>
        <v>197</v>
      </c>
      <c r="E37" s="66">
        <f>Monthly!F39+Monthly!F40</f>
        <v>0</v>
      </c>
      <c r="F37" s="66">
        <f>Monthly!H39+Monthly!H40</f>
        <v>637</v>
      </c>
      <c r="G37" s="66">
        <f>Monthly!I39+Monthly!I40</f>
        <v>68</v>
      </c>
      <c r="H37" s="66">
        <f>Monthly!J39+Monthly!J40</f>
        <v>67</v>
      </c>
      <c r="K37" s="333"/>
      <c r="L37" s="333"/>
      <c r="M37" s="333"/>
    </row>
    <row r="38" spans="1:13" ht="33.75" customHeight="1" x14ac:dyDescent="0.25">
      <c r="A38" s="69" t="s">
        <v>33</v>
      </c>
      <c r="B38" s="66">
        <f>Monthly!C41</f>
        <v>10</v>
      </c>
      <c r="C38" s="66">
        <f>Monthly!D41</f>
        <v>62</v>
      </c>
      <c r="D38" s="66">
        <f>Monthly!E41</f>
        <v>21</v>
      </c>
      <c r="E38" s="66">
        <f>Monthly!F41</f>
        <v>4</v>
      </c>
      <c r="F38" s="66">
        <f>Monthly!H41</f>
        <v>52</v>
      </c>
      <c r="G38" s="66">
        <f>Monthly!I41</f>
        <v>0</v>
      </c>
      <c r="H38" s="66">
        <f>Monthly!J41</f>
        <v>37</v>
      </c>
    </row>
    <row r="39" spans="1:13" ht="33.75" customHeight="1" x14ac:dyDescent="0.25">
      <c r="A39" s="69" t="s">
        <v>34</v>
      </c>
      <c r="B39" s="66">
        <f>Monthly!C42</f>
        <v>15</v>
      </c>
      <c r="C39" s="66">
        <f>Monthly!D42</f>
        <v>42</v>
      </c>
      <c r="D39" s="66">
        <f>Monthly!E42</f>
        <v>45</v>
      </c>
      <c r="E39" s="66">
        <f>Monthly!F42</f>
        <v>3</v>
      </c>
      <c r="F39" s="66">
        <f>Monthly!H42</f>
        <v>443</v>
      </c>
      <c r="G39" s="66">
        <f>Monthly!I42</f>
        <v>0</v>
      </c>
      <c r="H39" s="66">
        <f>Monthly!J42</f>
        <v>0</v>
      </c>
    </row>
    <row r="40" spans="1:13" ht="27.75" customHeight="1" x14ac:dyDescent="0.25">
      <c r="A40" s="70" t="s">
        <v>35</v>
      </c>
      <c r="B40" s="67">
        <f>SUM(B32:B39)</f>
        <v>178</v>
      </c>
      <c r="C40" s="67">
        <f t="shared" ref="C40:H40" si="3">SUM(C32:C39)</f>
        <v>425</v>
      </c>
      <c r="D40" s="67">
        <f t="shared" si="3"/>
        <v>356</v>
      </c>
      <c r="E40" s="67">
        <f t="shared" si="3"/>
        <v>9</v>
      </c>
      <c r="F40" s="67">
        <f t="shared" si="3"/>
        <v>2501</v>
      </c>
      <c r="G40" s="67">
        <f t="shared" si="3"/>
        <v>73</v>
      </c>
      <c r="H40" s="67">
        <f t="shared" si="3"/>
        <v>141</v>
      </c>
    </row>
    <row r="45" spans="1:13" ht="27" x14ac:dyDescent="0.35">
      <c r="A45" s="645" t="s">
        <v>1</v>
      </c>
      <c r="B45" s="645"/>
      <c r="C45" s="645"/>
      <c r="D45" s="645"/>
      <c r="E45" s="645"/>
      <c r="F45" s="645"/>
      <c r="G45" s="645"/>
      <c r="H45" s="645"/>
    </row>
    <row r="46" spans="1:13" ht="27" x14ac:dyDescent="0.35">
      <c r="A46" s="645" t="s">
        <v>630</v>
      </c>
      <c r="B46" s="645"/>
      <c r="C46" s="645"/>
      <c r="D46" s="645"/>
      <c r="E46" s="645"/>
      <c r="F46" s="645"/>
      <c r="G46" s="645"/>
      <c r="H46" s="645"/>
    </row>
    <row r="47" spans="1:13" ht="33" customHeight="1" x14ac:dyDescent="0.25">
      <c r="A47" s="67" t="s">
        <v>20</v>
      </c>
      <c r="B47" s="68" t="s">
        <v>21</v>
      </c>
      <c r="C47" s="68" t="s">
        <v>9</v>
      </c>
      <c r="D47" s="68" t="s">
        <v>10</v>
      </c>
      <c r="E47" s="68" t="s">
        <v>11</v>
      </c>
      <c r="F47" s="68" t="s">
        <v>25</v>
      </c>
      <c r="G47" s="68" t="s">
        <v>23</v>
      </c>
      <c r="H47" s="68" t="s">
        <v>24</v>
      </c>
    </row>
    <row r="48" spans="1:13" ht="33.75" customHeight="1" x14ac:dyDescent="0.25">
      <c r="A48" s="69" t="s">
        <v>26</v>
      </c>
      <c r="B48" s="66">
        <f>Monthly!C64</f>
        <v>32</v>
      </c>
      <c r="C48" s="66">
        <f>Monthly!D64</f>
        <v>0</v>
      </c>
      <c r="D48" s="66">
        <f>Monthly!E64</f>
        <v>0</v>
      </c>
      <c r="E48" s="66">
        <f>Monthly!F64</f>
        <v>0</v>
      </c>
      <c r="F48" s="66">
        <f>Monthly!H64</f>
        <v>540</v>
      </c>
      <c r="G48" s="66">
        <f>Monthly!I64</f>
        <v>0</v>
      </c>
      <c r="H48" s="66">
        <f>Monthly!J64</f>
        <v>0</v>
      </c>
    </row>
    <row r="49" spans="1:8" ht="33.75" customHeight="1" x14ac:dyDescent="0.25">
      <c r="A49" s="69" t="s">
        <v>68</v>
      </c>
      <c r="B49" s="66">
        <f>Monthly!C65</f>
        <v>27</v>
      </c>
      <c r="C49" s="66">
        <f>Monthly!D65</f>
        <v>0</v>
      </c>
      <c r="D49" s="66">
        <f>Monthly!E65</f>
        <v>0</v>
      </c>
      <c r="E49" s="66">
        <f>Monthly!F65</f>
        <v>0</v>
      </c>
      <c r="F49" s="66">
        <f>Monthly!H65</f>
        <v>180</v>
      </c>
      <c r="G49" s="66">
        <f>Monthly!I65</f>
        <v>0</v>
      </c>
      <c r="H49" s="66">
        <f>Monthly!J65</f>
        <v>0</v>
      </c>
    </row>
    <row r="50" spans="1:8" ht="33.75" customHeight="1" x14ac:dyDescent="0.25">
      <c r="A50" s="69" t="s">
        <v>28</v>
      </c>
      <c r="B50" s="66">
        <f>Monthly!C66</f>
        <v>28</v>
      </c>
      <c r="C50" s="66">
        <f>Monthly!D66</f>
        <v>0</v>
      </c>
      <c r="D50" s="66">
        <f>Monthly!E66</f>
        <v>0</v>
      </c>
      <c r="E50" s="66">
        <f>Monthly!F66</f>
        <v>0</v>
      </c>
      <c r="F50" s="66">
        <f>Monthly!H66</f>
        <v>450</v>
      </c>
      <c r="G50" s="66">
        <f>Monthly!I66</f>
        <v>0</v>
      </c>
      <c r="H50" s="66">
        <f>Monthly!J66</f>
        <v>0</v>
      </c>
    </row>
    <row r="51" spans="1:8" ht="33.75" customHeight="1" x14ac:dyDescent="0.25">
      <c r="A51" s="69" t="s">
        <v>69</v>
      </c>
      <c r="B51" s="66">
        <f>Monthly!C67</f>
        <v>20</v>
      </c>
      <c r="C51" s="66">
        <f>Monthly!D67</f>
        <v>81</v>
      </c>
      <c r="D51" s="66">
        <f>Monthly!E67</f>
        <v>80</v>
      </c>
      <c r="E51" s="66">
        <f>Monthly!F67</f>
        <v>0</v>
      </c>
      <c r="F51" s="66">
        <f>Monthly!H67</f>
        <v>293</v>
      </c>
      <c r="G51" s="66">
        <f>Monthly!I67</f>
        <v>3</v>
      </c>
      <c r="H51" s="66">
        <f>Monthly!J67</f>
        <v>3</v>
      </c>
    </row>
    <row r="52" spans="1:8" ht="33.75" customHeight="1" x14ac:dyDescent="0.25">
      <c r="A52" s="69" t="s">
        <v>30</v>
      </c>
      <c r="B52" s="66">
        <f>Monthly!C68</f>
        <v>10</v>
      </c>
      <c r="C52" s="66">
        <f>Monthly!D68</f>
        <v>69</v>
      </c>
      <c r="D52" s="66">
        <f>Monthly!E68</f>
        <v>22</v>
      </c>
      <c r="E52" s="66">
        <f>Monthly!F68</f>
        <v>2</v>
      </c>
      <c r="F52" s="66">
        <f>Monthly!H68</f>
        <v>85</v>
      </c>
      <c r="G52" s="66">
        <f>Monthly!I68</f>
        <v>0</v>
      </c>
      <c r="H52" s="66">
        <f>Monthly!J68</f>
        <v>45</v>
      </c>
    </row>
    <row r="53" spans="1:8" ht="33.75" customHeight="1" x14ac:dyDescent="0.25">
      <c r="A53" s="69" t="s">
        <v>70</v>
      </c>
      <c r="B53" s="66">
        <f>Monthly!C69+Monthly!C70</f>
        <v>36</v>
      </c>
      <c r="C53" s="66">
        <f>Monthly!D69+Monthly!D70</f>
        <v>220</v>
      </c>
      <c r="D53" s="66">
        <f>Monthly!E69+Monthly!E70</f>
        <v>215</v>
      </c>
      <c r="E53" s="66">
        <f>Monthly!F69+Monthly!F70</f>
        <v>0</v>
      </c>
      <c r="F53" s="66">
        <f>Monthly!H69+Monthly!H70</f>
        <v>735</v>
      </c>
      <c r="G53" s="66">
        <f>Monthly!I69+Monthly!I70</f>
        <v>81</v>
      </c>
      <c r="H53" s="66">
        <f>Monthly!J69+Monthly!J70</f>
        <v>79</v>
      </c>
    </row>
    <row r="54" spans="1:8" ht="33.75" customHeight="1" x14ac:dyDescent="0.25">
      <c r="A54" s="69" t="s">
        <v>33</v>
      </c>
      <c r="B54" s="66">
        <f>Monthly!C71</f>
        <v>10</v>
      </c>
      <c r="C54" s="66">
        <f>Monthly!D71</f>
        <v>75</v>
      </c>
      <c r="D54" s="66">
        <f>Monthly!E71</f>
        <v>26</v>
      </c>
      <c r="E54" s="66">
        <f>Monthly!F71</f>
        <v>2</v>
      </c>
      <c r="F54" s="66">
        <f>Monthly!H71</f>
        <v>97</v>
      </c>
      <c r="G54" s="66">
        <f>Monthly!I71</f>
        <v>0</v>
      </c>
      <c r="H54" s="66">
        <f>Monthly!J71</f>
        <v>46</v>
      </c>
    </row>
    <row r="55" spans="1:8" ht="33.75" customHeight="1" x14ac:dyDescent="0.25">
      <c r="A55" s="69" t="s">
        <v>34</v>
      </c>
      <c r="B55" s="66">
        <f>Monthly!C72</f>
        <v>15</v>
      </c>
      <c r="C55" s="66">
        <f>Monthly!D72</f>
        <v>59</v>
      </c>
      <c r="D55" s="66">
        <f>Monthly!E72</f>
        <v>54</v>
      </c>
      <c r="E55" s="66">
        <f>Monthly!F72</f>
        <v>2</v>
      </c>
      <c r="F55" s="66">
        <f>Monthly!H72</f>
        <v>428</v>
      </c>
      <c r="G55" s="66">
        <f>Monthly!I72</f>
        <v>0</v>
      </c>
      <c r="H55" s="66">
        <f>Monthly!J72</f>
        <v>0</v>
      </c>
    </row>
    <row r="56" spans="1:8" ht="33.75" customHeight="1" x14ac:dyDescent="0.25">
      <c r="A56" s="70" t="s">
        <v>35</v>
      </c>
      <c r="B56" s="67">
        <f>SUM(B48:B55)</f>
        <v>178</v>
      </c>
      <c r="C56" s="67">
        <f t="shared" ref="C56:H56" si="4">SUM(C48:C55)</f>
        <v>504</v>
      </c>
      <c r="D56" s="67">
        <f t="shared" si="4"/>
        <v>397</v>
      </c>
      <c r="E56" s="67">
        <f t="shared" si="4"/>
        <v>6</v>
      </c>
      <c r="F56" s="67">
        <f t="shared" si="4"/>
        <v>2808</v>
      </c>
      <c r="G56" s="67">
        <f>SUM(G48:G55)</f>
        <v>84</v>
      </c>
      <c r="H56" s="67">
        <f t="shared" si="4"/>
        <v>173</v>
      </c>
    </row>
    <row r="59" spans="1:8" ht="33.75" customHeight="1" x14ac:dyDescent="0.25">
      <c r="A59" s="644" t="s">
        <v>1</v>
      </c>
      <c r="B59" s="644"/>
      <c r="C59" s="644"/>
      <c r="D59" s="644"/>
      <c r="E59" s="644"/>
      <c r="F59" s="644"/>
      <c r="G59" s="644"/>
      <c r="H59" s="644"/>
    </row>
    <row r="60" spans="1:8" ht="33.75" customHeight="1" x14ac:dyDescent="0.35">
      <c r="A60" s="645" t="s">
        <v>631</v>
      </c>
      <c r="B60" s="645"/>
      <c r="C60" s="645"/>
      <c r="D60" s="645"/>
      <c r="E60" s="645"/>
      <c r="F60" s="645"/>
      <c r="G60" s="645"/>
      <c r="H60" s="645"/>
    </row>
    <row r="61" spans="1:8" s="69" customFormat="1" ht="27.75" customHeight="1" x14ac:dyDescent="0.25">
      <c r="A61" s="70" t="s">
        <v>20</v>
      </c>
      <c r="B61" s="70" t="s">
        <v>21</v>
      </c>
      <c r="C61" s="70" t="s">
        <v>9</v>
      </c>
      <c r="D61" s="70" t="s">
        <v>10</v>
      </c>
      <c r="E61" s="70" t="s">
        <v>11</v>
      </c>
      <c r="F61" s="70" t="s">
        <v>25</v>
      </c>
      <c r="G61" s="70" t="s">
        <v>23</v>
      </c>
      <c r="H61" s="403" t="s">
        <v>24</v>
      </c>
    </row>
    <row r="62" spans="1:8" s="71" customFormat="1" ht="33.75" customHeight="1" x14ac:dyDescent="0.25">
      <c r="A62" s="69" t="s">
        <v>26</v>
      </c>
      <c r="B62" s="66">
        <f>Monthly!C79</f>
        <v>32</v>
      </c>
      <c r="C62" s="66">
        <f>Monthly!D79</f>
        <v>0</v>
      </c>
      <c r="D62" s="66">
        <f>Monthly!E79</f>
        <v>0</v>
      </c>
      <c r="E62" s="66">
        <f>Monthly!F79</f>
        <v>0</v>
      </c>
      <c r="F62" s="66">
        <f>Monthly!H79</f>
        <v>558</v>
      </c>
      <c r="G62" s="66">
        <f>Monthly!I79</f>
        <v>0</v>
      </c>
      <c r="H62" s="404">
        <f>Monthly!J79</f>
        <v>0</v>
      </c>
    </row>
    <row r="63" spans="1:8" s="71" customFormat="1" ht="33.75" customHeight="1" x14ac:dyDescent="0.25">
      <c r="A63" s="69" t="s">
        <v>27</v>
      </c>
      <c r="B63" s="66">
        <f>Monthly!C80</f>
        <v>27</v>
      </c>
      <c r="C63" s="66">
        <f>Monthly!D80</f>
        <v>0</v>
      </c>
      <c r="D63" s="66">
        <f>Monthly!E80</f>
        <v>0</v>
      </c>
      <c r="E63" s="66">
        <f>Monthly!F80</f>
        <v>0</v>
      </c>
      <c r="F63" s="66">
        <f>Monthly!H80</f>
        <v>186</v>
      </c>
      <c r="G63" s="66">
        <f>Monthly!I80</f>
        <v>0</v>
      </c>
      <c r="H63" s="404">
        <f>Monthly!J80</f>
        <v>0</v>
      </c>
    </row>
    <row r="64" spans="1:8" s="71" customFormat="1" ht="33.75" customHeight="1" x14ac:dyDescent="0.25">
      <c r="A64" s="69" t="s">
        <v>28</v>
      </c>
      <c r="B64" s="66">
        <f>Monthly!C81</f>
        <v>28</v>
      </c>
      <c r="C64" s="66">
        <f>Monthly!D81</f>
        <v>0</v>
      </c>
      <c r="D64" s="66">
        <f>Monthly!E81</f>
        <v>0</v>
      </c>
      <c r="E64" s="66">
        <f>Monthly!F81</f>
        <v>0</v>
      </c>
      <c r="F64" s="66">
        <f>Monthly!H81</f>
        <v>465</v>
      </c>
      <c r="G64" s="66">
        <f>Monthly!I81</f>
        <v>0</v>
      </c>
      <c r="H64" s="404">
        <f>Monthly!J81</f>
        <v>0</v>
      </c>
    </row>
    <row r="65" spans="1:8" s="71" customFormat="1" ht="33.75" customHeight="1" x14ac:dyDescent="0.25">
      <c r="A65" s="69" t="s">
        <v>69</v>
      </c>
      <c r="B65" s="66">
        <f>Monthly!C82</f>
        <v>20</v>
      </c>
      <c r="C65" s="66">
        <f>Monthly!D82</f>
        <v>106</v>
      </c>
      <c r="D65" s="66">
        <f>Monthly!E82</f>
        <v>110</v>
      </c>
      <c r="E65" s="66">
        <f>Monthly!F82</f>
        <v>0</v>
      </c>
      <c r="F65" s="66">
        <f>Monthly!H82</f>
        <v>396</v>
      </c>
      <c r="G65" s="66">
        <f>Monthly!I82</f>
        <v>2</v>
      </c>
      <c r="H65" s="404">
        <f>Monthly!J82</f>
        <v>2</v>
      </c>
    </row>
    <row r="66" spans="1:8" s="71" customFormat="1" ht="33.75" customHeight="1" x14ac:dyDescent="0.25">
      <c r="A66" s="69" t="s">
        <v>30</v>
      </c>
      <c r="B66" s="66">
        <f>Monthly!C83</f>
        <v>10</v>
      </c>
      <c r="C66" s="66">
        <f>Monthly!D83</f>
        <v>62</v>
      </c>
      <c r="D66" s="66">
        <f>Monthly!E83</f>
        <v>16</v>
      </c>
      <c r="E66" s="66">
        <f>Monthly!F83</f>
        <v>3</v>
      </c>
      <c r="F66" s="66">
        <f>Monthly!H83</f>
        <v>95</v>
      </c>
      <c r="G66" s="66">
        <f>Monthly!I83</f>
        <v>0</v>
      </c>
      <c r="H66" s="404">
        <f>Monthly!J83</f>
        <v>44</v>
      </c>
    </row>
    <row r="67" spans="1:8" s="71" customFormat="1" ht="33.75" customHeight="1" x14ac:dyDescent="0.25">
      <c r="A67" s="69" t="s">
        <v>70</v>
      </c>
      <c r="B67" s="66">
        <f>Monthly!C84+Monthly!C85</f>
        <v>36</v>
      </c>
      <c r="C67" s="66">
        <f>Monthly!D84+Monthly!D85</f>
        <v>213</v>
      </c>
      <c r="D67" s="66">
        <f>Monthly!E84+Monthly!E85</f>
        <v>232</v>
      </c>
      <c r="E67" s="66">
        <f>Monthly!F84+Monthly!F85</f>
        <v>0</v>
      </c>
      <c r="F67" s="66">
        <f>Monthly!H84+Monthly!H85</f>
        <v>765</v>
      </c>
      <c r="G67" s="66">
        <f>Monthly!I84+Monthly!I85</f>
        <v>76</v>
      </c>
      <c r="H67" s="404">
        <f>Monthly!J84+Monthly!J85</f>
        <v>73</v>
      </c>
    </row>
    <row r="68" spans="1:8" s="71" customFormat="1" ht="33.75" customHeight="1" x14ac:dyDescent="0.25">
      <c r="A68" s="69" t="s">
        <v>33</v>
      </c>
      <c r="B68" s="66">
        <f>Monthly!C86</f>
        <v>10</v>
      </c>
      <c r="C68" s="66">
        <f>Monthly!D86</f>
        <v>71</v>
      </c>
      <c r="D68" s="66">
        <f>Monthly!E86</f>
        <v>28</v>
      </c>
      <c r="E68" s="66">
        <f>Monthly!F86</f>
        <v>6</v>
      </c>
      <c r="F68" s="66">
        <f>Monthly!H86</f>
        <v>94</v>
      </c>
      <c r="G68" s="66">
        <f>Monthly!I86</f>
        <v>0</v>
      </c>
      <c r="H68" s="404">
        <f>Monthly!J86</f>
        <v>36</v>
      </c>
    </row>
    <row r="69" spans="1:8" s="71" customFormat="1" ht="33.75" customHeight="1" x14ac:dyDescent="0.25">
      <c r="A69" s="69" t="s">
        <v>34</v>
      </c>
      <c r="B69" s="66">
        <f>Monthly!C87</f>
        <v>15</v>
      </c>
      <c r="C69" s="66">
        <f>Monthly!D87</f>
        <v>76</v>
      </c>
      <c r="D69" s="66">
        <f>Monthly!E87</f>
        <v>78</v>
      </c>
      <c r="E69" s="66">
        <f>Monthly!F87</f>
        <v>1</v>
      </c>
      <c r="F69" s="66">
        <f>Monthly!H87</f>
        <v>489</v>
      </c>
      <c r="G69" s="66">
        <f>Monthly!I87</f>
        <v>0</v>
      </c>
      <c r="H69" s="404">
        <f>Monthly!J87</f>
        <v>0</v>
      </c>
    </row>
    <row r="70" spans="1:8" s="71" customFormat="1" ht="33.75" customHeight="1" x14ac:dyDescent="0.25">
      <c r="A70" s="70" t="s">
        <v>35</v>
      </c>
      <c r="B70" s="67">
        <f>SUM(B62:B69)</f>
        <v>178</v>
      </c>
      <c r="C70" s="67">
        <f t="shared" ref="C70:H70" si="5">SUM(C62:C69)</f>
        <v>528</v>
      </c>
      <c r="D70" s="67">
        <f t="shared" si="5"/>
        <v>464</v>
      </c>
      <c r="E70" s="67">
        <f t="shared" si="5"/>
        <v>10</v>
      </c>
      <c r="F70" s="67">
        <f t="shared" si="5"/>
        <v>3048</v>
      </c>
      <c r="G70" s="67">
        <f t="shared" si="5"/>
        <v>78</v>
      </c>
      <c r="H70" s="405">
        <f t="shared" si="5"/>
        <v>155</v>
      </c>
    </row>
    <row r="73" spans="1:8" ht="33.75" customHeight="1" x14ac:dyDescent="0.25">
      <c r="A73" s="644" t="s">
        <v>1</v>
      </c>
      <c r="B73" s="644"/>
      <c r="C73" s="644"/>
      <c r="D73" s="644"/>
      <c r="E73" s="644"/>
      <c r="F73" s="644"/>
      <c r="G73" s="644"/>
      <c r="H73" s="644"/>
    </row>
    <row r="74" spans="1:8" ht="33.75" customHeight="1" x14ac:dyDescent="0.25">
      <c r="A74" s="644" t="s">
        <v>632</v>
      </c>
      <c r="B74" s="644"/>
      <c r="C74" s="644"/>
      <c r="D74" s="644"/>
      <c r="E74" s="644"/>
      <c r="F74" s="644"/>
      <c r="G74" s="644"/>
      <c r="H74" s="644"/>
    </row>
    <row r="75" spans="1:8" s="71" customFormat="1" ht="35.25" customHeight="1" x14ac:dyDescent="0.25">
      <c r="A75" s="160" t="s">
        <v>20</v>
      </c>
      <c r="B75" s="67" t="s">
        <v>21</v>
      </c>
      <c r="C75" s="67" t="s">
        <v>9</v>
      </c>
      <c r="D75" s="67" t="s">
        <v>10</v>
      </c>
      <c r="E75" s="67" t="s">
        <v>11</v>
      </c>
      <c r="F75" s="67" t="s">
        <v>25</v>
      </c>
      <c r="G75" s="67" t="s">
        <v>23</v>
      </c>
      <c r="H75" s="67" t="s">
        <v>24</v>
      </c>
    </row>
    <row r="76" spans="1:8" s="65" customFormat="1" ht="36.75" customHeight="1" x14ac:dyDescent="0.25">
      <c r="A76" s="69" t="s">
        <v>26</v>
      </c>
      <c r="B76" s="66">
        <f>Monthly!C94</f>
        <v>32</v>
      </c>
      <c r="C76" s="66">
        <f>Monthly!D94</f>
        <v>0</v>
      </c>
      <c r="D76" s="66">
        <f>Monthly!E94</f>
        <v>0</v>
      </c>
      <c r="E76" s="66">
        <f>Monthly!F94</f>
        <v>0</v>
      </c>
      <c r="F76" s="66">
        <f>Monthly!H94</f>
        <v>540</v>
      </c>
      <c r="G76" s="66">
        <f>Monthly!I94</f>
        <v>0</v>
      </c>
      <c r="H76" s="66">
        <f>Monthly!J94</f>
        <v>0</v>
      </c>
    </row>
    <row r="77" spans="1:8" s="65" customFormat="1" ht="36.75" customHeight="1" x14ac:dyDescent="0.25">
      <c r="A77" s="69" t="s">
        <v>68</v>
      </c>
      <c r="B77" s="66">
        <f>Monthly!C95</f>
        <v>27</v>
      </c>
      <c r="C77" s="66">
        <f>Monthly!D95</f>
        <v>0</v>
      </c>
      <c r="D77" s="66">
        <f>Monthly!E95</f>
        <v>0</v>
      </c>
      <c r="E77" s="66">
        <f>Monthly!F95</f>
        <v>0</v>
      </c>
      <c r="F77" s="66">
        <f>Monthly!H95</f>
        <v>180</v>
      </c>
      <c r="G77" s="66">
        <f>Monthly!I95</f>
        <v>0</v>
      </c>
      <c r="H77" s="66">
        <f>Monthly!J95</f>
        <v>0</v>
      </c>
    </row>
    <row r="78" spans="1:8" s="65" customFormat="1" ht="36.75" customHeight="1" x14ac:dyDescent="0.25">
      <c r="A78" s="69" t="s">
        <v>28</v>
      </c>
      <c r="B78" s="66">
        <f>Monthly!C96</f>
        <v>28</v>
      </c>
      <c r="C78" s="66">
        <f>Monthly!D96</f>
        <v>0</v>
      </c>
      <c r="D78" s="66">
        <f>Monthly!E96</f>
        <v>0</v>
      </c>
      <c r="E78" s="66">
        <f>Monthly!F96</f>
        <v>0</v>
      </c>
      <c r="F78" s="66">
        <f>Monthly!H96</f>
        <v>450</v>
      </c>
      <c r="G78" s="66">
        <f>Monthly!I96</f>
        <v>0</v>
      </c>
      <c r="H78" s="66">
        <f>Monthly!J96</f>
        <v>0</v>
      </c>
    </row>
    <row r="79" spans="1:8" s="65" customFormat="1" ht="36.75" customHeight="1" x14ac:dyDescent="0.25">
      <c r="A79" s="69" t="s">
        <v>69</v>
      </c>
      <c r="B79" s="66">
        <f>Monthly!C97</f>
        <v>20</v>
      </c>
      <c r="C79" s="66">
        <f>Monthly!D97</f>
        <v>67</v>
      </c>
      <c r="D79" s="66">
        <f>Monthly!E97</f>
        <v>64</v>
      </c>
      <c r="E79" s="66">
        <f>Monthly!F97</f>
        <v>1</v>
      </c>
      <c r="F79" s="66">
        <f>Monthly!H97</f>
        <v>191</v>
      </c>
      <c r="G79" s="66">
        <f>Monthly!I97</f>
        <v>1</v>
      </c>
      <c r="H79" s="66">
        <f>Monthly!J97</f>
        <v>3</v>
      </c>
    </row>
    <row r="80" spans="1:8" s="65" customFormat="1" ht="36.75" customHeight="1" x14ac:dyDescent="0.25">
      <c r="A80" s="69" t="s">
        <v>30</v>
      </c>
      <c r="B80" s="66">
        <f>Monthly!C98</f>
        <v>10</v>
      </c>
      <c r="C80" s="66">
        <f>Monthly!D98</f>
        <v>40</v>
      </c>
      <c r="D80" s="66">
        <f>Monthly!E98</f>
        <v>19</v>
      </c>
      <c r="E80" s="66">
        <f>Monthly!F98</f>
        <v>3</v>
      </c>
      <c r="F80" s="66">
        <f>Monthly!H98</f>
        <v>50</v>
      </c>
      <c r="G80" s="66">
        <f>Monthly!I98</f>
        <v>0</v>
      </c>
      <c r="H80" s="66">
        <f>Monthly!J98</f>
        <v>18</v>
      </c>
    </row>
    <row r="81" spans="1:8" s="65" customFormat="1" ht="36.75" customHeight="1" x14ac:dyDescent="0.25">
      <c r="A81" s="69" t="s">
        <v>70</v>
      </c>
      <c r="B81" s="66">
        <f>Monthly!C99+Monthly!C100</f>
        <v>36</v>
      </c>
      <c r="C81" s="66">
        <f>Monthly!D99+Monthly!D100</f>
        <v>136</v>
      </c>
      <c r="D81" s="66">
        <f>Monthly!E99+Monthly!E100</f>
        <v>135</v>
      </c>
      <c r="E81" s="66">
        <f>Monthly!F99+Monthly!F100</f>
        <v>0</v>
      </c>
      <c r="F81" s="66">
        <f>Monthly!H99+Monthly!H100</f>
        <v>463</v>
      </c>
      <c r="G81" s="66">
        <f>Monthly!I99+Monthly!I100</f>
        <v>51</v>
      </c>
      <c r="H81" s="66">
        <f>Monthly!J99+Monthly!J100</f>
        <v>50</v>
      </c>
    </row>
    <row r="82" spans="1:8" s="65" customFormat="1" ht="36.75" customHeight="1" x14ac:dyDescent="0.25">
      <c r="A82" s="69" t="s">
        <v>33</v>
      </c>
      <c r="B82" s="66">
        <f>Monthly!C101</f>
        <v>10</v>
      </c>
      <c r="C82" s="66">
        <f>Monthly!D101</f>
        <v>35</v>
      </c>
      <c r="D82" s="66">
        <f>Monthly!E101</f>
        <v>13</v>
      </c>
      <c r="E82" s="66">
        <f>Monthly!F101</f>
        <v>3</v>
      </c>
      <c r="F82" s="66">
        <f>Monthly!H101</f>
        <v>52</v>
      </c>
      <c r="G82" s="66">
        <f>Monthly!I101</f>
        <v>0</v>
      </c>
      <c r="H82" s="66">
        <f>Monthly!J101</f>
        <v>22</v>
      </c>
    </row>
    <row r="83" spans="1:8" s="65" customFormat="1" ht="36.75" customHeight="1" x14ac:dyDescent="0.25">
      <c r="A83" s="69" t="s">
        <v>34</v>
      </c>
      <c r="B83" s="66">
        <f>Monthly!C102</f>
        <v>15</v>
      </c>
      <c r="C83" s="66">
        <f>Monthly!D102</f>
        <v>46</v>
      </c>
      <c r="D83" s="66">
        <f>Monthly!E102</f>
        <v>52</v>
      </c>
      <c r="E83" s="66">
        <f>Monthly!F102</f>
        <v>1</v>
      </c>
      <c r="F83" s="66">
        <f>Monthly!H102</f>
        <v>243</v>
      </c>
      <c r="G83" s="66">
        <f>Monthly!I102</f>
        <v>0</v>
      </c>
      <c r="H83" s="66">
        <f>Monthly!J102</f>
        <v>0</v>
      </c>
    </row>
    <row r="84" spans="1:8" s="159" customFormat="1" ht="33.75" customHeight="1" x14ac:dyDescent="0.25">
      <c r="A84" s="160" t="s">
        <v>35</v>
      </c>
      <c r="B84" s="67">
        <f t="shared" ref="B84:H84" si="6">SUM(B76:B83)</f>
        <v>178</v>
      </c>
      <c r="C84" s="67">
        <f t="shared" si="6"/>
        <v>324</v>
      </c>
      <c r="D84" s="67">
        <f t="shared" si="6"/>
        <v>283</v>
      </c>
      <c r="E84" s="67">
        <f t="shared" si="6"/>
        <v>8</v>
      </c>
      <c r="F84" s="67">
        <f t="shared" si="6"/>
        <v>2169</v>
      </c>
      <c r="G84" s="67">
        <f t="shared" si="6"/>
        <v>52</v>
      </c>
      <c r="H84" s="67">
        <f t="shared" si="6"/>
        <v>93</v>
      </c>
    </row>
    <row r="87" spans="1:8" ht="36.75" customHeight="1" x14ac:dyDescent="0.25">
      <c r="A87" s="644" t="s">
        <v>1</v>
      </c>
      <c r="B87" s="644"/>
      <c r="C87" s="644"/>
      <c r="D87" s="644"/>
      <c r="E87" s="644"/>
      <c r="F87" s="644"/>
      <c r="G87" s="644"/>
      <c r="H87" s="644"/>
    </row>
    <row r="88" spans="1:8" ht="36.75" customHeight="1" x14ac:dyDescent="0.25">
      <c r="A88" s="644" t="s">
        <v>633</v>
      </c>
      <c r="B88" s="644"/>
      <c r="C88" s="644"/>
      <c r="D88" s="644"/>
      <c r="E88" s="644"/>
      <c r="F88" s="644"/>
      <c r="G88" s="644"/>
      <c r="H88" s="644"/>
    </row>
    <row r="89" spans="1:8" ht="36.75" customHeight="1" x14ac:dyDescent="0.25">
      <c r="A89" s="160" t="s">
        <v>20</v>
      </c>
      <c r="B89" s="67" t="s">
        <v>21</v>
      </c>
      <c r="C89" s="67" t="s">
        <v>9</v>
      </c>
      <c r="D89" s="67" t="s">
        <v>10</v>
      </c>
      <c r="E89" s="67" t="s">
        <v>11</v>
      </c>
      <c r="F89" s="67" t="s">
        <v>25</v>
      </c>
      <c r="G89" s="67" t="s">
        <v>23</v>
      </c>
      <c r="H89" s="67" t="s">
        <v>24</v>
      </c>
    </row>
    <row r="90" spans="1:8" ht="36.75" customHeight="1" x14ac:dyDescent="0.25">
      <c r="A90" s="69" t="s">
        <v>26</v>
      </c>
      <c r="B90" s="66">
        <f>Monthly!C139</f>
        <v>32</v>
      </c>
      <c r="C90" s="66">
        <f>Monthly!D139</f>
        <v>0</v>
      </c>
      <c r="D90" s="66">
        <f>Monthly!E139</f>
        <v>0</v>
      </c>
      <c r="E90" s="66">
        <f>Monthly!F139</f>
        <v>0</v>
      </c>
      <c r="F90" s="66">
        <f>Monthly!H139</f>
        <v>558</v>
      </c>
      <c r="G90" s="66">
        <f>Monthly!I139</f>
        <v>0</v>
      </c>
      <c r="H90" s="66">
        <f>Monthly!J139</f>
        <v>0</v>
      </c>
    </row>
    <row r="91" spans="1:8" ht="36.75" customHeight="1" x14ac:dyDescent="0.25">
      <c r="A91" s="69" t="s">
        <v>68</v>
      </c>
      <c r="B91" s="66">
        <f>Monthly!C140</f>
        <v>27</v>
      </c>
      <c r="C91" s="66">
        <f>Monthly!D140</f>
        <v>0</v>
      </c>
      <c r="D91" s="66">
        <f>Monthly!E140</f>
        <v>0</v>
      </c>
      <c r="E91" s="66">
        <f>Monthly!F140</f>
        <v>0</v>
      </c>
      <c r="F91" s="66">
        <f>Monthly!H140</f>
        <v>186</v>
      </c>
      <c r="G91" s="66">
        <f>Monthly!I140</f>
        <v>0</v>
      </c>
      <c r="H91" s="66">
        <f>Monthly!J140</f>
        <v>0</v>
      </c>
    </row>
    <row r="92" spans="1:8" ht="36.75" customHeight="1" x14ac:dyDescent="0.25">
      <c r="A92" s="69" t="s">
        <v>28</v>
      </c>
      <c r="B92" s="66">
        <f>Monthly!C141</f>
        <v>28</v>
      </c>
      <c r="C92" s="66">
        <f>Monthly!D141</f>
        <v>0</v>
      </c>
      <c r="D92" s="66">
        <f>Monthly!E141</f>
        <v>0</v>
      </c>
      <c r="E92" s="66">
        <f>Monthly!F141</f>
        <v>0</v>
      </c>
      <c r="F92" s="66">
        <f>Monthly!H141</f>
        <v>465</v>
      </c>
      <c r="G92" s="66">
        <f>Monthly!I141</f>
        <v>0</v>
      </c>
      <c r="H92" s="66">
        <f>Monthly!J141</f>
        <v>0</v>
      </c>
    </row>
    <row r="93" spans="1:8" ht="36.75" customHeight="1" x14ac:dyDescent="0.25">
      <c r="A93" s="69" t="s">
        <v>69</v>
      </c>
      <c r="B93" s="66">
        <f>Monthly!C142</f>
        <v>20</v>
      </c>
      <c r="C93" s="66">
        <f>Monthly!D142</f>
        <v>111</v>
      </c>
      <c r="D93" s="66">
        <f>Monthly!E142</f>
        <v>102</v>
      </c>
      <c r="E93" s="66">
        <f>Monthly!F142</f>
        <v>0</v>
      </c>
      <c r="F93" s="66">
        <f>Monthly!H142</f>
        <v>362</v>
      </c>
      <c r="G93" s="66">
        <f>Monthly!I142</f>
        <v>1</v>
      </c>
      <c r="H93" s="66">
        <f>Monthly!J142</f>
        <v>7</v>
      </c>
    </row>
    <row r="94" spans="1:8" ht="36.75" customHeight="1" x14ac:dyDescent="0.25">
      <c r="A94" s="69" t="s">
        <v>30</v>
      </c>
      <c r="B94" s="66">
        <f>Monthly!C143</f>
        <v>10</v>
      </c>
      <c r="C94" s="66">
        <f>Monthly!D143</f>
        <v>82</v>
      </c>
      <c r="D94" s="66">
        <f>Monthly!E143</f>
        <v>37</v>
      </c>
      <c r="E94" s="66">
        <f>Monthly!F143</f>
        <v>1</v>
      </c>
      <c r="F94" s="66">
        <f>Monthly!H143</f>
        <v>120</v>
      </c>
      <c r="G94" s="66">
        <f>Monthly!I143</f>
        <v>0</v>
      </c>
      <c r="H94" s="66">
        <f>Monthly!J143</f>
        <v>45</v>
      </c>
    </row>
    <row r="95" spans="1:8" ht="36.75" customHeight="1" x14ac:dyDescent="0.25">
      <c r="A95" s="69" t="s">
        <v>70</v>
      </c>
      <c r="B95" s="66">
        <f>Monthly!C144+Monthly!C145</f>
        <v>36</v>
      </c>
      <c r="C95" s="66">
        <f>Monthly!D144+Monthly!D145</f>
        <v>211</v>
      </c>
      <c r="D95" s="66">
        <f>Monthly!E144+Monthly!E145</f>
        <v>203</v>
      </c>
      <c r="E95" s="66">
        <f>Monthly!F144+Monthly!F145</f>
        <v>0</v>
      </c>
      <c r="F95" s="66">
        <f>Monthly!H144+Monthly!H145</f>
        <v>661</v>
      </c>
      <c r="G95" s="66">
        <f>Monthly!I144+Monthly!I145</f>
        <v>73</v>
      </c>
      <c r="H95" s="66">
        <f>Monthly!J144+Monthly!J145</f>
        <v>67</v>
      </c>
    </row>
    <row r="96" spans="1:8" ht="36.75" customHeight="1" x14ac:dyDescent="0.25">
      <c r="A96" s="69" t="s">
        <v>33</v>
      </c>
      <c r="B96" s="66">
        <f>Monthly!C146</f>
        <v>10</v>
      </c>
      <c r="C96" s="66">
        <f>Monthly!D146</f>
        <v>66</v>
      </c>
      <c r="D96" s="66">
        <f>Monthly!E146</f>
        <v>21</v>
      </c>
      <c r="E96" s="66">
        <f>Monthly!F146</f>
        <v>3</v>
      </c>
      <c r="F96" s="66">
        <f>Monthly!H146</f>
        <v>104</v>
      </c>
      <c r="G96" s="66">
        <f>Monthly!I146</f>
        <v>0</v>
      </c>
      <c r="H96" s="66">
        <f>Monthly!J146</f>
        <v>40</v>
      </c>
    </row>
    <row r="97" spans="1:8" ht="36.75" customHeight="1" x14ac:dyDescent="0.25">
      <c r="A97" s="69" t="s">
        <v>34</v>
      </c>
      <c r="B97" s="66">
        <f>Monthly!C147</f>
        <v>15</v>
      </c>
      <c r="C97" s="66">
        <f>Monthly!D147</f>
        <v>60</v>
      </c>
      <c r="D97" s="66">
        <f>Monthly!E147</f>
        <v>57</v>
      </c>
      <c r="E97" s="66">
        <f>Monthly!F147</f>
        <v>2</v>
      </c>
      <c r="F97" s="66">
        <f>Monthly!H147</f>
        <v>443</v>
      </c>
      <c r="G97" s="66">
        <f>Monthly!I147</f>
        <v>0</v>
      </c>
      <c r="H97" s="66">
        <f>Monthly!J147</f>
        <v>0</v>
      </c>
    </row>
    <row r="98" spans="1:8" ht="36.75" customHeight="1" x14ac:dyDescent="0.25">
      <c r="A98" s="160" t="s">
        <v>35</v>
      </c>
      <c r="B98" s="67">
        <f>SUM(B90:B97)</f>
        <v>178</v>
      </c>
      <c r="C98" s="67">
        <f t="shared" ref="C98:H98" si="7">SUM(C90:C97)</f>
        <v>530</v>
      </c>
      <c r="D98" s="67">
        <f>SUM(D90:D97)</f>
        <v>420</v>
      </c>
      <c r="E98" s="67">
        <f t="shared" si="7"/>
        <v>6</v>
      </c>
      <c r="F98" s="67">
        <f t="shared" si="7"/>
        <v>2899</v>
      </c>
      <c r="G98" s="67">
        <f t="shared" si="7"/>
        <v>74</v>
      </c>
      <c r="H98" s="67">
        <f t="shared" si="7"/>
        <v>159</v>
      </c>
    </row>
    <row r="101" spans="1:8" ht="36.75" customHeight="1" x14ac:dyDescent="0.25">
      <c r="A101" s="644" t="s">
        <v>1</v>
      </c>
      <c r="B101" s="644"/>
      <c r="C101" s="644"/>
      <c r="D101" s="644"/>
      <c r="E101" s="644"/>
      <c r="F101" s="644"/>
      <c r="G101" s="644"/>
      <c r="H101" s="644"/>
    </row>
    <row r="102" spans="1:8" ht="36.75" customHeight="1" x14ac:dyDescent="0.25">
      <c r="A102" s="644" t="s">
        <v>634</v>
      </c>
      <c r="B102" s="644"/>
      <c r="C102" s="644"/>
      <c r="D102" s="644"/>
      <c r="E102" s="644"/>
      <c r="F102" s="644"/>
      <c r="G102" s="644"/>
      <c r="H102" s="644"/>
    </row>
    <row r="103" spans="1:8" ht="36.75" customHeight="1" x14ac:dyDescent="0.25">
      <c r="A103" s="163" t="s">
        <v>20</v>
      </c>
      <c r="B103" s="164" t="s">
        <v>21</v>
      </c>
      <c r="C103" s="164" t="s">
        <v>9</v>
      </c>
      <c r="D103" s="164" t="s">
        <v>10</v>
      </c>
      <c r="E103" s="164" t="s">
        <v>11</v>
      </c>
      <c r="F103" s="164" t="s">
        <v>25</v>
      </c>
      <c r="G103" s="164" t="s">
        <v>23</v>
      </c>
      <c r="H103" s="164" t="s">
        <v>24</v>
      </c>
    </row>
    <row r="104" spans="1:8" ht="36.75" customHeight="1" x14ac:dyDescent="0.25">
      <c r="A104" s="162" t="s">
        <v>26</v>
      </c>
      <c r="B104" s="66">
        <f>Monthly!C154</f>
        <v>32</v>
      </c>
      <c r="C104" s="66">
        <f>Monthly!D154</f>
        <v>0</v>
      </c>
      <c r="D104" s="66">
        <f>Monthly!E154</f>
        <v>0</v>
      </c>
      <c r="E104" s="66">
        <f>Monthly!F154</f>
        <v>0</v>
      </c>
      <c r="F104" s="66">
        <f>Monthly!H154</f>
        <v>558</v>
      </c>
      <c r="G104" s="66">
        <f>Monthly!I154</f>
        <v>0</v>
      </c>
      <c r="H104" s="66">
        <f>Monthly!J154</f>
        <v>0</v>
      </c>
    </row>
    <row r="105" spans="1:8" ht="36.75" customHeight="1" x14ac:dyDescent="0.25">
      <c r="A105" s="162" t="s">
        <v>27</v>
      </c>
      <c r="B105" s="66">
        <f>Monthly!C155</f>
        <v>27</v>
      </c>
      <c r="C105" s="66">
        <f>Monthly!D155</f>
        <v>0</v>
      </c>
      <c r="D105" s="66">
        <f>Monthly!E155</f>
        <v>0</v>
      </c>
      <c r="E105" s="66">
        <f>Monthly!F155</f>
        <v>0</v>
      </c>
      <c r="F105" s="66">
        <f>Monthly!H155</f>
        <v>186</v>
      </c>
      <c r="G105" s="66">
        <f>Monthly!I155</f>
        <v>0</v>
      </c>
      <c r="H105" s="66">
        <f>Monthly!J155</f>
        <v>0</v>
      </c>
    </row>
    <row r="106" spans="1:8" ht="36.75" customHeight="1" x14ac:dyDescent="0.25">
      <c r="A106" s="162" t="s">
        <v>28</v>
      </c>
      <c r="B106" s="66">
        <f>Monthly!C156</f>
        <v>28</v>
      </c>
      <c r="C106" s="66">
        <f>Monthly!D156</f>
        <v>0</v>
      </c>
      <c r="D106" s="66">
        <f>Monthly!E156</f>
        <v>0</v>
      </c>
      <c r="E106" s="66">
        <f>Monthly!F156</f>
        <v>0</v>
      </c>
      <c r="F106" s="66">
        <f>Monthly!H156</f>
        <v>465</v>
      </c>
      <c r="G106" s="66">
        <f>Monthly!I156</f>
        <v>0</v>
      </c>
      <c r="H106" s="66">
        <f>Monthly!J156</f>
        <v>0</v>
      </c>
    </row>
    <row r="107" spans="1:8" ht="36.75" customHeight="1" x14ac:dyDescent="0.25">
      <c r="A107" s="162" t="s">
        <v>69</v>
      </c>
      <c r="B107" s="66">
        <f>Monthly!C157</f>
        <v>20</v>
      </c>
      <c r="C107" s="66">
        <f>Monthly!D157</f>
        <v>99</v>
      </c>
      <c r="D107" s="66">
        <f>Monthly!E157</f>
        <v>106</v>
      </c>
      <c r="E107" s="66">
        <f>Monthly!F157</f>
        <v>0</v>
      </c>
      <c r="F107" s="66">
        <f>Monthly!H157</f>
        <v>351</v>
      </c>
      <c r="G107" s="66">
        <f>Monthly!I157</f>
        <v>3</v>
      </c>
      <c r="H107" s="66">
        <f>Monthly!J157</f>
        <v>1</v>
      </c>
    </row>
    <row r="108" spans="1:8" ht="36.75" customHeight="1" x14ac:dyDescent="0.25">
      <c r="A108" s="162" t="s">
        <v>30</v>
      </c>
      <c r="B108" s="66">
        <f>Monthly!C158</f>
        <v>10</v>
      </c>
      <c r="C108" s="66">
        <f>Monthly!D158</f>
        <v>60</v>
      </c>
      <c r="D108" s="66">
        <f>Monthly!E158</f>
        <v>24</v>
      </c>
      <c r="E108" s="66">
        <f>Monthly!F158</f>
        <v>2</v>
      </c>
      <c r="F108" s="66">
        <f>Monthly!H158</f>
        <v>62</v>
      </c>
      <c r="G108" s="66">
        <f>Monthly!I158</f>
        <v>0</v>
      </c>
      <c r="H108" s="66">
        <f>Monthly!J158</f>
        <v>34</v>
      </c>
    </row>
    <row r="109" spans="1:8" ht="36.75" customHeight="1" x14ac:dyDescent="0.25">
      <c r="A109" s="162" t="s">
        <v>70</v>
      </c>
      <c r="B109" s="66">
        <f>Monthly!C159+Monthly!C160</f>
        <v>36</v>
      </c>
      <c r="C109" s="66">
        <f>Monthly!D159+Monthly!D160</f>
        <v>216</v>
      </c>
      <c r="D109" s="66">
        <f>Monthly!E159+Monthly!E160</f>
        <v>226</v>
      </c>
      <c r="E109" s="66">
        <f>Monthly!F159+Monthly!F160</f>
        <v>0</v>
      </c>
      <c r="F109" s="66">
        <f>Monthly!H159+Monthly!H160</f>
        <v>775</v>
      </c>
      <c r="G109" s="66">
        <f>Monthly!I159+Monthly!I160</f>
        <v>96</v>
      </c>
      <c r="H109" s="66">
        <f>Monthly!J159+Monthly!J160</f>
        <v>96</v>
      </c>
    </row>
    <row r="110" spans="1:8" ht="36.75" customHeight="1" x14ac:dyDescent="0.25">
      <c r="A110" s="162" t="s">
        <v>33</v>
      </c>
      <c r="B110" s="66">
        <f>Monthly!C161</f>
        <v>10</v>
      </c>
      <c r="C110" s="66">
        <f>Monthly!D161</f>
        <v>68</v>
      </c>
      <c r="D110" s="66">
        <f>Monthly!E161</f>
        <v>34</v>
      </c>
      <c r="E110" s="66">
        <f>Monthly!F161</f>
        <v>4</v>
      </c>
      <c r="F110" s="66">
        <f>Monthly!H161</f>
        <v>87</v>
      </c>
      <c r="G110" s="66">
        <f>Monthly!I161</f>
        <v>0</v>
      </c>
      <c r="H110" s="66">
        <f>Monthly!J161</f>
        <v>33</v>
      </c>
    </row>
    <row r="111" spans="1:8" ht="36.75" customHeight="1" x14ac:dyDescent="0.25">
      <c r="A111" s="162" t="s">
        <v>34</v>
      </c>
      <c r="B111" s="66">
        <f>Monthly!C162</f>
        <v>15</v>
      </c>
      <c r="C111" s="66">
        <f>Monthly!D162</f>
        <v>60</v>
      </c>
      <c r="D111" s="66">
        <f>Monthly!E162</f>
        <v>56</v>
      </c>
      <c r="E111" s="66">
        <f>Monthly!F162</f>
        <v>2</v>
      </c>
      <c r="F111" s="66">
        <f>Monthly!H162</f>
        <v>363</v>
      </c>
      <c r="G111" s="66">
        <f>Monthly!I162</f>
        <v>0</v>
      </c>
      <c r="H111" s="66">
        <f>Monthly!J162</f>
        <v>1</v>
      </c>
    </row>
    <row r="112" spans="1:8" s="166" customFormat="1" ht="36.75" customHeight="1" x14ac:dyDescent="0.25">
      <c r="A112" s="165" t="s">
        <v>35</v>
      </c>
      <c r="B112" s="67">
        <f>SUM(B104:B111)</f>
        <v>178</v>
      </c>
      <c r="C112" s="67">
        <f t="shared" ref="C112:H112" si="8">SUM(C104:C111)</f>
        <v>503</v>
      </c>
      <c r="D112" s="67">
        <f>SUM(D104:D111)</f>
        <v>446</v>
      </c>
      <c r="E112" s="67">
        <f t="shared" si="8"/>
        <v>8</v>
      </c>
      <c r="F112" s="67">
        <f t="shared" si="8"/>
        <v>2847</v>
      </c>
      <c r="G112" s="67">
        <f t="shared" si="8"/>
        <v>99</v>
      </c>
      <c r="H112" s="67">
        <f t="shared" si="8"/>
        <v>165</v>
      </c>
    </row>
    <row r="115" spans="1:8" ht="27" x14ac:dyDescent="0.25">
      <c r="A115" s="644" t="s">
        <v>1</v>
      </c>
      <c r="B115" s="644"/>
      <c r="C115" s="644"/>
      <c r="D115" s="644"/>
      <c r="E115" s="644"/>
      <c r="F115" s="644"/>
      <c r="G115" s="644"/>
      <c r="H115" s="644"/>
    </row>
    <row r="116" spans="1:8" ht="27" x14ac:dyDescent="0.25">
      <c r="A116" s="644" t="s">
        <v>635</v>
      </c>
      <c r="B116" s="644"/>
      <c r="C116" s="644"/>
      <c r="D116" s="644"/>
      <c r="E116" s="644"/>
      <c r="F116" s="644"/>
      <c r="G116" s="644"/>
      <c r="H116" s="644"/>
    </row>
    <row r="117" spans="1:8" s="71" customFormat="1" ht="36.75" customHeight="1" x14ac:dyDescent="0.25">
      <c r="A117" s="163" t="s">
        <v>20</v>
      </c>
      <c r="B117" s="164" t="s">
        <v>21</v>
      </c>
      <c r="C117" s="164" t="s">
        <v>9</v>
      </c>
      <c r="D117" s="164" t="s">
        <v>10</v>
      </c>
      <c r="E117" s="164" t="s">
        <v>11</v>
      </c>
      <c r="F117" s="164" t="s">
        <v>25</v>
      </c>
      <c r="G117" s="164" t="s">
        <v>23</v>
      </c>
      <c r="H117" s="164" t="s">
        <v>24</v>
      </c>
    </row>
    <row r="118" spans="1:8" s="71" customFormat="1" ht="36.75" customHeight="1" x14ac:dyDescent="0.25">
      <c r="A118" s="162" t="s">
        <v>26</v>
      </c>
      <c r="B118" s="169">
        <f>Monthly!C169</f>
        <v>32</v>
      </c>
      <c r="C118" s="169">
        <f>Monthly!D169</f>
        <v>0</v>
      </c>
      <c r="D118" s="169">
        <f>Monthly!E169</f>
        <v>0</v>
      </c>
      <c r="E118" s="169">
        <f>Monthly!F169</f>
        <v>0</v>
      </c>
      <c r="F118" s="169">
        <f>Monthly!H169</f>
        <v>540</v>
      </c>
      <c r="G118" s="169">
        <f>Monthly!I169</f>
        <v>0</v>
      </c>
      <c r="H118" s="169">
        <f>Monthly!J169</f>
        <v>0</v>
      </c>
    </row>
    <row r="119" spans="1:8" s="71" customFormat="1" ht="36.75" customHeight="1" x14ac:dyDescent="0.25">
      <c r="A119" s="162" t="s">
        <v>68</v>
      </c>
      <c r="B119" s="169">
        <f>Monthly!C170</f>
        <v>27</v>
      </c>
      <c r="C119" s="169">
        <f>Monthly!D170</f>
        <v>0</v>
      </c>
      <c r="D119" s="169">
        <f>Monthly!E170</f>
        <v>0</v>
      </c>
      <c r="E119" s="169">
        <f>Monthly!F170</f>
        <v>0</v>
      </c>
      <c r="F119" s="169">
        <f>Monthly!H170</f>
        <v>180</v>
      </c>
      <c r="G119" s="169">
        <f>Monthly!I170</f>
        <v>0</v>
      </c>
      <c r="H119" s="169">
        <f>Monthly!J170</f>
        <v>0</v>
      </c>
    </row>
    <row r="120" spans="1:8" s="71" customFormat="1" ht="36.75" customHeight="1" x14ac:dyDescent="0.25">
      <c r="A120" s="162" t="s">
        <v>28</v>
      </c>
      <c r="B120" s="169">
        <f>Monthly!C171</f>
        <v>28</v>
      </c>
      <c r="C120" s="169">
        <f>Monthly!D171</f>
        <v>0</v>
      </c>
      <c r="D120" s="169">
        <f>Monthly!E171</f>
        <v>0</v>
      </c>
      <c r="E120" s="169">
        <f>Monthly!F171</f>
        <v>0</v>
      </c>
      <c r="F120" s="169">
        <f>Monthly!H171</f>
        <v>450</v>
      </c>
      <c r="G120" s="169">
        <f>Monthly!I171</f>
        <v>0</v>
      </c>
      <c r="H120" s="169">
        <f>Monthly!J171</f>
        <v>0</v>
      </c>
    </row>
    <row r="121" spans="1:8" s="71" customFormat="1" ht="36.75" customHeight="1" x14ac:dyDescent="0.25">
      <c r="A121" s="162" t="s">
        <v>69</v>
      </c>
      <c r="B121" s="169">
        <f>Monthly!C172</f>
        <v>20</v>
      </c>
      <c r="C121" s="169">
        <f>Monthly!D172</f>
        <v>88</v>
      </c>
      <c r="D121" s="169">
        <f>Monthly!E172</f>
        <v>82</v>
      </c>
      <c r="E121" s="169">
        <f>Monthly!F172</f>
        <v>0</v>
      </c>
      <c r="F121" s="169">
        <f>Monthly!H172</f>
        <v>356</v>
      </c>
      <c r="G121" s="169">
        <f>Monthly!I172</f>
        <v>2</v>
      </c>
      <c r="H121" s="169">
        <f>Monthly!J172</f>
        <v>4</v>
      </c>
    </row>
    <row r="122" spans="1:8" s="71" customFormat="1" ht="36.75" customHeight="1" x14ac:dyDescent="0.25">
      <c r="A122" s="162" t="s">
        <v>30</v>
      </c>
      <c r="B122" s="169">
        <f>Monthly!C173</f>
        <v>10</v>
      </c>
      <c r="C122" s="169">
        <f>Monthly!D173</f>
        <v>57</v>
      </c>
      <c r="D122" s="169">
        <f>Monthly!E173</f>
        <v>22</v>
      </c>
      <c r="E122" s="169">
        <f>Monthly!F173</f>
        <v>1</v>
      </c>
      <c r="F122" s="169">
        <f>Monthly!H173</f>
        <v>105</v>
      </c>
      <c r="G122" s="169">
        <f>Monthly!I173</f>
        <v>0</v>
      </c>
      <c r="H122" s="169">
        <f>Monthly!J173</f>
        <v>30</v>
      </c>
    </row>
    <row r="123" spans="1:8" s="71" customFormat="1" ht="36.75" customHeight="1" x14ac:dyDescent="0.25">
      <c r="A123" s="162" t="s">
        <v>70</v>
      </c>
      <c r="B123" s="169">
        <f>Monthly!C174+Monthly!C175</f>
        <v>36</v>
      </c>
      <c r="C123" s="169">
        <f>Monthly!D174+Monthly!D175</f>
        <v>214</v>
      </c>
      <c r="D123" s="169">
        <f>Monthly!E174+Monthly!E175</f>
        <v>208</v>
      </c>
      <c r="E123" s="169">
        <f>Monthly!F174+Monthly!F175</f>
        <v>0</v>
      </c>
      <c r="F123" s="169">
        <f>Monthly!H174+Monthly!H175</f>
        <v>753</v>
      </c>
      <c r="G123" s="169">
        <f>Monthly!I174+Monthly!I175</f>
        <v>70</v>
      </c>
      <c r="H123" s="169">
        <f>Monthly!J174+Monthly!J175</f>
        <v>68</v>
      </c>
    </row>
    <row r="124" spans="1:8" s="71" customFormat="1" ht="36.75" customHeight="1" x14ac:dyDescent="0.25">
      <c r="A124" s="162" t="s">
        <v>33</v>
      </c>
      <c r="B124" s="169">
        <f>Monthly!C176</f>
        <v>10</v>
      </c>
      <c r="C124" s="169">
        <f>Monthly!D176</f>
        <v>51</v>
      </c>
      <c r="D124" s="169">
        <f>Monthly!E176</f>
        <v>14</v>
      </c>
      <c r="E124" s="169">
        <f>Monthly!F176</f>
        <v>1</v>
      </c>
      <c r="F124" s="169">
        <f>Monthly!H176</f>
        <v>11</v>
      </c>
      <c r="G124" s="169">
        <f>Monthly!I176</f>
        <v>0</v>
      </c>
      <c r="H124" s="169">
        <f>Monthly!J176</f>
        <v>36</v>
      </c>
    </row>
    <row r="125" spans="1:8" s="71" customFormat="1" ht="36.75" customHeight="1" x14ac:dyDescent="0.25">
      <c r="A125" s="162" t="s">
        <v>79</v>
      </c>
      <c r="B125" s="169">
        <f>Monthly!C177</f>
        <v>15</v>
      </c>
      <c r="C125" s="169">
        <f>Monthly!D177</f>
        <v>43</v>
      </c>
      <c r="D125" s="169">
        <f>Monthly!E177</f>
        <v>40</v>
      </c>
      <c r="E125" s="169">
        <f>Monthly!F177</f>
        <v>1</v>
      </c>
      <c r="F125" s="169">
        <f>Monthly!H177</f>
        <v>394</v>
      </c>
      <c r="G125" s="169">
        <f>Monthly!I177</f>
        <v>0</v>
      </c>
      <c r="H125" s="169">
        <f>Monthly!J177</f>
        <v>0</v>
      </c>
    </row>
    <row r="126" spans="1:8" s="71" customFormat="1" ht="36.75" customHeight="1" x14ac:dyDescent="0.25">
      <c r="A126" s="165" t="s">
        <v>35</v>
      </c>
      <c r="B126" s="163">
        <f t="shared" ref="B126:H126" si="9">SUM(B118:B125)</f>
        <v>178</v>
      </c>
      <c r="C126" s="67">
        <f t="shared" si="9"/>
        <v>453</v>
      </c>
      <c r="D126" s="67">
        <f t="shared" si="9"/>
        <v>366</v>
      </c>
      <c r="E126" s="67">
        <f t="shared" si="9"/>
        <v>3</v>
      </c>
      <c r="F126" s="67">
        <f t="shared" si="9"/>
        <v>2789</v>
      </c>
      <c r="G126" s="67">
        <f t="shared" si="9"/>
        <v>72</v>
      </c>
      <c r="H126" s="67">
        <f t="shared" si="9"/>
        <v>138</v>
      </c>
    </row>
    <row r="129" spans="1:8" ht="27" x14ac:dyDescent="0.25">
      <c r="A129" s="644" t="s">
        <v>1</v>
      </c>
      <c r="B129" s="644"/>
      <c r="C129" s="644"/>
      <c r="D129" s="644"/>
      <c r="E129" s="644"/>
      <c r="F129" s="644"/>
      <c r="G129" s="644"/>
      <c r="H129" s="644"/>
    </row>
    <row r="130" spans="1:8" ht="27" x14ac:dyDescent="0.25">
      <c r="A130" s="644" t="s">
        <v>636</v>
      </c>
      <c r="B130" s="644"/>
      <c r="C130" s="644"/>
      <c r="D130" s="644"/>
      <c r="E130" s="644"/>
      <c r="F130" s="644"/>
      <c r="G130" s="644"/>
      <c r="H130" s="644"/>
    </row>
    <row r="131" spans="1:8" s="65" customFormat="1" ht="36.75" customHeight="1" x14ac:dyDescent="0.25">
      <c r="A131" s="163" t="s">
        <v>20</v>
      </c>
      <c r="B131" s="164" t="s">
        <v>21</v>
      </c>
      <c r="C131" s="164" t="s">
        <v>9</v>
      </c>
      <c r="D131" s="164" t="s">
        <v>10</v>
      </c>
      <c r="E131" s="164" t="s">
        <v>11</v>
      </c>
      <c r="F131" s="164" t="s">
        <v>25</v>
      </c>
      <c r="G131" s="164" t="s">
        <v>23</v>
      </c>
      <c r="H131" s="164" t="s">
        <v>24</v>
      </c>
    </row>
    <row r="132" spans="1:8" s="65" customFormat="1" ht="36.75" customHeight="1" x14ac:dyDescent="0.25">
      <c r="A132" s="162" t="s">
        <v>26</v>
      </c>
      <c r="B132" s="169">
        <f>Monthly!C199</f>
        <v>32</v>
      </c>
      <c r="C132" s="169">
        <f>Monthly!D199</f>
        <v>0</v>
      </c>
      <c r="D132" s="169">
        <f>Monthly!E199</f>
        <v>0</v>
      </c>
      <c r="E132" s="169">
        <f>Monthly!F199</f>
        <v>0</v>
      </c>
      <c r="F132" s="169">
        <f>Monthly!H199</f>
        <v>558</v>
      </c>
      <c r="G132" s="169">
        <f>Monthly!I199</f>
        <v>0</v>
      </c>
      <c r="H132" s="169">
        <f>Monthly!J199</f>
        <v>0</v>
      </c>
    </row>
    <row r="133" spans="1:8" s="65" customFormat="1" ht="36.75" customHeight="1" x14ac:dyDescent="0.25">
      <c r="A133" s="162" t="s">
        <v>27</v>
      </c>
      <c r="B133" s="169">
        <f>Monthly!C200</f>
        <v>27</v>
      </c>
      <c r="C133" s="169">
        <f>Monthly!D200</f>
        <v>0</v>
      </c>
      <c r="D133" s="169">
        <f>Monthly!E200</f>
        <v>0</v>
      </c>
      <c r="E133" s="169">
        <f>Monthly!F200</f>
        <v>0</v>
      </c>
      <c r="F133" s="169">
        <f>Monthly!H200</f>
        <v>186</v>
      </c>
      <c r="G133" s="169">
        <f>Monthly!I200</f>
        <v>0</v>
      </c>
      <c r="H133" s="169">
        <f>Monthly!J200</f>
        <v>0</v>
      </c>
    </row>
    <row r="134" spans="1:8" s="65" customFormat="1" ht="36.75" customHeight="1" x14ac:dyDescent="0.25">
      <c r="A134" s="162" t="s">
        <v>28</v>
      </c>
      <c r="B134" s="169">
        <f>Monthly!C201</f>
        <v>28</v>
      </c>
      <c r="C134" s="169">
        <f>Monthly!D201</f>
        <v>0</v>
      </c>
      <c r="D134" s="169">
        <f>Monthly!E201</f>
        <v>0</v>
      </c>
      <c r="E134" s="169">
        <f>Monthly!F201</f>
        <v>0</v>
      </c>
      <c r="F134" s="169">
        <f>Monthly!H201</f>
        <v>465</v>
      </c>
      <c r="G134" s="169">
        <f>Monthly!I201</f>
        <v>0</v>
      </c>
      <c r="H134" s="169">
        <f>Monthly!J201</f>
        <v>0</v>
      </c>
    </row>
    <row r="135" spans="1:8" s="65" customFormat="1" ht="36.75" customHeight="1" x14ac:dyDescent="0.25">
      <c r="A135" s="162" t="s">
        <v>69</v>
      </c>
      <c r="B135" s="169">
        <f>Monthly!C202</f>
        <v>20</v>
      </c>
      <c r="C135" s="169">
        <f>Monthly!D202</f>
        <v>102</v>
      </c>
      <c r="D135" s="169">
        <f>Monthly!E202</f>
        <v>103</v>
      </c>
      <c r="E135" s="169">
        <f>Monthly!F202</f>
        <v>0</v>
      </c>
      <c r="F135" s="169">
        <f>Monthly!H202</f>
        <v>344</v>
      </c>
      <c r="G135" s="169">
        <f>Monthly!I202</f>
        <v>1</v>
      </c>
      <c r="H135" s="169">
        <f>Monthly!J202</f>
        <v>2</v>
      </c>
    </row>
    <row r="136" spans="1:8" s="65" customFormat="1" ht="36.75" customHeight="1" x14ac:dyDescent="0.25">
      <c r="A136" s="162" t="s">
        <v>30</v>
      </c>
      <c r="B136" s="169">
        <f>Monthly!C203</f>
        <v>10</v>
      </c>
      <c r="C136" s="169">
        <f>Monthly!D203</f>
        <v>61</v>
      </c>
      <c r="D136" s="169">
        <f>Monthly!E203</f>
        <v>25</v>
      </c>
      <c r="E136" s="169">
        <f>Monthly!F203</f>
        <v>3</v>
      </c>
      <c r="F136" s="169">
        <f>Monthly!H203</f>
        <v>105</v>
      </c>
      <c r="G136" s="169">
        <f>Monthly!I203</f>
        <v>0</v>
      </c>
      <c r="H136" s="169">
        <f>Monthly!J203</f>
        <v>34</v>
      </c>
    </row>
    <row r="137" spans="1:8" s="65" customFormat="1" ht="36.75" customHeight="1" x14ac:dyDescent="0.25">
      <c r="A137" s="162" t="s">
        <v>70</v>
      </c>
      <c r="B137" s="169">
        <f>Monthly!C204+Monthly!C205</f>
        <v>36</v>
      </c>
      <c r="C137" s="169">
        <f>Monthly!D204+Monthly!D205</f>
        <v>230</v>
      </c>
      <c r="D137" s="169">
        <f>Monthly!E204+Monthly!E205</f>
        <v>232</v>
      </c>
      <c r="E137" s="169">
        <f>Monthly!F204+Monthly!F205</f>
        <v>0</v>
      </c>
      <c r="F137" s="169">
        <f>Monthly!H204+Monthly!H205</f>
        <v>944</v>
      </c>
      <c r="G137" s="169">
        <f>Monthly!I204+Monthly!I205</f>
        <v>79</v>
      </c>
      <c r="H137" s="169">
        <f>Monthly!J204+Monthly!J205</f>
        <v>77</v>
      </c>
    </row>
    <row r="138" spans="1:8" s="65" customFormat="1" ht="36.75" customHeight="1" x14ac:dyDescent="0.25">
      <c r="A138" s="162" t="s">
        <v>33</v>
      </c>
      <c r="B138" s="169">
        <f>Monthly!C206</f>
        <v>10</v>
      </c>
      <c r="C138" s="169">
        <f>Monthly!D206</f>
        <v>55</v>
      </c>
      <c r="D138" s="169">
        <f>Monthly!E206</f>
        <v>29</v>
      </c>
      <c r="E138" s="169">
        <f>Monthly!F206</f>
        <v>0</v>
      </c>
      <c r="F138" s="169">
        <f>Monthly!H206</f>
        <v>45</v>
      </c>
      <c r="G138" s="169">
        <f>Monthly!I206</f>
        <v>0</v>
      </c>
      <c r="H138" s="169">
        <f>Monthly!J206</f>
        <v>24</v>
      </c>
    </row>
    <row r="139" spans="1:8" s="65" customFormat="1" ht="36.75" customHeight="1" x14ac:dyDescent="0.25">
      <c r="A139" s="162" t="s">
        <v>34</v>
      </c>
      <c r="B139" s="169">
        <f>Monthly!C207</f>
        <v>15</v>
      </c>
      <c r="C139" s="169">
        <f>Monthly!D207</f>
        <v>65</v>
      </c>
      <c r="D139" s="169">
        <f>Monthly!E207</f>
        <v>65</v>
      </c>
      <c r="E139" s="169">
        <f>Monthly!F207</f>
        <v>2</v>
      </c>
      <c r="F139" s="169">
        <f>Monthly!H207</f>
        <v>407</v>
      </c>
      <c r="G139" s="169">
        <f>Monthly!I207</f>
        <v>0</v>
      </c>
      <c r="H139" s="169">
        <f>Monthly!J207</f>
        <v>0</v>
      </c>
    </row>
    <row r="140" spans="1:8" s="65" customFormat="1" ht="36.75" customHeight="1" x14ac:dyDescent="0.25">
      <c r="A140" s="165" t="s">
        <v>35</v>
      </c>
      <c r="B140" s="163">
        <f t="shared" ref="B140:H140" si="10">SUM(B132:B139)</f>
        <v>178</v>
      </c>
      <c r="C140" s="163">
        <f t="shared" si="10"/>
        <v>513</v>
      </c>
      <c r="D140" s="163">
        <f t="shared" si="10"/>
        <v>454</v>
      </c>
      <c r="E140" s="163">
        <f t="shared" si="10"/>
        <v>5</v>
      </c>
      <c r="F140" s="163">
        <f t="shared" si="10"/>
        <v>3054</v>
      </c>
      <c r="G140" s="163">
        <f t="shared" si="10"/>
        <v>80</v>
      </c>
      <c r="H140" s="163">
        <f t="shared" si="10"/>
        <v>137</v>
      </c>
    </row>
    <row r="143" spans="1:8" ht="27" x14ac:dyDescent="0.35">
      <c r="A143" s="645" t="s">
        <v>1</v>
      </c>
      <c r="B143" s="645"/>
      <c r="C143" s="645"/>
      <c r="D143" s="645"/>
      <c r="E143" s="645"/>
      <c r="F143" s="645"/>
      <c r="G143" s="645"/>
      <c r="H143" s="645"/>
    </row>
    <row r="144" spans="1:8" ht="27" x14ac:dyDescent="0.35">
      <c r="A144" s="645" t="s">
        <v>637</v>
      </c>
      <c r="B144" s="645"/>
      <c r="C144" s="645"/>
      <c r="D144" s="645"/>
      <c r="E144" s="645"/>
      <c r="F144" s="645"/>
      <c r="G144" s="645"/>
      <c r="H144" s="645"/>
    </row>
    <row r="145" spans="1:8" ht="18" x14ac:dyDescent="0.25">
      <c r="A145" s="67" t="s">
        <v>20</v>
      </c>
      <c r="B145" s="68" t="s">
        <v>21</v>
      </c>
      <c r="C145" s="68" t="s">
        <v>9</v>
      </c>
      <c r="D145" s="68" t="s">
        <v>10</v>
      </c>
      <c r="E145" s="68" t="s">
        <v>11</v>
      </c>
      <c r="F145" s="68" t="s">
        <v>25</v>
      </c>
      <c r="G145" s="68" t="s">
        <v>23</v>
      </c>
      <c r="H145" s="68" t="s">
        <v>24</v>
      </c>
    </row>
    <row r="146" spans="1:8" ht="33.75" customHeight="1" x14ac:dyDescent="0.25">
      <c r="A146" s="69" t="s">
        <v>26</v>
      </c>
      <c r="B146" s="66">
        <f>Monthly!C214</f>
        <v>32</v>
      </c>
      <c r="C146" s="66">
        <f>Monthly!D214</f>
        <v>0</v>
      </c>
      <c r="D146" s="66">
        <f>Monthly!E214</f>
        <v>0</v>
      </c>
      <c r="E146" s="66">
        <f>Monthly!F214</f>
        <v>0</v>
      </c>
      <c r="F146" s="66">
        <f>Monthly!H214</f>
        <v>540</v>
      </c>
      <c r="G146" s="66">
        <f>Monthly!I214</f>
        <v>0</v>
      </c>
      <c r="H146" s="66">
        <f>Monthly!J214</f>
        <v>0</v>
      </c>
    </row>
    <row r="147" spans="1:8" ht="33.75" customHeight="1" x14ac:dyDescent="0.25">
      <c r="A147" s="69" t="s">
        <v>68</v>
      </c>
      <c r="B147" s="66">
        <f>Monthly!C215</f>
        <v>27</v>
      </c>
      <c r="C147" s="66">
        <f>Monthly!D215</f>
        <v>0</v>
      </c>
      <c r="D147" s="66">
        <f>Monthly!E215</f>
        <v>0</v>
      </c>
      <c r="E147" s="66">
        <f>Monthly!F215</f>
        <v>0</v>
      </c>
      <c r="F147" s="66">
        <f>Monthly!H215</f>
        <v>180</v>
      </c>
      <c r="G147" s="66">
        <f>Monthly!I215</f>
        <v>0</v>
      </c>
      <c r="H147" s="66">
        <f>Monthly!J215</f>
        <v>0</v>
      </c>
    </row>
    <row r="148" spans="1:8" ht="33.75" customHeight="1" x14ac:dyDescent="0.25">
      <c r="A148" s="69" t="s">
        <v>28</v>
      </c>
      <c r="B148" s="66">
        <f>Monthly!C216</f>
        <v>28</v>
      </c>
      <c r="C148" s="66">
        <f>Monthly!D216</f>
        <v>0</v>
      </c>
      <c r="D148" s="66">
        <f>Monthly!E216</f>
        <v>0</v>
      </c>
      <c r="E148" s="66">
        <f>Monthly!F216</f>
        <v>0</v>
      </c>
      <c r="F148" s="66">
        <f>Monthly!H216</f>
        <v>450</v>
      </c>
      <c r="G148" s="66">
        <f>Monthly!I216</f>
        <v>0</v>
      </c>
      <c r="H148" s="66">
        <f>Monthly!J216</f>
        <v>0</v>
      </c>
    </row>
    <row r="149" spans="1:8" ht="33.75" customHeight="1" x14ac:dyDescent="0.25">
      <c r="A149" s="69" t="s">
        <v>69</v>
      </c>
      <c r="B149" s="66">
        <f>Monthly!C217</f>
        <v>20</v>
      </c>
      <c r="C149" s="66">
        <f>Monthly!D217</f>
        <v>86</v>
      </c>
      <c r="D149" s="66">
        <f>Monthly!E217</f>
        <v>74</v>
      </c>
      <c r="E149" s="66">
        <f>Monthly!F217</f>
        <v>0</v>
      </c>
      <c r="F149" s="66">
        <f>Monthly!H217</f>
        <v>369</v>
      </c>
      <c r="G149" s="66">
        <f>Monthly!I217</f>
        <v>0</v>
      </c>
      <c r="H149" s="66">
        <f>Monthly!J217</f>
        <v>8</v>
      </c>
    </row>
    <row r="150" spans="1:8" ht="33.75" customHeight="1" x14ac:dyDescent="0.25">
      <c r="A150" s="69" t="s">
        <v>30</v>
      </c>
      <c r="B150" s="66">
        <f>Monthly!C218</f>
        <v>10</v>
      </c>
      <c r="C150" s="66">
        <f>Monthly!D218</f>
        <v>83</v>
      </c>
      <c r="D150" s="66">
        <f>Monthly!E218</f>
        <v>37</v>
      </c>
      <c r="E150" s="66">
        <f>Monthly!F218</f>
        <v>3</v>
      </c>
      <c r="F150" s="66">
        <f>Monthly!H218</f>
        <v>168</v>
      </c>
      <c r="G150" s="66">
        <f>Monthly!I218</f>
        <v>0</v>
      </c>
      <c r="H150" s="66">
        <f>Monthly!J218</f>
        <v>42</v>
      </c>
    </row>
    <row r="151" spans="1:8" ht="33.75" customHeight="1" x14ac:dyDescent="0.25">
      <c r="A151" s="69" t="s">
        <v>70</v>
      </c>
      <c r="B151" s="66">
        <f>Monthly!C219+Monthly!C220</f>
        <v>36</v>
      </c>
      <c r="C151" s="66">
        <f>Monthly!D219+Monthly!D220</f>
        <v>242</v>
      </c>
      <c r="D151" s="66">
        <f>Monthly!E219+Monthly!E220</f>
        <v>244</v>
      </c>
      <c r="E151" s="66">
        <f>Monthly!F219+Monthly!F220</f>
        <v>0</v>
      </c>
      <c r="F151" s="66">
        <f>Monthly!H219+Monthly!H220</f>
        <v>905</v>
      </c>
      <c r="G151" s="66">
        <f>Monthly!I219+Monthly!I220</f>
        <v>80</v>
      </c>
      <c r="H151" s="66">
        <f>Monthly!J219+Monthly!J220</f>
        <v>73</v>
      </c>
    </row>
    <row r="152" spans="1:8" ht="33.75" customHeight="1" x14ac:dyDescent="0.25">
      <c r="A152" s="69" t="s">
        <v>33</v>
      </c>
      <c r="B152" s="66">
        <f>Monthly!C221</f>
        <v>10</v>
      </c>
      <c r="C152" s="66">
        <f>Monthly!D221</f>
        <v>64</v>
      </c>
      <c r="D152" s="66">
        <f>Monthly!E221</f>
        <v>18</v>
      </c>
      <c r="E152" s="66">
        <f>Monthly!F221</f>
        <v>3</v>
      </c>
      <c r="F152" s="66">
        <f>Monthly!H221</f>
        <v>39</v>
      </c>
      <c r="G152" s="66">
        <f>Monthly!I221</f>
        <v>1</v>
      </c>
      <c r="H152" s="66">
        <f>Monthly!J221</f>
        <v>45</v>
      </c>
    </row>
    <row r="153" spans="1:8" ht="33.75" customHeight="1" x14ac:dyDescent="0.25">
      <c r="A153" s="69" t="s">
        <v>34</v>
      </c>
      <c r="B153" s="66">
        <f>Monthly!C222</f>
        <v>15</v>
      </c>
      <c r="C153" s="66">
        <f>Monthly!D222</f>
        <v>54</v>
      </c>
      <c r="D153" s="66">
        <f>Monthly!E222</f>
        <v>43</v>
      </c>
      <c r="E153" s="66">
        <f>Monthly!F222</f>
        <v>2</v>
      </c>
      <c r="F153" s="66">
        <f>Monthly!H222</f>
        <v>369</v>
      </c>
      <c r="G153" s="66">
        <f>Monthly!I222</f>
        <v>0</v>
      </c>
      <c r="H153" s="66">
        <f>Monthly!J222</f>
        <v>0</v>
      </c>
    </row>
    <row r="154" spans="1:8" ht="33.75" customHeight="1" x14ac:dyDescent="0.25">
      <c r="A154" s="70" t="s">
        <v>35</v>
      </c>
      <c r="B154" s="67">
        <f>SUM(B146:B153)</f>
        <v>178</v>
      </c>
      <c r="C154" s="67">
        <f t="shared" ref="C154:H154" si="11">SUM(C146:C153)</f>
        <v>529</v>
      </c>
      <c r="D154" s="67">
        <f t="shared" si="11"/>
        <v>416</v>
      </c>
      <c r="E154" s="67">
        <f t="shared" si="11"/>
        <v>8</v>
      </c>
      <c r="F154" s="67">
        <f>SUM(F146:F153)</f>
        <v>3020</v>
      </c>
      <c r="G154" s="67">
        <f t="shared" si="11"/>
        <v>81</v>
      </c>
      <c r="H154" s="67">
        <f t="shared" si="11"/>
        <v>168</v>
      </c>
    </row>
    <row r="157" spans="1:8" ht="27" x14ac:dyDescent="0.35">
      <c r="A157" s="645" t="s">
        <v>1</v>
      </c>
      <c r="B157" s="645"/>
      <c r="C157" s="645"/>
      <c r="D157" s="645"/>
      <c r="E157" s="645"/>
      <c r="F157" s="645"/>
      <c r="G157" s="645"/>
      <c r="H157" s="645"/>
    </row>
    <row r="158" spans="1:8" ht="27" x14ac:dyDescent="0.35">
      <c r="A158" s="645" t="s">
        <v>638</v>
      </c>
      <c r="B158" s="645"/>
      <c r="C158" s="645"/>
      <c r="D158" s="645"/>
      <c r="E158" s="645"/>
      <c r="F158" s="645"/>
      <c r="G158" s="645"/>
      <c r="H158" s="645"/>
    </row>
    <row r="159" spans="1:8" ht="18" x14ac:dyDescent="0.25">
      <c r="A159" s="67" t="s">
        <v>20</v>
      </c>
      <c r="B159" s="68" t="s">
        <v>21</v>
      </c>
      <c r="C159" s="68" t="s">
        <v>9</v>
      </c>
      <c r="D159" s="68" t="s">
        <v>10</v>
      </c>
      <c r="E159" s="68" t="s">
        <v>11</v>
      </c>
      <c r="F159" s="68" t="s">
        <v>25</v>
      </c>
      <c r="G159" s="68" t="s">
        <v>23</v>
      </c>
      <c r="H159" s="68" t="s">
        <v>24</v>
      </c>
    </row>
    <row r="160" spans="1:8" ht="33.75" customHeight="1" x14ac:dyDescent="0.25">
      <c r="A160" s="69" t="s">
        <v>26</v>
      </c>
      <c r="B160" s="66">
        <f>Monthly!C229</f>
        <v>32</v>
      </c>
      <c r="C160" s="66">
        <f>Monthly!D229</f>
        <v>0</v>
      </c>
      <c r="D160" s="66">
        <f>Monthly!E229</f>
        <v>0</v>
      </c>
      <c r="E160" s="66">
        <f>Monthly!F229</f>
        <v>0</v>
      </c>
      <c r="F160" s="66">
        <f>Monthly!H229</f>
        <v>558</v>
      </c>
      <c r="G160" s="66">
        <f>Monthly!I229</f>
        <v>0</v>
      </c>
      <c r="H160" s="66">
        <f>Monthly!J229</f>
        <v>0</v>
      </c>
    </row>
    <row r="161" spans="1:8" ht="33.75" customHeight="1" x14ac:dyDescent="0.25">
      <c r="A161" s="69" t="s">
        <v>68</v>
      </c>
      <c r="B161" s="66">
        <f>Monthly!C230</f>
        <v>27</v>
      </c>
      <c r="C161" s="66">
        <f>Monthly!D230</f>
        <v>0</v>
      </c>
      <c r="D161" s="66">
        <f>Monthly!E230</f>
        <v>0</v>
      </c>
      <c r="E161" s="66">
        <f>Monthly!F230</f>
        <v>0</v>
      </c>
      <c r="F161" s="66">
        <f>Monthly!H230</f>
        <v>186</v>
      </c>
      <c r="G161" s="66">
        <f>Monthly!I230</f>
        <v>0</v>
      </c>
      <c r="H161" s="66">
        <f>Monthly!J230</f>
        <v>0</v>
      </c>
    </row>
    <row r="162" spans="1:8" ht="33.75" customHeight="1" x14ac:dyDescent="0.25">
      <c r="A162" s="69" t="s">
        <v>28</v>
      </c>
      <c r="B162" s="66">
        <f>Monthly!C231</f>
        <v>28</v>
      </c>
      <c r="C162" s="66">
        <f>Monthly!D231</f>
        <v>0</v>
      </c>
      <c r="D162" s="66">
        <f>Monthly!E231</f>
        <v>0</v>
      </c>
      <c r="E162" s="66">
        <f>Monthly!F231</f>
        <v>0</v>
      </c>
      <c r="F162" s="66">
        <f>Monthly!H231</f>
        <v>465</v>
      </c>
      <c r="G162" s="66">
        <f>Monthly!I231</f>
        <v>0</v>
      </c>
      <c r="H162" s="66">
        <f>Monthly!J231</f>
        <v>0</v>
      </c>
    </row>
    <row r="163" spans="1:8" ht="33.75" customHeight="1" x14ac:dyDescent="0.25">
      <c r="A163" s="69" t="s">
        <v>69</v>
      </c>
      <c r="B163" s="66">
        <f>Monthly!C232</f>
        <v>20</v>
      </c>
      <c r="C163" s="66">
        <f>Monthly!D232</f>
        <v>78</v>
      </c>
      <c r="D163" s="66">
        <f>Monthly!E232</f>
        <v>84</v>
      </c>
      <c r="E163" s="66">
        <f>Monthly!F232</f>
        <v>0</v>
      </c>
      <c r="F163" s="66">
        <f>Monthly!H232</f>
        <v>289</v>
      </c>
      <c r="G163" s="66">
        <f>Monthly!I232</f>
        <v>2</v>
      </c>
      <c r="H163" s="66">
        <f>Monthly!J232</f>
        <v>1</v>
      </c>
    </row>
    <row r="164" spans="1:8" ht="33.75" customHeight="1" x14ac:dyDescent="0.25">
      <c r="A164" s="69" t="s">
        <v>30</v>
      </c>
      <c r="B164" s="66">
        <f>Monthly!C233</f>
        <v>10</v>
      </c>
      <c r="C164" s="66">
        <f>Monthly!D233</f>
        <v>91</v>
      </c>
      <c r="D164" s="66">
        <f>Monthly!E233</f>
        <v>25</v>
      </c>
      <c r="E164" s="66">
        <f>Monthly!F233</f>
        <v>5</v>
      </c>
      <c r="F164" s="66">
        <f>Monthly!H233</f>
        <v>155</v>
      </c>
      <c r="G164" s="66">
        <f>Monthly!I233</f>
        <v>0</v>
      </c>
      <c r="H164" s="66">
        <f>Monthly!J233</f>
        <v>67</v>
      </c>
    </row>
    <row r="165" spans="1:8" ht="33.75" customHeight="1" x14ac:dyDescent="0.25">
      <c r="A165" s="69" t="s">
        <v>70</v>
      </c>
      <c r="B165" s="66">
        <f>Monthly!C234+Monthly!C235</f>
        <v>36</v>
      </c>
      <c r="C165" s="66">
        <f>Monthly!D234+Monthly!D235</f>
        <v>188</v>
      </c>
      <c r="D165" s="66">
        <f>Monthly!E234+Monthly!E235</f>
        <v>197</v>
      </c>
      <c r="E165" s="66">
        <f>Monthly!F234+Monthly!F235</f>
        <v>0</v>
      </c>
      <c r="F165" s="66">
        <f>Monthly!H234+Monthly!H235</f>
        <v>871</v>
      </c>
      <c r="G165" s="66">
        <f>Monthly!I234+Monthly!I235</f>
        <v>65</v>
      </c>
      <c r="H165" s="66">
        <f>Monthly!J234+Monthly!J235</f>
        <v>65</v>
      </c>
    </row>
    <row r="166" spans="1:8" ht="33.75" customHeight="1" x14ac:dyDescent="0.25">
      <c r="A166" s="69" t="s">
        <v>33</v>
      </c>
      <c r="B166" s="66">
        <f>Monthly!C236</f>
        <v>10</v>
      </c>
      <c r="C166" s="66">
        <f>Monthly!D236</f>
        <v>56</v>
      </c>
      <c r="D166" s="66">
        <f>Monthly!E236</f>
        <v>7</v>
      </c>
      <c r="E166" s="66">
        <f>Monthly!F236</f>
        <v>2</v>
      </c>
      <c r="F166" s="66">
        <f>Monthly!H236</f>
        <v>98</v>
      </c>
      <c r="G166" s="66">
        <f>Monthly!I236</f>
        <v>0</v>
      </c>
      <c r="H166" s="66">
        <f>Monthly!J236</f>
        <v>37</v>
      </c>
    </row>
    <row r="167" spans="1:8" ht="33.75" customHeight="1" x14ac:dyDescent="0.25">
      <c r="A167" s="69" t="s">
        <v>34</v>
      </c>
      <c r="B167" s="66">
        <f>Monthly!C237</f>
        <v>15</v>
      </c>
      <c r="C167" s="66">
        <f>Monthly!D237</f>
        <v>43</v>
      </c>
      <c r="D167" s="66">
        <f>Monthly!E237</f>
        <v>43</v>
      </c>
      <c r="E167" s="66">
        <f>Monthly!F237</f>
        <v>5</v>
      </c>
      <c r="F167" s="66">
        <f>Monthly!H237</f>
        <v>496</v>
      </c>
      <c r="G167" s="66">
        <f>Monthly!I237</f>
        <v>0</v>
      </c>
      <c r="H167" s="66">
        <f>Monthly!J237</f>
        <v>0</v>
      </c>
    </row>
    <row r="168" spans="1:8" ht="33.75" customHeight="1" x14ac:dyDescent="0.25">
      <c r="A168" s="70" t="s">
        <v>35</v>
      </c>
      <c r="B168" s="67">
        <f>SUM(B160:B167)</f>
        <v>178</v>
      </c>
      <c r="C168" s="67">
        <f t="shared" ref="C168:H168" si="12">SUM(C160:C167)</f>
        <v>456</v>
      </c>
      <c r="D168" s="67">
        <f t="shared" si="12"/>
        <v>356</v>
      </c>
      <c r="E168" s="67">
        <f t="shared" si="12"/>
        <v>12</v>
      </c>
      <c r="F168" s="67">
        <f t="shared" si="12"/>
        <v>3118</v>
      </c>
      <c r="G168" s="67">
        <f>SUM(G160:G167)</f>
        <v>67</v>
      </c>
      <c r="H168" s="67">
        <f t="shared" si="12"/>
        <v>170</v>
      </c>
    </row>
  </sheetData>
  <mergeCells count="24">
    <mergeCell ref="A157:H157"/>
    <mergeCell ref="A158:H158"/>
    <mergeCell ref="A88:H88"/>
    <mergeCell ref="A1:H1"/>
    <mergeCell ref="A2:H2"/>
    <mergeCell ref="A15:H15"/>
    <mergeCell ref="A16:H16"/>
    <mergeCell ref="A29:H29"/>
    <mergeCell ref="A143:H143"/>
    <mergeCell ref="A144:H144"/>
    <mergeCell ref="A45:H45"/>
    <mergeCell ref="A46:H46"/>
    <mergeCell ref="A30:H30"/>
    <mergeCell ref="A129:H129"/>
    <mergeCell ref="A130:H130"/>
    <mergeCell ref="A73:H73"/>
    <mergeCell ref="A74:H74"/>
    <mergeCell ref="A59:H59"/>
    <mergeCell ref="A60:H60"/>
    <mergeCell ref="A115:H115"/>
    <mergeCell ref="A116:H116"/>
    <mergeCell ref="A101:H101"/>
    <mergeCell ref="A102:H102"/>
    <mergeCell ref="A87:H87"/>
  </mergeCells>
  <pageMargins left="0.3" right="0.16" top="0.53" bottom="0.56000000000000005" header="0.3" footer="0.3"/>
  <pageSetup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rgb="FF00B050"/>
  </sheetPr>
  <dimension ref="B1:HN23"/>
  <sheetViews>
    <sheetView topLeftCell="FF1" zoomScaleNormal="100" workbookViewId="0">
      <selection activeCell="FI16" sqref="FI16"/>
    </sheetView>
  </sheetViews>
  <sheetFormatPr defaultRowHeight="15" x14ac:dyDescent="0.25"/>
  <cols>
    <col min="2" max="2" width="9.140625" customWidth="1"/>
    <col min="7" max="9" width="3.5703125" customWidth="1"/>
    <col min="10" max="14" width="10.7109375" customWidth="1"/>
    <col min="15" max="15" width="6.28515625" customWidth="1"/>
    <col min="16" max="17" width="4.7109375" customWidth="1"/>
    <col min="23" max="25" width="3.7109375" customWidth="1"/>
    <col min="31" max="33" width="4.85546875" customWidth="1"/>
    <col min="39" max="41" width="3.5703125" customWidth="1"/>
    <col min="47" max="47" width="5.85546875" customWidth="1"/>
    <col min="48" max="49" width="4.140625" customWidth="1"/>
    <col min="55" max="57" width="3.42578125" customWidth="1"/>
    <col min="63" max="63" width="6.5703125" customWidth="1"/>
    <col min="64" max="65" width="5.140625" customWidth="1"/>
    <col min="71" max="73" width="2.7109375" customWidth="1"/>
    <col min="79" max="79" width="5.42578125" customWidth="1"/>
    <col min="80" max="81" width="4.28515625" customWidth="1"/>
    <col min="87" max="89" width="3.5703125" customWidth="1"/>
  </cols>
  <sheetData>
    <row r="1" spans="2:190" x14ac:dyDescent="0.25">
      <c r="F1" s="205">
        <v>45658</v>
      </c>
      <c r="U1" s="205">
        <v>45689</v>
      </c>
      <c r="AL1" s="205">
        <v>45717</v>
      </c>
      <c r="BB1" s="205">
        <v>45748</v>
      </c>
      <c r="BN1" s="653">
        <v>45778</v>
      </c>
      <c r="BO1" s="653"/>
      <c r="BP1" s="653"/>
      <c r="BQ1" s="653"/>
      <c r="BR1" s="653"/>
      <c r="BS1" s="653"/>
      <c r="BT1" s="653"/>
      <c r="BU1" s="653"/>
      <c r="BV1" s="653"/>
      <c r="BW1" s="653"/>
      <c r="BX1" s="653"/>
      <c r="BY1" s="653"/>
      <c r="BZ1" s="653"/>
      <c r="CD1" s="664">
        <v>45809</v>
      </c>
      <c r="CE1" s="665"/>
      <c r="CF1" s="665"/>
      <c r="CG1" s="665"/>
      <c r="CH1" s="665"/>
      <c r="CI1" s="665"/>
      <c r="CJ1" s="665"/>
      <c r="CK1" s="665"/>
      <c r="CL1" s="665"/>
      <c r="CM1" s="665"/>
      <c r="CN1" s="665"/>
      <c r="CO1" s="665"/>
      <c r="CP1" s="666"/>
      <c r="CX1" s="205">
        <v>45839</v>
      </c>
      <c r="DJ1" s="646">
        <v>45870</v>
      </c>
      <c r="DK1" s="647"/>
      <c r="DL1" s="647"/>
      <c r="DM1" s="647"/>
      <c r="DN1" s="647"/>
      <c r="DO1" s="647"/>
      <c r="DP1" s="647"/>
      <c r="DQ1" s="647"/>
      <c r="DR1" s="647"/>
      <c r="DS1" s="647"/>
      <c r="DT1" s="647"/>
      <c r="DU1" s="647"/>
      <c r="DV1" s="648"/>
      <c r="DZ1" s="634">
        <v>45901</v>
      </c>
      <c r="EA1" s="634"/>
      <c r="EB1" s="634"/>
      <c r="EC1" s="634"/>
      <c r="ED1" s="634"/>
      <c r="EE1" s="634"/>
      <c r="EF1" s="634"/>
      <c r="EG1" s="634"/>
      <c r="EH1" s="634"/>
      <c r="EI1" s="634"/>
      <c r="EJ1" s="634"/>
      <c r="EK1" s="634"/>
      <c r="ES1" s="205">
        <v>45931</v>
      </c>
      <c r="FI1" s="205">
        <v>45597</v>
      </c>
      <c r="FY1" s="205">
        <v>45627</v>
      </c>
    </row>
    <row r="2" spans="2:190" x14ac:dyDescent="0.25">
      <c r="B2" s="197"/>
      <c r="C2" s="636" t="s">
        <v>121</v>
      </c>
      <c r="D2" s="636"/>
      <c r="E2" s="649" t="s">
        <v>100</v>
      </c>
      <c r="F2" s="649"/>
      <c r="G2" s="200"/>
      <c r="H2" s="200"/>
      <c r="I2" s="200"/>
      <c r="J2" s="200"/>
      <c r="K2" s="649" t="s">
        <v>101</v>
      </c>
      <c r="L2" s="649"/>
      <c r="M2" s="649" t="s">
        <v>100</v>
      </c>
      <c r="N2" s="649"/>
      <c r="R2" s="197"/>
      <c r="S2" s="649" t="s">
        <v>121</v>
      </c>
      <c r="T2" s="649"/>
      <c r="U2" s="649" t="s">
        <v>100</v>
      </c>
      <c r="V2" s="649"/>
      <c r="W2" s="200"/>
      <c r="X2" s="200"/>
      <c r="Y2" s="200"/>
      <c r="Z2" s="200"/>
      <c r="AA2" s="649" t="s">
        <v>101</v>
      </c>
      <c r="AB2" s="649"/>
      <c r="AC2" s="649" t="s">
        <v>100</v>
      </c>
      <c r="AD2" s="649"/>
      <c r="AH2" s="197"/>
      <c r="AI2" s="636" t="s">
        <v>121</v>
      </c>
      <c r="AJ2" s="636"/>
      <c r="AK2" s="649" t="s">
        <v>100</v>
      </c>
      <c r="AL2" s="649"/>
      <c r="AM2" s="200"/>
      <c r="AN2" s="200"/>
      <c r="AO2" s="200"/>
      <c r="AP2" s="200"/>
      <c r="AQ2" s="649" t="s">
        <v>101</v>
      </c>
      <c r="AR2" s="649"/>
      <c r="AS2" s="649" t="s">
        <v>100</v>
      </c>
      <c r="AT2" s="649"/>
      <c r="AX2" s="197"/>
      <c r="AY2" s="636" t="s">
        <v>121</v>
      </c>
      <c r="AZ2" s="636"/>
      <c r="BA2" s="649" t="s">
        <v>100</v>
      </c>
      <c r="BB2" s="649"/>
      <c r="BC2" s="200"/>
      <c r="BD2" s="200"/>
      <c r="BE2" s="200"/>
      <c r="BF2" s="200"/>
      <c r="BG2" s="649" t="s">
        <v>101</v>
      </c>
      <c r="BH2" s="649"/>
      <c r="BI2" s="649" t="s">
        <v>100</v>
      </c>
      <c r="BJ2" s="649"/>
      <c r="BN2" s="197"/>
      <c r="BO2" s="636" t="s">
        <v>121</v>
      </c>
      <c r="BP2" s="636"/>
      <c r="BQ2" s="649" t="s">
        <v>100</v>
      </c>
      <c r="BR2" s="649"/>
      <c r="BS2" s="200"/>
      <c r="BT2" s="200"/>
      <c r="BU2" s="200"/>
      <c r="BV2" s="200"/>
      <c r="BW2" s="649" t="s">
        <v>101</v>
      </c>
      <c r="BX2" s="649"/>
      <c r="BY2" s="649" t="s">
        <v>100</v>
      </c>
      <c r="BZ2" s="649"/>
      <c r="CD2" s="449"/>
      <c r="CE2" s="649" t="s">
        <v>121</v>
      </c>
      <c r="CF2" s="649"/>
      <c r="CG2" s="649" t="s">
        <v>100</v>
      </c>
      <c r="CH2" s="649"/>
      <c r="CI2" s="200"/>
      <c r="CJ2" s="200"/>
      <c r="CK2" s="200"/>
      <c r="CL2" s="200"/>
      <c r="CM2" s="649" t="s">
        <v>101</v>
      </c>
      <c r="CN2" s="649"/>
      <c r="CO2" s="649" t="s">
        <v>100</v>
      </c>
      <c r="CP2" s="650"/>
      <c r="CT2" s="197"/>
      <c r="CU2" s="636" t="s">
        <v>121</v>
      </c>
      <c r="CV2" s="636"/>
      <c r="CW2" s="649" t="s">
        <v>100</v>
      </c>
      <c r="CX2" s="649"/>
      <c r="CY2" s="200"/>
      <c r="CZ2" s="200"/>
      <c r="DA2" s="200"/>
      <c r="DB2" s="200"/>
      <c r="DC2" s="649" t="s">
        <v>101</v>
      </c>
      <c r="DD2" s="649"/>
      <c r="DE2" s="649" t="s">
        <v>100</v>
      </c>
      <c r="DF2" s="649"/>
      <c r="DJ2" s="495"/>
      <c r="DK2" s="636" t="s">
        <v>121</v>
      </c>
      <c r="DL2" s="636"/>
      <c r="DM2" s="636" t="s">
        <v>100</v>
      </c>
      <c r="DN2" s="636"/>
      <c r="DO2" s="395"/>
      <c r="DP2" s="395"/>
      <c r="DQ2" s="395"/>
      <c r="DR2" s="395"/>
      <c r="DS2" s="636" t="s">
        <v>101</v>
      </c>
      <c r="DT2" s="636"/>
      <c r="DU2" s="636" t="s">
        <v>100</v>
      </c>
      <c r="DV2" s="651"/>
      <c r="DZ2" s="449"/>
      <c r="EA2" s="649" t="s">
        <v>121</v>
      </c>
      <c r="EB2" s="649"/>
      <c r="EC2" s="649" t="s">
        <v>100</v>
      </c>
      <c r="ED2" s="649"/>
      <c r="EE2" s="649"/>
      <c r="EF2" s="649"/>
      <c r="EG2" s="200"/>
      <c r="EH2" s="649" t="s">
        <v>101</v>
      </c>
      <c r="EI2" s="649"/>
      <c r="EJ2" s="649" t="s">
        <v>100</v>
      </c>
      <c r="EK2" s="650"/>
      <c r="EO2" s="197"/>
      <c r="EP2" s="636" t="s">
        <v>121</v>
      </c>
      <c r="EQ2" s="636"/>
      <c r="ER2" s="649" t="s">
        <v>100</v>
      </c>
      <c r="ES2" s="649"/>
      <c r="ET2" s="200"/>
      <c r="EU2" s="200"/>
      <c r="EV2" s="200"/>
      <c r="EW2" s="200"/>
      <c r="EX2" s="649" t="s">
        <v>101</v>
      </c>
      <c r="EY2" s="649"/>
      <c r="EZ2" s="649" t="s">
        <v>100</v>
      </c>
      <c r="FA2" s="649"/>
      <c r="FE2" s="197"/>
      <c r="FF2" s="636" t="s">
        <v>121</v>
      </c>
      <c r="FG2" s="636"/>
      <c r="FH2" s="649" t="s">
        <v>100</v>
      </c>
      <c r="FI2" s="649"/>
      <c r="FJ2" s="200"/>
      <c r="FK2" s="200"/>
      <c r="FL2" s="200"/>
      <c r="FM2" s="200"/>
      <c r="FN2" s="649" t="s">
        <v>101</v>
      </c>
      <c r="FO2" s="649"/>
      <c r="FP2" s="649" t="s">
        <v>100</v>
      </c>
      <c r="FQ2" s="649"/>
      <c r="FU2" s="197"/>
      <c r="FV2" s="636" t="s">
        <v>121</v>
      </c>
      <c r="FW2" s="636"/>
      <c r="FX2" s="649" t="s">
        <v>100</v>
      </c>
      <c r="FY2" s="649"/>
      <c r="FZ2" s="200"/>
      <c r="GA2" s="200"/>
      <c r="GB2" s="200"/>
      <c r="GC2" s="200"/>
      <c r="GD2" s="649" t="s">
        <v>101</v>
      </c>
      <c r="GE2" s="649"/>
      <c r="GF2" s="649" t="s">
        <v>100</v>
      </c>
      <c r="GG2" s="649"/>
    </row>
    <row r="3" spans="2:190" x14ac:dyDescent="0.25">
      <c r="B3" s="198"/>
      <c r="C3" s="198" t="s">
        <v>120</v>
      </c>
      <c r="D3" s="198" t="s">
        <v>37</v>
      </c>
      <c r="E3" s="198" t="s">
        <v>99</v>
      </c>
      <c r="F3" s="198" t="s">
        <v>102</v>
      </c>
      <c r="G3" s="198"/>
      <c r="H3" s="198"/>
      <c r="I3" s="198"/>
      <c r="J3" s="166"/>
      <c r="K3" s="166" t="s">
        <v>99</v>
      </c>
      <c r="L3" s="166" t="s">
        <v>37</v>
      </c>
      <c r="M3" s="166" t="s">
        <v>99</v>
      </c>
      <c r="N3" s="166" t="s">
        <v>102</v>
      </c>
      <c r="R3" s="198"/>
      <c r="S3" s="198" t="s">
        <v>120</v>
      </c>
      <c r="T3" s="198" t="s">
        <v>37</v>
      </c>
      <c r="U3" s="198" t="s">
        <v>99</v>
      </c>
      <c r="V3" s="198" t="s">
        <v>102</v>
      </c>
      <c r="W3" s="198"/>
      <c r="X3" s="198"/>
      <c r="Y3" s="198"/>
      <c r="Z3" s="198"/>
      <c r="AA3" s="198" t="s">
        <v>99</v>
      </c>
      <c r="AB3" s="198" t="s">
        <v>37</v>
      </c>
      <c r="AC3" s="198" t="s">
        <v>99</v>
      </c>
      <c r="AD3" s="198" t="s">
        <v>102</v>
      </c>
      <c r="AH3" s="198"/>
      <c r="AI3" s="198" t="s">
        <v>120</v>
      </c>
      <c r="AJ3" s="198" t="s">
        <v>37</v>
      </c>
      <c r="AK3" s="198" t="s">
        <v>99</v>
      </c>
      <c r="AL3" s="198" t="s">
        <v>102</v>
      </c>
      <c r="AM3" s="198"/>
      <c r="AN3" s="198"/>
      <c r="AO3" s="198"/>
      <c r="AP3" s="166"/>
      <c r="AQ3" s="166" t="s">
        <v>99</v>
      </c>
      <c r="AR3" s="166" t="s">
        <v>37</v>
      </c>
      <c r="AS3" s="166" t="s">
        <v>99</v>
      </c>
      <c r="AT3" s="166" t="s">
        <v>102</v>
      </c>
      <c r="AX3" s="198"/>
      <c r="AY3" s="198" t="s">
        <v>120</v>
      </c>
      <c r="AZ3" s="198" t="s">
        <v>37</v>
      </c>
      <c r="BA3" s="198" t="s">
        <v>99</v>
      </c>
      <c r="BB3" s="198" t="s">
        <v>102</v>
      </c>
      <c r="BC3" s="198"/>
      <c r="BD3" s="198"/>
      <c r="BE3" s="198"/>
      <c r="BF3" s="166"/>
      <c r="BG3" s="166" t="s">
        <v>99</v>
      </c>
      <c r="BH3" s="166" t="s">
        <v>37</v>
      </c>
      <c r="BI3" s="166" t="s">
        <v>99</v>
      </c>
      <c r="BJ3" s="166" t="s">
        <v>102</v>
      </c>
      <c r="BN3" s="198"/>
      <c r="BO3" s="198" t="s">
        <v>120</v>
      </c>
      <c r="BP3" s="198" t="s">
        <v>37</v>
      </c>
      <c r="BQ3" s="198" t="s">
        <v>99</v>
      </c>
      <c r="BR3" s="198" t="s">
        <v>102</v>
      </c>
      <c r="BS3" s="198"/>
      <c r="BT3" s="198"/>
      <c r="BU3" s="198"/>
      <c r="BV3" s="166"/>
      <c r="BW3" s="166" t="s">
        <v>99</v>
      </c>
      <c r="BX3" s="166" t="s">
        <v>37</v>
      </c>
      <c r="BY3" s="166" t="s">
        <v>99</v>
      </c>
      <c r="BZ3" s="166" t="s">
        <v>102</v>
      </c>
      <c r="CD3" s="450"/>
      <c r="CE3" s="198" t="s">
        <v>120</v>
      </c>
      <c r="CF3" s="198" t="s">
        <v>37</v>
      </c>
      <c r="CG3" s="198" t="s">
        <v>99</v>
      </c>
      <c r="CH3" s="198" t="s">
        <v>102</v>
      </c>
      <c r="CI3" s="198"/>
      <c r="CJ3" s="198"/>
      <c r="CK3" s="198"/>
      <c r="CL3" s="166"/>
      <c r="CM3" s="166" t="s">
        <v>99</v>
      </c>
      <c r="CN3" s="166" t="s">
        <v>37</v>
      </c>
      <c r="CO3" s="198" t="s">
        <v>99</v>
      </c>
      <c r="CP3" s="453" t="s">
        <v>37</v>
      </c>
      <c r="CT3" s="198"/>
      <c r="CU3" s="198" t="s">
        <v>120</v>
      </c>
      <c r="CV3" s="198" t="s">
        <v>37</v>
      </c>
      <c r="CW3" s="198" t="s">
        <v>99</v>
      </c>
      <c r="CX3" s="198" t="s">
        <v>37</v>
      </c>
      <c r="CY3" s="198"/>
      <c r="CZ3" s="198"/>
      <c r="DA3" s="198"/>
      <c r="DB3" s="166"/>
      <c r="DC3" s="166" t="s">
        <v>99</v>
      </c>
      <c r="DD3" s="166" t="s">
        <v>37</v>
      </c>
      <c r="DE3" s="166" t="s">
        <v>99</v>
      </c>
      <c r="DF3" s="166" t="s">
        <v>102</v>
      </c>
      <c r="DJ3" s="450"/>
      <c r="DK3" s="198" t="s">
        <v>120</v>
      </c>
      <c r="DL3" s="198" t="s">
        <v>37</v>
      </c>
      <c r="DM3" s="198" t="s">
        <v>99</v>
      </c>
      <c r="DN3" s="198" t="s">
        <v>37</v>
      </c>
      <c r="DO3" s="198"/>
      <c r="DP3" s="198"/>
      <c r="DQ3" s="198"/>
      <c r="DR3" s="198"/>
      <c r="DS3" s="198" t="s">
        <v>99</v>
      </c>
      <c r="DT3" s="198" t="s">
        <v>37</v>
      </c>
      <c r="DU3" s="198" t="s">
        <v>99</v>
      </c>
      <c r="DV3" s="453" t="s">
        <v>102</v>
      </c>
      <c r="DZ3" s="450"/>
      <c r="EA3" s="198" t="s">
        <v>120</v>
      </c>
      <c r="EB3" s="198" t="s">
        <v>37</v>
      </c>
      <c r="EC3" s="198" t="s">
        <v>99</v>
      </c>
      <c r="ED3" s="198" t="s">
        <v>102</v>
      </c>
      <c r="EE3" s="636"/>
      <c r="EF3" s="636"/>
      <c r="EG3" s="166"/>
      <c r="EH3" s="166" t="s">
        <v>99</v>
      </c>
      <c r="EI3" s="166" t="s">
        <v>37</v>
      </c>
      <c r="EJ3" s="198" t="s">
        <v>99</v>
      </c>
      <c r="EK3" s="453" t="s">
        <v>102</v>
      </c>
      <c r="EO3" s="198"/>
      <c r="EP3" s="198" t="s">
        <v>120</v>
      </c>
      <c r="EQ3" s="198" t="s">
        <v>37</v>
      </c>
      <c r="ER3" s="198" t="s">
        <v>99</v>
      </c>
      <c r="ES3" s="198" t="s">
        <v>102</v>
      </c>
      <c r="ET3" s="198"/>
      <c r="EU3" s="198"/>
      <c r="EV3" s="198"/>
      <c r="EW3" s="166"/>
      <c r="EX3" s="166" t="s">
        <v>99</v>
      </c>
      <c r="EY3" s="166" t="s">
        <v>37</v>
      </c>
      <c r="EZ3" s="166" t="s">
        <v>99</v>
      </c>
      <c r="FA3" s="166" t="s">
        <v>102</v>
      </c>
      <c r="FE3" s="198"/>
      <c r="FF3" s="198" t="s">
        <v>120</v>
      </c>
      <c r="FG3" s="198" t="s">
        <v>37</v>
      </c>
      <c r="FH3" s="198" t="s">
        <v>99</v>
      </c>
      <c r="FI3" s="198" t="s">
        <v>102</v>
      </c>
      <c r="FJ3" s="198"/>
      <c r="FK3" s="198"/>
      <c r="FL3" s="198"/>
      <c r="FM3" s="166"/>
      <c r="FN3" s="166" t="s">
        <v>99</v>
      </c>
      <c r="FO3" s="166" t="s">
        <v>37</v>
      </c>
      <c r="FP3" s="166" t="s">
        <v>99</v>
      </c>
      <c r="FQ3" s="166" t="s">
        <v>102</v>
      </c>
      <c r="FU3" s="198"/>
      <c r="FV3" s="198" t="s">
        <v>120</v>
      </c>
      <c r="FW3" s="198" t="s">
        <v>37</v>
      </c>
      <c r="FX3" s="198" t="s">
        <v>99</v>
      </c>
      <c r="FY3" s="198" t="s">
        <v>102</v>
      </c>
      <c r="FZ3" s="198"/>
      <c r="GA3" s="198"/>
      <c r="GB3" s="198"/>
      <c r="GC3" s="166"/>
      <c r="GD3" s="166" t="s">
        <v>99</v>
      </c>
      <c r="GE3" s="166" t="s">
        <v>37</v>
      </c>
      <c r="GF3" s="166" t="s">
        <v>99</v>
      </c>
      <c r="GG3" s="166" t="s">
        <v>102</v>
      </c>
    </row>
    <row r="4" spans="2:190" ht="18.75" customHeight="1" x14ac:dyDescent="0.25">
      <c r="B4" s="187" t="s">
        <v>83</v>
      </c>
      <c r="C4">
        <v>23</v>
      </c>
      <c r="D4">
        <v>21</v>
      </c>
      <c r="E4" s="210"/>
      <c r="F4" s="210"/>
      <c r="G4" s="201"/>
      <c r="H4" s="201"/>
      <c r="I4" s="201"/>
      <c r="J4" s="5" t="s">
        <v>83</v>
      </c>
      <c r="K4" s="202">
        <f>C4-E4</f>
        <v>23</v>
      </c>
      <c r="L4" s="202">
        <f t="shared" ref="L4:L15" si="0">D4-F4</f>
        <v>21</v>
      </c>
      <c r="M4" s="202">
        <f>E4</f>
        <v>0</v>
      </c>
      <c r="N4" s="202">
        <f>F4</f>
        <v>0</v>
      </c>
      <c r="R4" s="187" t="s">
        <v>83</v>
      </c>
      <c r="S4">
        <v>34</v>
      </c>
      <c r="T4">
        <v>27</v>
      </c>
      <c r="U4" s="210"/>
      <c r="V4" s="210"/>
      <c r="W4" s="201"/>
      <c r="X4" s="201"/>
      <c r="Y4" s="201"/>
      <c r="Z4" s="5" t="s">
        <v>83</v>
      </c>
      <c r="AA4" s="202">
        <f t="shared" ref="AA4:AA15" si="1">S4-U4</f>
        <v>34</v>
      </c>
      <c r="AB4" s="202">
        <f t="shared" ref="AB4:AB15" si="2">T4-V4</f>
        <v>27</v>
      </c>
      <c r="AC4" s="202">
        <f>U4</f>
        <v>0</v>
      </c>
      <c r="AD4" s="202">
        <f>V4</f>
        <v>0</v>
      </c>
      <c r="AH4" s="187" t="s">
        <v>83</v>
      </c>
      <c r="AI4">
        <v>22</v>
      </c>
      <c r="AJ4">
        <v>20</v>
      </c>
      <c r="AK4" s="188"/>
      <c r="AL4" s="188"/>
      <c r="AM4" s="201"/>
      <c r="AN4" s="201"/>
      <c r="AO4" s="201"/>
      <c r="AP4" s="5" t="s">
        <v>83</v>
      </c>
      <c r="AQ4" s="202">
        <f t="shared" ref="AQ4:AQ15" si="3">AI4-AK4</f>
        <v>22</v>
      </c>
      <c r="AR4" s="202">
        <f t="shared" ref="AR4:AR15" si="4">AJ4-AL4</f>
        <v>20</v>
      </c>
      <c r="AS4" s="202">
        <f>AK4</f>
        <v>0</v>
      </c>
      <c r="AT4" s="202">
        <f>AL4</f>
        <v>0</v>
      </c>
      <c r="AX4" s="187" t="s">
        <v>83</v>
      </c>
      <c r="AY4">
        <v>35</v>
      </c>
      <c r="AZ4">
        <v>24</v>
      </c>
      <c r="BA4" s="188"/>
      <c r="BB4" s="188"/>
      <c r="BC4" s="201"/>
      <c r="BD4" s="201"/>
      <c r="BE4" s="201"/>
      <c r="BF4" s="5" t="s">
        <v>83</v>
      </c>
      <c r="BG4" s="202">
        <f t="shared" ref="BG4:BG15" si="5">AY4-BA4</f>
        <v>35</v>
      </c>
      <c r="BH4" s="202">
        <f t="shared" ref="BH4:BH15" si="6">AZ4-BB4</f>
        <v>24</v>
      </c>
      <c r="BI4" s="202">
        <f>BA4</f>
        <v>0</v>
      </c>
      <c r="BJ4" s="202">
        <f>BB4</f>
        <v>0</v>
      </c>
      <c r="BN4" s="308" t="s">
        <v>83</v>
      </c>
      <c r="BO4" s="299">
        <v>45</v>
      </c>
      <c r="BP4" s="299">
        <v>29</v>
      </c>
      <c r="BQ4" s="300">
        <v>0</v>
      </c>
      <c r="BR4" s="300">
        <v>0</v>
      </c>
      <c r="BS4" s="201"/>
      <c r="BT4" s="201"/>
      <c r="BU4" s="201"/>
      <c r="BV4" s="5" t="s">
        <v>83</v>
      </c>
      <c r="BW4" s="202">
        <f t="shared" ref="BW4:BW15" si="7">BO4-BQ4</f>
        <v>45</v>
      </c>
      <c r="BX4" s="202">
        <f t="shared" ref="BX4:BX15" si="8">BP4-BR4</f>
        <v>29</v>
      </c>
      <c r="BY4" s="202">
        <f>BQ4</f>
        <v>0</v>
      </c>
      <c r="BZ4" s="202">
        <f>BR4</f>
        <v>0</v>
      </c>
      <c r="CD4" s="451" t="s">
        <v>83</v>
      </c>
      <c r="CE4" s="299">
        <v>22</v>
      </c>
      <c r="CF4" s="299">
        <v>24</v>
      </c>
      <c r="CG4" s="300">
        <v>1</v>
      </c>
      <c r="CH4" s="300">
        <v>0</v>
      </c>
      <c r="CI4" s="201"/>
      <c r="CJ4" s="201"/>
      <c r="CK4" s="201"/>
      <c r="CL4" s="5" t="s">
        <v>83</v>
      </c>
      <c r="CM4" s="202">
        <f t="shared" ref="CM4:CM15" si="9">CE4-CG4</f>
        <v>21</v>
      </c>
      <c r="CN4" s="202">
        <f t="shared" ref="CN4:CN15" si="10">CF4-CH4</f>
        <v>24</v>
      </c>
      <c r="CO4" s="202">
        <f>CG4</f>
        <v>1</v>
      </c>
      <c r="CP4" s="202">
        <f>CH4</f>
        <v>0</v>
      </c>
      <c r="CT4" s="187" t="s">
        <v>83</v>
      </c>
      <c r="CU4" s="171">
        <v>22</v>
      </c>
      <c r="CV4" s="171">
        <v>38</v>
      </c>
      <c r="CW4" s="300">
        <v>0</v>
      </c>
      <c r="CX4" s="300">
        <v>0</v>
      </c>
      <c r="CY4" s="201"/>
      <c r="CZ4" s="201"/>
      <c r="DA4" s="201"/>
      <c r="DB4" s="5" t="s">
        <v>83</v>
      </c>
      <c r="DC4" s="202">
        <f t="shared" ref="DC4:DC15" si="11">CU4-CW4</f>
        <v>22</v>
      </c>
      <c r="DD4" s="202">
        <f t="shared" ref="DD4:DD15" si="12">CV4-CX4</f>
        <v>38</v>
      </c>
      <c r="DE4" s="202">
        <f>CW4</f>
        <v>0</v>
      </c>
      <c r="DF4" s="202">
        <f>CX4</f>
        <v>0</v>
      </c>
      <c r="DJ4" s="305" t="s">
        <v>83</v>
      </c>
      <c r="DK4" s="299">
        <v>36</v>
      </c>
      <c r="DL4" s="299">
        <v>23</v>
      </c>
      <c r="DM4" s="300">
        <v>0</v>
      </c>
      <c r="DN4" s="300">
        <v>0</v>
      </c>
      <c r="DO4" s="306"/>
      <c r="DP4" s="306"/>
      <c r="DQ4" s="306"/>
      <c r="DR4" s="5" t="s">
        <v>83</v>
      </c>
      <c r="DS4" s="309">
        <f t="shared" ref="DS4:DS15" si="13">DK4-DM4</f>
        <v>36</v>
      </c>
      <c r="DT4" s="309">
        <f t="shared" ref="DT4:DT15" si="14">DL4-DN4</f>
        <v>23</v>
      </c>
      <c r="DU4" s="202">
        <f>DM4</f>
        <v>0</v>
      </c>
      <c r="DV4" s="202">
        <f>DN4</f>
        <v>0</v>
      </c>
      <c r="DZ4" s="305" t="s">
        <v>83</v>
      </c>
      <c r="EA4" s="299">
        <v>7</v>
      </c>
      <c r="EB4" s="299">
        <v>13</v>
      </c>
      <c r="EC4" s="340"/>
      <c r="ED4" s="340"/>
      <c r="EE4" s="636"/>
      <c r="EF4" s="636"/>
      <c r="EG4" s="5" t="s">
        <v>83</v>
      </c>
      <c r="EH4" s="202">
        <f t="shared" ref="EH4:EH15" si="15">EA4-EC4</f>
        <v>7</v>
      </c>
      <c r="EI4" s="202">
        <f t="shared" ref="EI4:EI15" si="16">EB4-ED4</f>
        <v>13</v>
      </c>
      <c r="EJ4" s="340"/>
      <c r="EK4" s="340"/>
      <c r="EO4" s="187" t="s">
        <v>83</v>
      </c>
      <c r="EP4">
        <v>39</v>
      </c>
      <c r="EQ4">
        <v>27</v>
      </c>
      <c r="ER4" s="340"/>
      <c r="ES4" s="340"/>
      <c r="ET4" s="201"/>
      <c r="EU4" s="201"/>
      <c r="EV4" s="201"/>
      <c r="EW4" s="5" t="s">
        <v>83</v>
      </c>
      <c r="EX4" s="202">
        <f t="shared" ref="EX4:EX15" si="17">EP4-ER4</f>
        <v>39</v>
      </c>
      <c r="EY4" s="202">
        <f t="shared" ref="EY4:EY15" si="18">EQ4-ES4</f>
        <v>27</v>
      </c>
      <c r="EZ4" s="202">
        <f>ER4</f>
        <v>0</v>
      </c>
      <c r="FA4" s="202">
        <f>ES4</f>
        <v>0</v>
      </c>
      <c r="FE4" s="187" t="s">
        <v>83</v>
      </c>
      <c r="FF4">
        <v>32</v>
      </c>
      <c r="FG4">
        <v>22</v>
      </c>
      <c r="FH4" s="300">
        <v>0</v>
      </c>
      <c r="FI4" s="300">
        <v>0</v>
      </c>
      <c r="FJ4" s="655"/>
      <c r="FK4" s="656"/>
      <c r="FL4" s="657"/>
      <c r="FM4" s="5" t="s">
        <v>83</v>
      </c>
      <c r="FN4" s="202">
        <f t="shared" ref="FN4:FN15" si="19">FF4-FH4</f>
        <v>32</v>
      </c>
      <c r="FO4" s="202">
        <f t="shared" ref="FO4:FO15" si="20">FG4-FI4</f>
        <v>22</v>
      </c>
      <c r="FP4" s="202">
        <f>FH4</f>
        <v>0</v>
      </c>
      <c r="FQ4" s="202">
        <f>FI4</f>
        <v>0</v>
      </c>
      <c r="FU4" s="187" t="s">
        <v>83</v>
      </c>
      <c r="FV4">
        <v>22</v>
      </c>
      <c r="FW4">
        <v>14</v>
      </c>
      <c r="FX4" s="210"/>
      <c r="FY4" s="210"/>
      <c r="FZ4" s="201"/>
      <c r="GA4" s="201"/>
      <c r="GB4" s="201"/>
      <c r="GC4" s="5" t="s">
        <v>83</v>
      </c>
      <c r="GD4" s="202">
        <f t="shared" ref="GD4:GD15" si="21">FV4-FX4</f>
        <v>22</v>
      </c>
      <c r="GE4" s="202">
        <f t="shared" ref="GE4:GE15" si="22">FW4-FY4</f>
        <v>14</v>
      </c>
      <c r="GF4" s="202">
        <f>FX4</f>
        <v>0</v>
      </c>
      <c r="GG4" s="202">
        <f>FY4</f>
        <v>0</v>
      </c>
    </row>
    <row r="5" spans="2:190" ht="18.75" customHeight="1" x14ac:dyDescent="0.25">
      <c r="B5" s="187" t="s">
        <v>84</v>
      </c>
      <c r="C5">
        <v>13</v>
      </c>
      <c r="D5">
        <v>4</v>
      </c>
      <c r="E5" s="210">
        <v>2</v>
      </c>
      <c r="F5" s="210">
        <v>1</v>
      </c>
      <c r="G5" s="201"/>
      <c r="H5" s="201"/>
      <c r="I5" s="201"/>
      <c r="J5" s="5" t="s">
        <v>84</v>
      </c>
      <c r="K5" s="202">
        <f t="shared" ref="K5:K15" si="23">C5-E5</f>
        <v>11</v>
      </c>
      <c r="L5" s="202">
        <f t="shared" si="0"/>
        <v>3</v>
      </c>
      <c r="M5" s="202">
        <f t="shared" ref="M5:M15" si="24">E5</f>
        <v>2</v>
      </c>
      <c r="N5" s="202">
        <f t="shared" ref="N5:N15" si="25">F5</f>
        <v>1</v>
      </c>
      <c r="R5" s="187" t="s">
        <v>84</v>
      </c>
      <c r="S5">
        <v>15</v>
      </c>
      <c r="T5">
        <v>5</v>
      </c>
      <c r="U5" s="210">
        <v>1</v>
      </c>
      <c r="V5" s="210">
        <v>1</v>
      </c>
      <c r="W5" s="201"/>
      <c r="X5" s="201"/>
      <c r="Y5" s="201"/>
      <c r="Z5" s="5" t="s">
        <v>84</v>
      </c>
      <c r="AA5" s="202">
        <f t="shared" si="1"/>
        <v>14</v>
      </c>
      <c r="AB5" s="202">
        <f t="shared" si="2"/>
        <v>4</v>
      </c>
      <c r="AC5" s="202">
        <f t="shared" ref="AC5:AC15" si="26">U5</f>
        <v>1</v>
      </c>
      <c r="AD5" s="202">
        <f t="shared" ref="AD5:AD15" si="27">V5</f>
        <v>1</v>
      </c>
      <c r="AH5" s="187" t="s">
        <v>84</v>
      </c>
      <c r="AI5">
        <v>5</v>
      </c>
      <c r="AJ5">
        <v>4</v>
      </c>
      <c r="AK5" s="188"/>
      <c r="AL5" s="188"/>
      <c r="AM5" s="201"/>
      <c r="AN5" s="201"/>
      <c r="AO5" s="201"/>
      <c r="AP5" s="5" t="s">
        <v>84</v>
      </c>
      <c r="AQ5" s="202">
        <f t="shared" si="3"/>
        <v>5</v>
      </c>
      <c r="AR5" s="202">
        <f t="shared" si="4"/>
        <v>4</v>
      </c>
      <c r="AS5" s="202">
        <f t="shared" ref="AS5:AS15" si="28">AK5</f>
        <v>0</v>
      </c>
      <c r="AT5" s="202">
        <f t="shared" ref="AT5:AT15" si="29">AL5</f>
        <v>0</v>
      </c>
      <c r="AX5" s="187" t="s">
        <v>84</v>
      </c>
      <c r="AY5">
        <v>4</v>
      </c>
      <c r="AZ5">
        <v>7</v>
      </c>
      <c r="BA5" s="188"/>
      <c r="BB5" s="188">
        <v>2</v>
      </c>
      <c r="BC5" s="201"/>
      <c r="BD5" s="201"/>
      <c r="BE5" s="201"/>
      <c r="BF5" s="5" t="s">
        <v>84</v>
      </c>
      <c r="BG5" s="202">
        <f t="shared" si="5"/>
        <v>4</v>
      </c>
      <c r="BH5" s="202">
        <f t="shared" si="6"/>
        <v>5</v>
      </c>
      <c r="BI5" s="202">
        <f t="shared" ref="BI5:BI15" si="30">BA5</f>
        <v>0</v>
      </c>
      <c r="BJ5" s="202">
        <f t="shared" ref="BJ5:BJ15" si="31">BB5</f>
        <v>2</v>
      </c>
      <c r="BN5" s="308" t="s">
        <v>84</v>
      </c>
      <c r="BO5" s="299">
        <v>9</v>
      </c>
      <c r="BP5" s="299">
        <v>4</v>
      </c>
      <c r="BQ5" s="300">
        <v>1</v>
      </c>
      <c r="BR5" s="300">
        <v>0</v>
      </c>
      <c r="BS5" s="201"/>
      <c r="BT5" s="201"/>
      <c r="BU5" s="201"/>
      <c r="BV5" s="5" t="s">
        <v>84</v>
      </c>
      <c r="BW5" s="202">
        <f t="shared" si="7"/>
        <v>8</v>
      </c>
      <c r="BX5" s="202">
        <f t="shared" si="8"/>
        <v>4</v>
      </c>
      <c r="BY5" s="202">
        <f t="shared" ref="BY5:BY15" si="32">BQ5</f>
        <v>1</v>
      </c>
      <c r="BZ5" s="202">
        <f t="shared" ref="BZ5:BZ15" si="33">BR5</f>
        <v>0</v>
      </c>
      <c r="CD5" s="451" t="s">
        <v>84</v>
      </c>
      <c r="CE5" s="299">
        <v>6</v>
      </c>
      <c r="CF5" s="299">
        <v>8</v>
      </c>
      <c r="CG5" s="300">
        <v>0</v>
      </c>
      <c r="CH5" s="300">
        <v>1</v>
      </c>
      <c r="CI5" s="201"/>
      <c r="CJ5" s="201"/>
      <c r="CK5" s="201"/>
      <c r="CL5" s="5" t="s">
        <v>84</v>
      </c>
      <c r="CM5" s="202">
        <f t="shared" si="9"/>
        <v>6</v>
      </c>
      <c r="CN5" s="202">
        <f t="shared" si="10"/>
        <v>7</v>
      </c>
      <c r="CO5" s="202">
        <f t="shared" ref="CO5:CO15" si="34">CG5</f>
        <v>0</v>
      </c>
      <c r="CP5" s="202">
        <f t="shared" ref="CP5:CP15" si="35">CH5</f>
        <v>1</v>
      </c>
      <c r="CT5" s="187" t="s">
        <v>84</v>
      </c>
      <c r="CU5" s="171">
        <v>8</v>
      </c>
      <c r="CV5" s="171">
        <v>5</v>
      </c>
      <c r="CW5" s="300">
        <v>1</v>
      </c>
      <c r="CX5" s="300">
        <v>0</v>
      </c>
      <c r="CY5" s="201"/>
      <c r="CZ5" s="201"/>
      <c r="DA5" s="201"/>
      <c r="DB5" s="5" t="s">
        <v>84</v>
      </c>
      <c r="DC5" s="202">
        <f t="shared" si="11"/>
        <v>7</v>
      </c>
      <c r="DD5" s="202">
        <f t="shared" si="12"/>
        <v>5</v>
      </c>
      <c r="DE5" s="202">
        <f t="shared" ref="DE5:DE15" si="36">CW5</f>
        <v>1</v>
      </c>
      <c r="DF5" s="202">
        <f t="shared" ref="DF5:DF15" si="37">CX5</f>
        <v>0</v>
      </c>
      <c r="DJ5" s="305" t="s">
        <v>84</v>
      </c>
      <c r="DK5" s="299">
        <v>15</v>
      </c>
      <c r="DL5" s="299">
        <v>8</v>
      </c>
      <c r="DM5" s="300">
        <v>0</v>
      </c>
      <c r="DN5" s="300">
        <v>1</v>
      </c>
      <c r="DO5" s="306"/>
      <c r="DP5" s="306"/>
      <c r="DQ5" s="306"/>
      <c r="DR5" s="5" t="s">
        <v>84</v>
      </c>
      <c r="DS5" s="309">
        <f t="shared" si="13"/>
        <v>15</v>
      </c>
      <c r="DT5" s="309">
        <f t="shared" si="14"/>
        <v>7</v>
      </c>
      <c r="DU5" s="202">
        <f t="shared" ref="DU5:DU15" si="38">DM5</f>
        <v>0</v>
      </c>
      <c r="DV5" s="202">
        <f t="shared" ref="DV5:DV15" si="39">DN5</f>
        <v>1</v>
      </c>
      <c r="DZ5" s="305" t="s">
        <v>84</v>
      </c>
      <c r="EA5" s="299">
        <v>9</v>
      </c>
      <c r="EB5" s="299">
        <v>5</v>
      </c>
      <c r="EC5" s="340">
        <v>2</v>
      </c>
      <c r="ED5" s="340">
        <v>1</v>
      </c>
      <c r="EE5" s="636"/>
      <c r="EF5" s="636"/>
      <c r="EG5" s="5" t="s">
        <v>84</v>
      </c>
      <c r="EH5" s="202">
        <f t="shared" si="15"/>
        <v>7</v>
      </c>
      <c r="EI5" s="202">
        <f t="shared" si="16"/>
        <v>4</v>
      </c>
      <c r="EJ5" s="340">
        <v>2</v>
      </c>
      <c r="EK5" s="340">
        <v>1</v>
      </c>
      <c r="EO5" s="187" t="s">
        <v>84</v>
      </c>
      <c r="EP5">
        <v>13</v>
      </c>
      <c r="EQ5">
        <v>6</v>
      </c>
      <c r="ER5" s="340">
        <v>2</v>
      </c>
      <c r="ES5" s="340">
        <v>1</v>
      </c>
      <c r="ET5" s="201"/>
      <c r="EU5" s="201"/>
      <c r="EV5" s="201"/>
      <c r="EW5" s="5" t="s">
        <v>84</v>
      </c>
      <c r="EX5" s="202">
        <f t="shared" si="17"/>
        <v>11</v>
      </c>
      <c r="EY5" s="202">
        <f t="shared" si="18"/>
        <v>5</v>
      </c>
      <c r="EZ5" s="202">
        <f t="shared" ref="EZ5:EZ15" si="40">ER5</f>
        <v>2</v>
      </c>
      <c r="FA5" s="202">
        <f t="shared" ref="FA5:FA15" si="41">ES5</f>
        <v>1</v>
      </c>
      <c r="FE5" s="187" t="s">
        <v>84</v>
      </c>
      <c r="FF5">
        <v>12</v>
      </c>
      <c r="FG5">
        <v>7</v>
      </c>
      <c r="FH5" s="300">
        <v>4</v>
      </c>
      <c r="FI5" s="300">
        <v>0</v>
      </c>
      <c r="FJ5" s="658"/>
      <c r="FK5" s="659"/>
      <c r="FL5" s="660"/>
      <c r="FM5" s="5" t="s">
        <v>84</v>
      </c>
      <c r="FN5" s="202">
        <f t="shared" si="19"/>
        <v>8</v>
      </c>
      <c r="FO5" s="202">
        <f t="shared" si="20"/>
        <v>7</v>
      </c>
      <c r="FP5" s="202">
        <f t="shared" ref="FP5:FP15" si="42">FH5</f>
        <v>4</v>
      </c>
      <c r="FQ5" s="202">
        <f t="shared" ref="FQ5:FQ15" si="43">FI5</f>
        <v>0</v>
      </c>
      <c r="FU5" s="187" t="s">
        <v>84</v>
      </c>
      <c r="FV5">
        <v>6</v>
      </c>
      <c r="FW5">
        <v>4</v>
      </c>
      <c r="FX5" s="210">
        <v>2</v>
      </c>
      <c r="FY5" s="210"/>
      <c r="FZ5" s="201"/>
      <c r="GA5" s="201"/>
      <c r="GB5" s="201"/>
      <c r="GC5" s="5" t="s">
        <v>84</v>
      </c>
      <c r="GD5" s="202">
        <f t="shared" si="21"/>
        <v>4</v>
      </c>
      <c r="GE5" s="202">
        <f t="shared" si="22"/>
        <v>4</v>
      </c>
      <c r="GF5" s="202">
        <f t="shared" ref="GF5:GF15" si="44">FX5</f>
        <v>2</v>
      </c>
      <c r="GG5" s="202">
        <f t="shared" ref="GG5:GG15" si="45">FY5</f>
        <v>0</v>
      </c>
    </row>
    <row r="6" spans="2:190" ht="18.75" customHeight="1" x14ac:dyDescent="0.25">
      <c r="B6" s="187" t="s">
        <v>85</v>
      </c>
      <c r="C6">
        <v>27</v>
      </c>
      <c r="D6">
        <v>11</v>
      </c>
      <c r="E6" s="210">
        <v>3</v>
      </c>
      <c r="F6" s="210">
        <v>1</v>
      </c>
      <c r="G6" s="201"/>
      <c r="H6" s="201"/>
      <c r="I6" s="201"/>
      <c r="J6" s="5" t="s">
        <v>85</v>
      </c>
      <c r="K6" s="202">
        <f t="shared" si="23"/>
        <v>24</v>
      </c>
      <c r="L6" s="202">
        <f t="shared" si="0"/>
        <v>10</v>
      </c>
      <c r="M6" s="202">
        <f t="shared" si="24"/>
        <v>3</v>
      </c>
      <c r="N6" s="202">
        <f t="shared" si="25"/>
        <v>1</v>
      </c>
      <c r="R6" s="187" t="s">
        <v>85</v>
      </c>
      <c r="S6">
        <v>29</v>
      </c>
      <c r="T6">
        <v>22</v>
      </c>
      <c r="U6" s="210">
        <v>2</v>
      </c>
      <c r="V6" s="210"/>
      <c r="W6" s="201"/>
      <c r="X6" s="201"/>
      <c r="Y6" s="201"/>
      <c r="Z6" s="5" t="s">
        <v>85</v>
      </c>
      <c r="AA6" s="202">
        <f t="shared" si="1"/>
        <v>27</v>
      </c>
      <c r="AB6" s="202">
        <f t="shared" si="2"/>
        <v>22</v>
      </c>
      <c r="AC6" s="202">
        <f t="shared" si="26"/>
        <v>2</v>
      </c>
      <c r="AD6" s="202">
        <f t="shared" si="27"/>
        <v>0</v>
      </c>
      <c r="AH6" s="187" t="s">
        <v>85</v>
      </c>
      <c r="AI6">
        <v>34</v>
      </c>
      <c r="AJ6">
        <v>17</v>
      </c>
      <c r="AK6" s="188"/>
      <c r="AL6" s="188"/>
      <c r="AM6" s="201"/>
      <c r="AN6" s="201"/>
      <c r="AO6" s="201"/>
      <c r="AP6" s="5" t="s">
        <v>85</v>
      </c>
      <c r="AQ6" s="202">
        <f t="shared" si="3"/>
        <v>34</v>
      </c>
      <c r="AR6" s="202">
        <f t="shared" si="4"/>
        <v>17</v>
      </c>
      <c r="AS6" s="202">
        <f t="shared" si="28"/>
        <v>0</v>
      </c>
      <c r="AT6" s="202">
        <f t="shared" si="29"/>
        <v>0</v>
      </c>
      <c r="AX6" s="187" t="s">
        <v>85</v>
      </c>
      <c r="AY6">
        <v>25</v>
      </c>
      <c r="AZ6">
        <v>27</v>
      </c>
      <c r="BA6" s="188">
        <v>2</v>
      </c>
      <c r="BB6" s="188">
        <v>5</v>
      </c>
      <c r="BC6" s="201"/>
      <c r="BD6" s="201"/>
      <c r="BE6" s="201"/>
      <c r="BF6" s="5" t="s">
        <v>85</v>
      </c>
      <c r="BG6" s="202">
        <f t="shared" si="5"/>
        <v>23</v>
      </c>
      <c r="BH6" s="202">
        <f t="shared" si="6"/>
        <v>22</v>
      </c>
      <c r="BI6" s="202">
        <f t="shared" si="30"/>
        <v>2</v>
      </c>
      <c r="BJ6" s="202">
        <f t="shared" si="31"/>
        <v>5</v>
      </c>
      <c r="BN6" s="308" t="s">
        <v>85</v>
      </c>
      <c r="BO6" s="299">
        <v>26</v>
      </c>
      <c r="BP6" s="299">
        <v>16</v>
      </c>
      <c r="BQ6" s="300">
        <v>2</v>
      </c>
      <c r="BR6" s="300">
        <v>1</v>
      </c>
      <c r="BS6" s="201"/>
      <c r="BT6" s="201"/>
      <c r="BU6" s="201"/>
      <c r="BV6" s="5" t="s">
        <v>85</v>
      </c>
      <c r="BW6" s="202">
        <f t="shared" si="7"/>
        <v>24</v>
      </c>
      <c r="BX6" s="202">
        <f t="shared" si="8"/>
        <v>15</v>
      </c>
      <c r="BY6" s="202">
        <f t="shared" si="32"/>
        <v>2</v>
      </c>
      <c r="BZ6" s="202">
        <f t="shared" si="33"/>
        <v>1</v>
      </c>
      <c r="CD6" s="451" t="s">
        <v>85</v>
      </c>
      <c r="CE6" s="299">
        <v>18</v>
      </c>
      <c r="CF6" s="299">
        <v>14</v>
      </c>
      <c r="CG6" s="300">
        <v>5</v>
      </c>
      <c r="CH6" s="300">
        <v>2</v>
      </c>
      <c r="CI6" s="201"/>
      <c r="CJ6" s="201"/>
      <c r="CK6" s="201"/>
      <c r="CL6" s="5" t="s">
        <v>85</v>
      </c>
      <c r="CM6" s="202">
        <f t="shared" si="9"/>
        <v>13</v>
      </c>
      <c r="CN6" s="202">
        <f t="shared" si="10"/>
        <v>12</v>
      </c>
      <c r="CO6" s="202">
        <f t="shared" si="34"/>
        <v>5</v>
      </c>
      <c r="CP6" s="202">
        <f t="shared" si="35"/>
        <v>2</v>
      </c>
      <c r="CT6" s="187" t="s">
        <v>85</v>
      </c>
      <c r="CU6" s="171">
        <v>26</v>
      </c>
      <c r="CV6" s="171">
        <v>25</v>
      </c>
      <c r="CW6" s="300">
        <v>1</v>
      </c>
      <c r="CX6" s="300">
        <v>0</v>
      </c>
      <c r="CY6" s="201"/>
      <c r="CZ6" s="201"/>
      <c r="DA6" s="201"/>
      <c r="DB6" s="5" t="s">
        <v>85</v>
      </c>
      <c r="DC6" s="202">
        <f t="shared" si="11"/>
        <v>25</v>
      </c>
      <c r="DD6" s="202">
        <f t="shared" si="12"/>
        <v>25</v>
      </c>
      <c r="DE6" s="202">
        <f t="shared" si="36"/>
        <v>1</v>
      </c>
      <c r="DF6" s="202">
        <f t="shared" si="37"/>
        <v>0</v>
      </c>
      <c r="DJ6" s="305" t="s">
        <v>85</v>
      </c>
      <c r="DK6" s="299">
        <v>16</v>
      </c>
      <c r="DL6" s="299">
        <v>23</v>
      </c>
      <c r="DM6" s="300">
        <v>2</v>
      </c>
      <c r="DN6" s="300">
        <v>3</v>
      </c>
      <c r="DO6" s="306"/>
      <c r="DP6" s="306"/>
      <c r="DQ6" s="306"/>
      <c r="DR6" s="5" t="s">
        <v>85</v>
      </c>
      <c r="DS6" s="309">
        <f t="shared" si="13"/>
        <v>14</v>
      </c>
      <c r="DT6" s="309">
        <f t="shared" si="14"/>
        <v>20</v>
      </c>
      <c r="DU6" s="202">
        <f t="shared" si="38"/>
        <v>2</v>
      </c>
      <c r="DV6" s="202">
        <f t="shared" si="39"/>
        <v>3</v>
      </c>
      <c r="DZ6" s="305" t="s">
        <v>85</v>
      </c>
      <c r="EA6" s="299">
        <v>25</v>
      </c>
      <c r="EB6" s="299">
        <v>15</v>
      </c>
      <c r="EC6" s="340">
        <v>7</v>
      </c>
      <c r="ED6" s="340">
        <v>3</v>
      </c>
      <c r="EE6" s="636"/>
      <c r="EF6" s="636"/>
      <c r="EG6" s="5" t="s">
        <v>85</v>
      </c>
      <c r="EH6" s="202">
        <f t="shared" si="15"/>
        <v>18</v>
      </c>
      <c r="EI6" s="202">
        <f t="shared" si="16"/>
        <v>12</v>
      </c>
      <c r="EJ6" s="340">
        <v>7</v>
      </c>
      <c r="EK6" s="340">
        <v>3</v>
      </c>
      <c r="EO6" s="187" t="s">
        <v>85</v>
      </c>
      <c r="EP6">
        <v>24</v>
      </c>
      <c r="EQ6">
        <v>18</v>
      </c>
      <c r="ER6" s="340">
        <v>7</v>
      </c>
      <c r="ES6" s="340">
        <v>3</v>
      </c>
      <c r="ET6" s="201"/>
      <c r="EU6" s="201"/>
      <c r="EV6" s="201"/>
      <c r="EW6" s="5" t="s">
        <v>85</v>
      </c>
      <c r="EX6" s="202">
        <f t="shared" si="17"/>
        <v>17</v>
      </c>
      <c r="EY6" s="202">
        <f t="shared" si="18"/>
        <v>15</v>
      </c>
      <c r="EZ6" s="202">
        <f t="shared" si="40"/>
        <v>7</v>
      </c>
      <c r="FA6" s="202">
        <f t="shared" si="41"/>
        <v>3</v>
      </c>
      <c r="FE6" s="187" t="s">
        <v>85</v>
      </c>
      <c r="FF6">
        <v>28</v>
      </c>
      <c r="FG6">
        <v>23</v>
      </c>
      <c r="FH6" s="300">
        <v>1</v>
      </c>
      <c r="FI6" s="300">
        <v>3</v>
      </c>
      <c r="FJ6" s="658"/>
      <c r="FK6" s="659"/>
      <c r="FL6" s="660"/>
      <c r="FM6" s="5" t="s">
        <v>85</v>
      </c>
      <c r="FN6" s="202">
        <f t="shared" si="19"/>
        <v>27</v>
      </c>
      <c r="FO6" s="202">
        <f t="shared" si="20"/>
        <v>20</v>
      </c>
      <c r="FP6" s="202">
        <f t="shared" si="42"/>
        <v>1</v>
      </c>
      <c r="FQ6" s="202">
        <f t="shared" si="43"/>
        <v>3</v>
      </c>
      <c r="FU6" s="187" t="s">
        <v>85</v>
      </c>
      <c r="FV6">
        <v>23</v>
      </c>
      <c r="FW6">
        <v>12</v>
      </c>
      <c r="FX6" s="210">
        <v>5</v>
      </c>
      <c r="FY6" s="210">
        <v>1</v>
      </c>
      <c r="FZ6" s="201"/>
      <c r="GA6" s="201"/>
      <c r="GB6" s="201"/>
      <c r="GC6" s="5" t="s">
        <v>85</v>
      </c>
      <c r="GD6" s="202">
        <f t="shared" si="21"/>
        <v>18</v>
      </c>
      <c r="GE6" s="202">
        <f t="shared" si="22"/>
        <v>11</v>
      </c>
      <c r="GF6" s="202">
        <f t="shared" si="44"/>
        <v>5</v>
      </c>
      <c r="GG6" s="202">
        <f t="shared" si="45"/>
        <v>1</v>
      </c>
    </row>
    <row r="7" spans="2:190" ht="18.75" customHeight="1" x14ac:dyDescent="0.25">
      <c r="B7" s="187" t="s">
        <v>86</v>
      </c>
      <c r="C7">
        <v>10</v>
      </c>
      <c r="D7">
        <v>5</v>
      </c>
      <c r="E7" s="210">
        <v>3</v>
      </c>
      <c r="F7" s="210">
        <v>1</v>
      </c>
      <c r="G7" s="201"/>
      <c r="H7" s="201"/>
      <c r="I7" s="201"/>
      <c r="J7" s="5" t="s">
        <v>86</v>
      </c>
      <c r="K7" s="202">
        <f t="shared" si="23"/>
        <v>7</v>
      </c>
      <c r="L7" s="202">
        <f t="shared" si="0"/>
        <v>4</v>
      </c>
      <c r="M7" s="202">
        <f t="shared" si="24"/>
        <v>3</v>
      </c>
      <c r="N7" s="202">
        <f t="shared" si="25"/>
        <v>1</v>
      </c>
      <c r="R7" s="187" t="s">
        <v>86</v>
      </c>
      <c r="S7">
        <v>5</v>
      </c>
      <c r="T7">
        <v>7</v>
      </c>
      <c r="U7" s="210"/>
      <c r="V7" s="210">
        <v>4</v>
      </c>
      <c r="W7" s="201"/>
      <c r="X7" s="201"/>
      <c r="Y7" s="201"/>
      <c r="Z7" s="5" t="s">
        <v>86</v>
      </c>
      <c r="AA7" s="202">
        <f t="shared" si="1"/>
        <v>5</v>
      </c>
      <c r="AB7" s="202">
        <f t="shared" si="2"/>
        <v>3</v>
      </c>
      <c r="AC7" s="202">
        <f t="shared" si="26"/>
        <v>0</v>
      </c>
      <c r="AD7" s="202">
        <f t="shared" si="27"/>
        <v>4</v>
      </c>
      <c r="AH7" s="187" t="s">
        <v>86</v>
      </c>
      <c r="AI7">
        <v>8</v>
      </c>
      <c r="AJ7">
        <v>4</v>
      </c>
      <c r="AK7" s="188"/>
      <c r="AL7" s="188"/>
      <c r="AM7" s="201"/>
      <c r="AN7" s="201"/>
      <c r="AO7" s="201"/>
      <c r="AP7" s="5" t="s">
        <v>86</v>
      </c>
      <c r="AQ7" s="202">
        <f t="shared" si="3"/>
        <v>8</v>
      </c>
      <c r="AR7" s="202">
        <f t="shared" si="4"/>
        <v>4</v>
      </c>
      <c r="AS7" s="202">
        <f t="shared" si="28"/>
        <v>0</v>
      </c>
      <c r="AT7" s="202">
        <f t="shared" si="29"/>
        <v>0</v>
      </c>
      <c r="AX7" s="187" t="s">
        <v>86</v>
      </c>
      <c r="AY7">
        <v>21</v>
      </c>
      <c r="AZ7">
        <v>6</v>
      </c>
      <c r="BA7" s="188">
        <v>1</v>
      </c>
      <c r="BB7" s="188">
        <v>4</v>
      </c>
      <c r="BC7" s="201"/>
      <c r="BD7" s="201"/>
      <c r="BE7" s="201"/>
      <c r="BF7" s="5" t="s">
        <v>86</v>
      </c>
      <c r="BG7" s="202">
        <f t="shared" si="5"/>
        <v>20</v>
      </c>
      <c r="BH7" s="202">
        <f t="shared" si="6"/>
        <v>2</v>
      </c>
      <c r="BI7" s="202">
        <f t="shared" si="30"/>
        <v>1</v>
      </c>
      <c r="BJ7" s="202">
        <f t="shared" si="31"/>
        <v>4</v>
      </c>
      <c r="BN7" s="308" t="s">
        <v>86</v>
      </c>
      <c r="BO7" s="299">
        <v>14</v>
      </c>
      <c r="BP7" s="299">
        <v>15</v>
      </c>
      <c r="BQ7" s="300">
        <v>8</v>
      </c>
      <c r="BR7" s="300">
        <v>1</v>
      </c>
      <c r="BS7" s="201"/>
      <c r="BT7" s="201"/>
      <c r="BU7" s="201"/>
      <c r="BV7" s="5" t="s">
        <v>86</v>
      </c>
      <c r="BW7" s="202">
        <f t="shared" si="7"/>
        <v>6</v>
      </c>
      <c r="BX7" s="202">
        <f t="shared" si="8"/>
        <v>14</v>
      </c>
      <c r="BY7" s="202">
        <f t="shared" si="32"/>
        <v>8</v>
      </c>
      <c r="BZ7" s="202">
        <f t="shared" si="33"/>
        <v>1</v>
      </c>
      <c r="CD7" s="451" t="s">
        <v>86</v>
      </c>
      <c r="CE7" s="299">
        <v>9</v>
      </c>
      <c r="CF7" s="299">
        <v>6</v>
      </c>
      <c r="CG7" s="300">
        <v>2</v>
      </c>
      <c r="CH7" s="300">
        <v>2</v>
      </c>
      <c r="CI7" s="201"/>
      <c r="CJ7" s="201"/>
      <c r="CK7" s="201"/>
      <c r="CL7" s="5" t="s">
        <v>86</v>
      </c>
      <c r="CM7" s="202">
        <f t="shared" si="9"/>
        <v>7</v>
      </c>
      <c r="CN7" s="202">
        <f t="shared" si="10"/>
        <v>4</v>
      </c>
      <c r="CO7" s="202">
        <f t="shared" si="34"/>
        <v>2</v>
      </c>
      <c r="CP7" s="202">
        <f t="shared" si="35"/>
        <v>2</v>
      </c>
      <c r="CT7" s="187" t="s">
        <v>86</v>
      </c>
      <c r="CU7" s="171">
        <v>16</v>
      </c>
      <c r="CV7" s="171">
        <v>17</v>
      </c>
      <c r="CW7" s="300">
        <v>1</v>
      </c>
      <c r="CX7" s="300">
        <v>3</v>
      </c>
      <c r="CY7" s="201"/>
      <c r="CZ7" s="201"/>
      <c r="DA7" s="201"/>
      <c r="DB7" s="5" t="s">
        <v>86</v>
      </c>
      <c r="DC7" s="202">
        <f t="shared" si="11"/>
        <v>15</v>
      </c>
      <c r="DD7" s="202">
        <f t="shared" si="12"/>
        <v>14</v>
      </c>
      <c r="DE7" s="202">
        <f t="shared" si="36"/>
        <v>1</v>
      </c>
      <c r="DF7" s="202">
        <f t="shared" si="37"/>
        <v>3</v>
      </c>
      <c r="DJ7" s="305" t="s">
        <v>86</v>
      </c>
      <c r="DK7" s="299">
        <v>14</v>
      </c>
      <c r="DL7" s="299">
        <v>18</v>
      </c>
      <c r="DM7" s="300">
        <v>7</v>
      </c>
      <c r="DN7" s="300">
        <v>4</v>
      </c>
      <c r="DO7" s="306"/>
      <c r="DP7" s="306"/>
      <c r="DQ7" s="306"/>
      <c r="DR7" s="5" t="s">
        <v>86</v>
      </c>
      <c r="DS7" s="309">
        <f t="shared" si="13"/>
        <v>7</v>
      </c>
      <c r="DT7" s="309">
        <f t="shared" si="14"/>
        <v>14</v>
      </c>
      <c r="DU7" s="202">
        <f t="shared" si="38"/>
        <v>7</v>
      </c>
      <c r="DV7" s="202">
        <f t="shared" si="39"/>
        <v>4</v>
      </c>
      <c r="DZ7" s="305" t="s">
        <v>86</v>
      </c>
      <c r="EA7" s="299">
        <v>13</v>
      </c>
      <c r="EB7" s="299">
        <v>24</v>
      </c>
      <c r="EC7" s="340">
        <v>7</v>
      </c>
      <c r="ED7" s="340">
        <v>1</v>
      </c>
      <c r="EE7" s="636"/>
      <c r="EF7" s="636"/>
      <c r="EG7" s="5" t="s">
        <v>86</v>
      </c>
      <c r="EH7" s="202">
        <f t="shared" si="15"/>
        <v>6</v>
      </c>
      <c r="EI7" s="202">
        <f t="shared" si="16"/>
        <v>23</v>
      </c>
      <c r="EJ7" s="340">
        <v>7</v>
      </c>
      <c r="EK7" s="340">
        <v>1</v>
      </c>
      <c r="EO7" s="187" t="s">
        <v>86</v>
      </c>
      <c r="EP7">
        <v>18</v>
      </c>
      <c r="EQ7">
        <v>17</v>
      </c>
      <c r="ER7" s="340">
        <v>7</v>
      </c>
      <c r="ES7" s="340">
        <v>1</v>
      </c>
      <c r="ET7" s="201"/>
      <c r="EU7" s="201"/>
      <c r="EV7" s="201"/>
      <c r="EW7" s="5" t="s">
        <v>86</v>
      </c>
      <c r="EX7" s="202">
        <f t="shared" si="17"/>
        <v>11</v>
      </c>
      <c r="EY7" s="202">
        <f t="shared" si="18"/>
        <v>16</v>
      </c>
      <c r="EZ7" s="202">
        <f t="shared" si="40"/>
        <v>7</v>
      </c>
      <c r="FA7" s="202">
        <f t="shared" si="41"/>
        <v>1</v>
      </c>
      <c r="FE7" s="187" t="s">
        <v>86</v>
      </c>
      <c r="FF7">
        <v>19</v>
      </c>
      <c r="FG7">
        <v>16</v>
      </c>
      <c r="FH7" s="300">
        <v>1</v>
      </c>
      <c r="FI7" s="300">
        <v>5</v>
      </c>
      <c r="FJ7" s="658"/>
      <c r="FK7" s="659"/>
      <c r="FL7" s="660"/>
      <c r="FM7" s="5" t="s">
        <v>86</v>
      </c>
      <c r="FN7" s="202">
        <f t="shared" si="19"/>
        <v>18</v>
      </c>
      <c r="FO7" s="202">
        <f t="shared" si="20"/>
        <v>11</v>
      </c>
      <c r="FP7" s="202">
        <f t="shared" si="42"/>
        <v>1</v>
      </c>
      <c r="FQ7" s="202">
        <f t="shared" si="43"/>
        <v>5</v>
      </c>
      <c r="FU7" s="187" t="s">
        <v>86</v>
      </c>
      <c r="FV7">
        <v>10</v>
      </c>
      <c r="FW7">
        <v>5</v>
      </c>
      <c r="FX7" s="210">
        <v>3</v>
      </c>
      <c r="FY7" s="210">
        <v>1</v>
      </c>
      <c r="FZ7" s="201"/>
      <c r="GA7" s="201"/>
      <c r="GB7" s="201"/>
      <c r="GC7" s="5" t="s">
        <v>86</v>
      </c>
      <c r="GD7" s="202">
        <f t="shared" si="21"/>
        <v>7</v>
      </c>
      <c r="GE7" s="202">
        <f t="shared" si="22"/>
        <v>4</v>
      </c>
      <c r="GF7" s="202">
        <f t="shared" si="44"/>
        <v>3</v>
      </c>
      <c r="GG7" s="202">
        <f t="shared" si="45"/>
        <v>1</v>
      </c>
    </row>
    <row r="8" spans="2:190" ht="18.75" customHeight="1" x14ac:dyDescent="0.25">
      <c r="B8" s="187" t="s">
        <v>87</v>
      </c>
      <c r="C8">
        <v>6</v>
      </c>
      <c r="D8">
        <v>5</v>
      </c>
      <c r="E8" s="210">
        <v>3</v>
      </c>
      <c r="F8" s="210">
        <v>0</v>
      </c>
      <c r="G8" s="201"/>
      <c r="H8" s="201"/>
      <c r="I8" s="201"/>
      <c r="J8" s="5" t="s">
        <v>87</v>
      </c>
      <c r="K8" s="202">
        <f t="shared" si="23"/>
        <v>3</v>
      </c>
      <c r="L8" s="202">
        <f t="shared" si="0"/>
        <v>5</v>
      </c>
      <c r="M8" s="202">
        <f t="shared" si="24"/>
        <v>3</v>
      </c>
      <c r="N8" s="202">
        <f t="shared" si="25"/>
        <v>0</v>
      </c>
      <c r="R8" s="187" t="s">
        <v>87</v>
      </c>
      <c r="S8">
        <v>4</v>
      </c>
      <c r="T8">
        <v>5</v>
      </c>
      <c r="U8" s="210">
        <v>3</v>
      </c>
      <c r="V8" s="210">
        <v>3</v>
      </c>
      <c r="W8" s="201"/>
      <c r="X8" s="201"/>
      <c r="Y8" s="201"/>
      <c r="Z8" s="5" t="s">
        <v>87</v>
      </c>
      <c r="AA8" s="202">
        <f t="shared" si="1"/>
        <v>1</v>
      </c>
      <c r="AB8" s="202">
        <f t="shared" si="2"/>
        <v>2</v>
      </c>
      <c r="AC8" s="202">
        <f t="shared" si="26"/>
        <v>3</v>
      </c>
      <c r="AD8" s="202">
        <f t="shared" si="27"/>
        <v>3</v>
      </c>
      <c r="AH8" s="187" t="s">
        <v>87</v>
      </c>
      <c r="AI8">
        <v>6</v>
      </c>
      <c r="AJ8">
        <v>7</v>
      </c>
      <c r="AK8" s="188"/>
      <c r="AL8" s="188"/>
      <c r="AM8" s="201"/>
      <c r="AN8" s="201"/>
      <c r="AO8" s="201"/>
      <c r="AP8" s="5" t="s">
        <v>87</v>
      </c>
      <c r="AQ8" s="202">
        <f t="shared" si="3"/>
        <v>6</v>
      </c>
      <c r="AR8" s="202">
        <f t="shared" si="4"/>
        <v>7</v>
      </c>
      <c r="AS8" s="202">
        <f t="shared" si="28"/>
        <v>0</v>
      </c>
      <c r="AT8" s="202">
        <f t="shared" si="29"/>
        <v>0</v>
      </c>
      <c r="AX8" s="187" t="s">
        <v>87</v>
      </c>
      <c r="AY8">
        <v>10</v>
      </c>
      <c r="AZ8">
        <v>10</v>
      </c>
      <c r="BA8" s="188">
        <v>3</v>
      </c>
      <c r="BB8" s="188">
        <v>1</v>
      </c>
      <c r="BC8" s="201"/>
      <c r="BD8" s="201"/>
      <c r="BE8" s="201"/>
      <c r="BF8" s="5" t="s">
        <v>87</v>
      </c>
      <c r="BG8" s="202">
        <f t="shared" si="5"/>
        <v>7</v>
      </c>
      <c r="BH8" s="202">
        <f t="shared" si="6"/>
        <v>9</v>
      </c>
      <c r="BI8" s="202">
        <f t="shared" si="30"/>
        <v>3</v>
      </c>
      <c r="BJ8" s="202">
        <f t="shared" si="31"/>
        <v>1</v>
      </c>
      <c r="BN8" s="308" t="s">
        <v>87</v>
      </c>
      <c r="BO8" s="299">
        <v>11</v>
      </c>
      <c r="BP8" s="299">
        <v>7</v>
      </c>
      <c r="BQ8" s="300">
        <v>6</v>
      </c>
      <c r="BR8" s="300">
        <v>3</v>
      </c>
      <c r="BS8" s="201"/>
      <c r="BT8" s="201"/>
      <c r="BU8" s="201"/>
      <c r="BV8" s="5" t="s">
        <v>87</v>
      </c>
      <c r="BW8" s="202">
        <f t="shared" si="7"/>
        <v>5</v>
      </c>
      <c r="BX8" s="202">
        <f t="shared" si="8"/>
        <v>4</v>
      </c>
      <c r="BY8" s="202">
        <f t="shared" si="32"/>
        <v>6</v>
      </c>
      <c r="BZ8" s="202">
        <f t="shared" si="33"/>
        <v>3</v>
      </c>
      <c r="CD8" s="451" t="s">
        <v>87</v>
      </c>
      <c r="CE8" s="299">
        <v>3</v>
      </c>
      <c r="CF8" s="299">
        <v>5</v>
      </c>
      <c r="CG8" s="300"/>
      <c r="CH8" s="300">
        <v>1</v>
      </c>
      <c r="CI8" s="201"/>
      <c r="CJ8" s="201"/>
      <c r="CK8" s="201"/>
      <c r="CL8" s="5" t="s">
        <v>87</v>
      </c>
      <c r="CM8" s="202">
        <f t="shared" si="9"/>
        <v>3</v>
      </c>
      <c r="CN8" s="202">
        <f t="shared" si="10"/>
        <v>4</v>
      </c>
      <c r="CO8" s="202">
        <f t="shared" si="34"/>
        <v>0</v>
      </c>
      <c r="CP8" s="202">
        <f t="shared" si="35"/>
        <v>1</v>
      </c>
      <c r="CT8" s="187" t="s">
        <v>87</v>
      </c>
      <c r="CU8" s="171">
        <v>16</v>
      </c>
      <c r="CV8" s="171">
        <v>6</v>
      </c>
      <c r="CW8" s="300">
        <v>4</v>
      </c>
      <c r="CX8" s="300">
        <v>3</v>
      </c>
      <c r="CY8" s="201"/>
      <c r="CZ8" s="201"/>
      <c r="DA8" s="201"/>
      <c r="DB8" s="5" t="s">
        <v>87</v>
      </c>
      <c r="DC8" s="202">
        <f t="shared" si="11"/>
        <v>12</v>
      </c>
      <c r="DD8" s="202">
        <f t="shared" si="12"/>
        <v>3</v>
      </c>
      <c r="DE8" s="202">
        <f t="shared" si="36"/>
        <v>4</v>
      </c>
      <c r="DF8" s="202">
        <f t="shared" si="37"/>
        <v>3</v>
      </c>
      <c r="DJ8" s="305" t="s">
        <v>87</v>
      </c>
      <c r="DK8" s="299">
        <v>14</v>
      </c>
      <c r="DL8" s="299">
        <v>14</v>
      </c>
      <c r="DM8" s="300">
        <v>2</v>
      </c>
      <c r="DN8" s="300">
        <v>4</v>
      </c>
      <c r="DO8" s="306"/>
      <c r="DP8" s="306"/>
      <c r="DQ8" s="306"/>
      <c r="DR8" s="5" t="s">
        <v>87</v>
      </c>
      <c r="DS8" s="309">
        <f t="shared" si="13"/>
        <v>12</v>
      </c>
      <c r="DT8" s="309">
        <f t="shared" si="14"/>
        <v>10</v>
      </c>
      <c r="DU8" s="202">
        <f t="shared" si="38"/>
        <v>2</v>
      </c>
      <c r="DV8" s="202">
        <f t="shared" si="39"/>
        <v>4</v>
      </c>
      <c r="DZ8" s="305" t="s">
        <v>87</v>
      </c>
      <c r="EA8" s="299">
        <v>6</v>
      </c>
      <c r="EB8" s="299">
        <v>30</v>
      </c>
      <c r="EC8" s="340">
        <v>1</v>
      </c>
      <c r="ED8" s="340">
        <v>2</v>
      </c>
      <c r="EE8" s="636"/>
      <c r="EF8" s="636"/>
      <c r="EG8" s="5" t="s">
        <v>87</v>
      </c>
      <c r="EH8" s="202">
        <f t="shared" si="15"/>
        <v>5</v>
      </c>
      <c r="EI8" s="202">
        <f t="shared" si="16"/>
        <v>28</v>
      </c>
      <c r="EJ8" s="340">
        <v>1</v>
      </c>
      <c r="EK8" s="340">
        <v>2</v>
      </c>
      <c r="EO8" s="187" t="s">
        <v>87</v>
      </c>
      <c r="EP8">
        <v>9</v>
      </c>
      <c r="EQ8">
        <v>9</v>
      </c>
      <c r="ER8" s="340">
        <v>1</v>
      </c>
      <c r="ES8" s="340">
        <v>2</v>
      </c>
      <c r="ET8" s="201"/>
      <c r="EU8" s="201"/>
      <c r="EV8" s="201"/>
      <c r="EW8" s="5" t="s">
        <v>87</v>
      </c>
      <c r="EX8" s="202">
        <f t="shared" si="17"/>
        <v>8</v>
      </c>
      <c r="EY8" s="202">
        <f t="shared" si="18"/>
        <v>7</v>
      </c>
      <c r="EZ8" s="202">
        <f t="shared" si="40"/>
        <v>1</v>
      </c>
      <c r="FA8" s="202">
        <f t="shared" si="41"/>
        <v>2</v>
      </c>
      <c r="FE8" s="187" t="s">
        <v>87</v>
      </c>
      <c r="FF8">
        <v>10</v>
      </c>
      <c r="FG8">
        <v>15</v>
      </c>
      <c r="FH8" s="300">
        <v>2</v>
      </c>
      <c r="FI8" s="300">
        <v>2</v>
      </c>
      <c r="FJ8" s="658"/>
      <c r="FK8" s="659"/>
      <c r="FL8" s="660"/>
      <c r="FM8" s="5" t="s">
        <v>87</v>
      </c>
      <c r="FN8" s="202">
        <f t="shared" si="19"/>
        <v>8</v>
      </c>
      <c r="FO8" s="202">
        <f t="shared" si="20"/>
        <v>13</v>
      </c>
      <c r="FP8" s="202">
        <f t="shared" si="42"/>
        <v>2</v>
      </c>
      <c r="FQ8" s="202">
        <f t="shared" si="43"/>
        <v>2</v>
      </c>
      <c r="FU8" s="187" t="s">
        <v>87</v>
      </c>
      <c r="FV8">
        <v>7</v>
      </c>
      <c r="FW8">
        <v>7</v>
      </c>
      <c r="FX8" s="210">
        <v>1</v>
      </c>
      <c r="FY8" s="210">
        <v>1</v>
      </c>
      <c r="FZ8" s="201"/>
      <c r="GA8" s="201"/>
      <c r="GB8" s="201"/>
      <c r="GC8" s="5" t="s">
        <v>87</v>
      </c>
      <c r="GD8" s="202">
        <f t="shared" si="21"/>
        <v>6</v>
      </c>
      <c r="GE8" s="202">
        <f t="shared" si="22"/>
        <v>6</v>
      </c>
      <c r="GF8" s="202">
        <f t="shared" si="44"/>
        <v>1</v>
      </c>
      <c r="GG8" s="202">
        <f t="shared" si="45"/>
        <v>1</v>
      </c>
    </row>
    <row r="9" spans="2:190" ht="18.75" customHeight="1" x14ac:dyDescent="0.25">
      <c r="B9" s="187" t="s">
        <v>88</v>
      </c>
      <c r="C9">
        <v>3</v>
      </c>
      <c r="D9">
        <v>12</v>
      </c>
      <c r="E9" s="210">
        <v>1</v>
      </c>
      <c r="F9" s="210">
        <v>0</v>
      </c>
      <c r="G9" s="201"/>
      <c r="H9" s="201"/>
      <c r="I9" s="201"/>
      <c r="J9" s="5" t="s">
        <v>88</v>
      </c>
      <c r="K9" s="202">
        <f t="shared" si="23"/>
        <v>2</v>
      </c>
      <c r="L9" s="202">
        <f t="shared" si="0"/>
        <v>12</v>
      </c>
      <c r="M9" s="202">
        <f t="shared" si="24"/>
        <v>1</v>
      </c>
      <c r="N9" s="202">
        <f t="shared" si="25"/>
        <v>0</v>
      </c>
      <c r="R9" s="187" t="s">
        <v>88</v>
      </c>
      <c r="S9">
        <v>6</v>
      </c>
      <c r="T9">
        <v>15</v>
      </c>
      <c r="U9" s="210"/>
      <c r="V9" s="210"/>
      <c r="W9" s="201"/>
      <c r="X9" s="201"/>
      <c r="Y9" s="201"/>
      <c r="Z9" s="5" t="s">
        <v>88</v>
      </c>
      <c r="AA9" s="202">
        <f t="shared" si="1"/>
        <v>6</v>
      </c>
      <c r="AB9" s="202">
        <f t="shared" si="2"/>
        <v>15</v>
      </c>
      <c r="AC9" s="202">
        <f t="shared" si="26"/>
        <v>0</v>
      </c>
      <c r="AD9" s="202">
        <f t="shared" si="27"/>
        <v>0</v>
      </c>
      <c r="AH9" s="187" t="s">
        <v>88</v>
      </c>
      <c r="AI9">
        <v>3</v>
      </c>
      <c r="AJ9">
        <v>19</v>
      </c>
      <c r="AK9" s="188"/>
      <c r="AL9" s="188"/>
      <c r="AM9" s="201"/>
      <c r="AN9" s="201"/>
      <c r="AO9" s="201"/>
      <c r="AP9" s="5" t="s">
        <v>88</v>
      </c>
      <c r="AQ9" s="202">
        <f t="shared" si="3"/>
        <v>3</v>
      </c>
      <c r="AR9" s="202">
        <f t="shared" si="4"/>
        <v>19</v>
      </c>
      <c r="AS9" s="202">
        <f t="shared" si="28"/>
        <v>0</v>
      </c>
      <c r="AT9" s="202">
        <f t="shared" si="29"/>
        <v>0</v>
      </c>
      <c r="AX9" s="187" t="s">
        <v>88</v>
      </c>
      <c r="AY9">
        <v>7</v>
      </c>
      <c r="AZ9">
        <v>21</v>
      </c>
      <c r="BA9" s="188">
        <v>4</v>
      </c>
      <c r="BB9" s="188">
        <v>4</v>
      </c>
      <c r="BC9" s="201"/>
      <c r="BD9" s="201"/>
      <c r="BE9" s="201"/>
      <c r="BF9" s="5" t="s">
        <v>88</v>
      </c>
      <c r="BG9" s="202">
        <f t="shared" si="5"/>
        <v>3</v>
      </c>
      <c r="BH9" s="202">
        <f t="shared" si="6"/>
        <v>17</v>
      </c>
      <c r="BI9" s="202">
        <f t="shared" si="30"/>
        <v>4</v>
      </c>
      <c r="BJ9" s="202">
        <f t="shared" si="31"/>
        <v>4</v>
      </c>
      <c r="BN9" s="308" t="s">
        <v>88</v>
      </c>
      <c r="BO9" s="299">
        <v>13</v>
      </c>
      <c r="BP9" s="299">
        <v>20</v>
      </c>
      <c r="BQ9" s="300">
        <v>3</v>
      </c>
      <c r="BR9" s="300">
        <v>3</v>
      </c>
      <c r="BS9" s="201"/>
      <c r="BT9" s="201"/>
      <c r="BU9" s="201"/>
      <c r="BV9" s="5" t="s">
        <v>88</v>
      </c>
      <c r="BW9" s="202">
        <f t="shared" si="7"/>
        <v>10</v>
      </c>
      <c r="BX9" s="202">
        <f t="shared" si="8"/>
        <v>17</v>
      </c>
      <c r="BY9" s="202">
        <f t="shared" si="32"/>
        <v>3</v>
      </c>
      <c r="BZ9" s="202">
        <f t="shared" si="33"/>
        <v>3</v>
      </c>
      <c r="CD9" s="451" t="s">
        <v>88</v>
      </c>
      <c r="CE9" s="299">
        <v>5</v>
      </c>
      <c r="CF9" s="299">
        <v>14</v>
      </c>
      <c r="CG9" s="300">
        <v>2</v>
      </c>
      <c r="CH9" s="300">
        <v>2</v>
      </c>
      <c r="CI9" s="201"/>
      <c r="CJ9" s="201"/>
      <c r="CK9" s="201"/>
      <c r="CL9" s="5" t="s">
        <v>88</v>
      </c>
      <c r="CM9" s="202">
        <f t="shared" si="9"/>
        <v>3</v>
      </c>
      <c r="CN9" s="202">
        <f t="shared" si="10"/>
        <v>12</v>
      </c>
      <c r="CO9" s="202">
        <f t="shared" si="34"/>
        <v>2</v>
      </c>
      <c r="CP9" s="202">
        <f t="shared" si="35"/>
        <v>2</v>
      </c>
      <c r="CT9" s="187" t="s">
        <v>88</v>
      </c>
      <c r="CU9" s="171">
        <v>8</v>
      </c>
      <c r="CV9" s="171">
        <v>14</v>
      </c>
      <c r="CW9" s="300">
        <v>2</v>
      </c>
      <c r="CX9" s="300">
        <v>3</v>
      </c>
      <c r="CY9" s="201"/>
      <c r="CZ9" s="201"/>
      <c r="DA9" s="201"/>
      <c r="DB9" s="5" t="s">
        <v>88</v>
      </c>
      <c r="DC9" s="202">
        <f t="shared" si="11"/>
        <v>6</v>
      </c>
      <c r="DD9" s="202">
        <f t="shared" si="12"/>
        <v>11</v>
      </c>
      <c r="DE9" s="202">
        <f t="shared" si="36"/>
        <v>2</v>
      </c>
      <c r="DF9" s="202">
        <f t="shared" si="37"/>
        <v>3</v>
      </c>
      <c r="DJ9" s="305" t="s">
        <v>88</v>
      </c>
      <c r="DK9" s="299">
        <v>10</v>
      </c>
      <c r="DL9" s="299">
        <v>20</v>
      </c>
      <c r="DM9" s="300">
        <v>4</v>
      </c>
      <c r="DN9" s="300">
        <v>5</v>
      </c>
      <c r="DO9" s="306"/>
      <c r="DP9" s="306"/>
      <c r="DQ9" s="306"/>
      <c r="DR9" s="5" t="s">
        <v>88</v>
      </c>
      <c r="DS9" s="309">
        <f t="shared" si="13"/>
        <v>6</v>
      </c>
      <c r="DT9" s="309">
        <f t="shared" si="14"/>
        <v>15</v>
      </c>
      <c r="DU9" s="202">
        <f t="shared" si="38"/>
        <v>4</v>
      </c>
      <c r="DV9" s="202">
        <f t="shared" si="39"/>
        <v>5</v>
      </c>
      <c r="DZ9" s="305" t="s">
        <v>88</v>
      </c>
      <c r="EA9" s="299">
        <v>24</v>
      </c>
      <c r="EB9" s="299">
        <v>225</v>
      </c>
      <c r="EC9" s="340">
        <v>2</v>
      </c>
      <c r="ED9" s="340"/>
      <c r="EE9" s="636"/>
      <c r="EF9" s="636"/>
      <c r="EG9" s="5" t="s">
        <v>88</v>
      </c>
      <c r="EH9" s="202">
        <f t="shared" si="15"/>
        <v>22</v>
      </c>
      <c r="EI9" s="202">
        <f t="shared" si="16"/>
        <v>225</v>
      </c>
      <c r="EJ9" s="340">
        <v>2</v>
      </c>
      <c r="EK9" s="340"/>
      <c r="EO9" s="187" t="s">
        <v>88</v>
      </c>
      <c r="EP9">
        <v>6</v>
      </c>
      <c r="EQ9">
        <v>16</v>
      </c>
      <c r="ER9" s="340">
        <v>2</v>
      </c>
      <c r="ES9" s="340"/>
      <c r="ET9" s="201"/>
      <c r="EU9" s="201"/>
      <c r="EV9" s="201"/>
      <c r="EW9" s="5" t="s">
        <v>88</v>
      </c>
      <c r="EX9" s="202">
        <f t="shared" si="17"/>
        <v>4</v>
      </c>
      <c r="EY9" s="202">
        <f t="shared" si="18"/>
        <v>16</v>
      </c>
      <c r="EZ9" s="202">
        <f t="shared" si="40"/>
        <v>2</v>
      </c>
      <c r="FA9" s="202">
        <f t="shared" si="41"/>
        <v>0</v>
      </c>
      <c r="FE9" s="187" t="s">
        <v>88</v>
      </c>
      <c r="FF9">
        <v>13</v>
      </c>
      <c r="FG9">
        <v>24</v>
      </c>
      <c r="FH9" s="300">
        <v>0</v>
      </c>
      <c r="FI9" s="300">
        <v>5</v>
      </c>
      <c r="FJ9" s="658"/>
      <c r="FK9" s="659"/>
      <c r="FL9" s="660"/>
      <c r="FM9" s="5" t="s">
        <v>88</v>
      </c>
      <c r="FN9" s="202">
        <f t="shared" si="19"/>
        <v>13</v>
      </c>
      <c r="FO9" s="202">
        <f t="shared" si="20"/>
        <v>19</v>
      </c>
      <c r="FP9" s="202">
        <f t="shared" si="42"/>
        <v>0</v>
      </c>
      <c r="FQ9" s="202">
        <f t="shared" si="43"/>
        <v>5</v>
      </c>
      <c r="FU9" s="187" t="s">
        <v>88</v>
      </c>
      <c r="FV9">
        <v>8</v>
      </c>
      <c r="FW9">
        <v>16</v>
      </c>
      <c r="FX9" s="210">
        <v>1</v>
      </c>
      <c r="FY9" s="210">
        <v>2</v>
      </c>
      <c r="FZ9" s="201"/>
      <c r="GA9" s="201"/>
      <c r="GB9" s="201"/>
      <c r="GC9" s="5" t="s">
        <v>88</v>
      </c>
      <c r="GD9" s="202">
        <f t="shared" si="21"/>
        <v>7</v>
      </c>
      <c r="GE9" s="202">
        <f t="shared" si="22"/>
        <v>14</v>
      </c>
      <c r="GF9" s="202">
        <f t="shared" si="44"/>
        <v>1</v>
      </c>
      <c r="GG9" s="202">
        <f t="shared" si="45"/>
        <v>2</v>
      </c>
    </row>
    <row r="10" spans="2:190" ht="18.75" customHeight="1" x14ac:dyDescent="0.25">
      <c r="B10" s="187" t="s">
        <v>89</v>
      </c>
      <c r="C10">
        <v>3</v>
      </c>
      <c r="D10">
        <v>21</v>
      </c>
      <c r="E10" s="210">
        <v>1</v>
      </c>
      <c r="F10" s="210">
        <v>1</v>
      </c>
      <c r="G10" s="201"/>
      <c r="H10" s="201"/>
      <c r="I10" s="201"/>
      <c r="J10" s="5" t="s">
        <v>89</v>
      </c>
      <c r="K10" s="202">
        <f t="shared" si="23"/>
        <v>2</v>
      </c>
      <c r="L10" s="202">
        <f t="shared" si="0"/>
        <v>20</v>
      </c>
      <c r="M10" s="202">
        <f t="shared" si="24"/>
        <v>1</v>
      </c>
      <c r="N10" s="202">
        <f t="shared" si="25"/>
        <v>1</v>
      </c>
      <c r="R10" s="187" t="s">
        <v>89</v>
      </c>
      <c r="S10">
        <v>8</v>
      </c>
      <c r="T10">
        <v>16</v>
      </c>
      <c r="U10" s="210">
        <v>1</v>
      </c>
      <c r="V10" s="210">
        <v>1</v>
      </c>
      <c r="W10" s="201"/>
      <c r="X10" s="201"/>
      <c r="Y10" s="201"/>
      <c r="Z10" s="5" t="s">
        <v>89</v>
      </c>
      <c r="AA10" s="202">
        <f t="shared" si="1"/>
        <v>7</v>
      </c>
      <c r="AB10" s="202">
        <f t="shared" si="2"/>
        <v>15</v>
      </c>
      <c r="AC10" s="202">
        <f t="shared" si="26"/>
        <v>1</v>
      </c>
      <c r="AD10" s="202">
        <f t="shared" si="27"/>
        <v>1</v>
      </c>
      <c r="AH10" s="187" t="s">
        <v>89</v>
      </c>
      <c r="AI10">
        <v>4</v>
      </c>
      <c r="AJ10">
        <v>15</v>
      </c>
      <c r="AK10" s="188"/>
      <c r="AL10" s="188"/>
      <c r="AM10" s="201"/>
      <c r="AN10" s="201"/>
      <c r="AO10" s="201"/>
      <c r="AP10" s="5" t="s">
        <v>89</v>
      </c>
      <c r="AQ10" s="202">
        <f t="shared" si="3"/>
        <v>4</v>
      </c>
      <c r="AR10" s="202">
        <f t="shared" si="4"/>
        <v>15</v>
      </c>
      <c r="AS10" s="202">
        <f t="shared" si="28"/>
        <v>0</v>
      </c>
      <c r="AT10" s="202">
        <f t="shared" si="29"/>
        <v>0</v>
      </c>
      <c r="AX10" s="187" t="s">
        <v>89</v>
      </c>
      <c r="AY10">
        <v>5</v>
      </c>
      <c r="AZ10">
        <v>26</v>
      </c>
      <c r="BA10" s="188">
        <v>3</v>
      </c>
      <c r="BB10" s="188">
        <v>4</v>
      </c>
      <c r="BC10" s="201"/>
      <c r="BD10" s="201"/>
      <c r="BE10" s="201"/>
      <c r="BF10" s="5" t="s">
        <v>89</v>
      </c>
      <c r="BG10" s="202">
        <f t="shared" si="5"/>
        <v>2</v>
      </c>
      <c r="BH10" s="202">
        <f t="shared" si="6"/>
        <v>22</v>
      </c>
      <c r="BI10" s="202">
        <f t="shared" si="30"/>
        <v>3</v>
      </c>
      <c r="BJ10" s="202">
        <f t="shared" si="31"/>
        <v>4</v>
      </c>
      <c r="BN10" s="308" t="s">
        <v>89</v>
      </c>
      <c r="BO10" s="299">
        <v>1</v>
      </c>
      <c r="BP10" s="299">
        <v>24</v>
      </c>
      <c r="BQ10" s="300">
        <v>1</v>
      </c>
      <c r="BR10" s="300">
        <v>3</v>
      </c>
      <c r="BS10" s="201"/>
      <c r="BT10" s="201"/>
      <c r="BU10" s="201"/>
      <c r="BV10" s="5" t="s">
        <v>89</v>
      </c>
      <c r="BW10" s="202">
        <f t="shared" si="7"/>
        <v>0</v>
      </c>
      <c r="BX10" s="202">
        <f t="shared" si="8"/>
        <v>21</v>
      </c>
      <c r="BY10" s="202">
        <f t="shared" si="32"/>
        <v>1</v>
      </c>
      <c r="BZ10" s="202">
        <f t="shared" si="33"/>
        <v>3</v>
      </c>
      <c r="CD10" s="451" t="s">
        <v>89</v>
      </c>
      <c r="CE10" s="299">
        <v>5</v>
      </c>
      <c r="CF10" s="299">
        <v>22</v>
      </c>
      <c r="CG10" s="300">
        <v>2</v>
      </c>
      <c r="CH10" s="300">
        <v>2</v>
      </c>
      <c r="CI10" s="201"/>
      <c r="CJ10" s="201"/>
      <c r="CK10" s="201"/>
      <c r="CL10" s="5" t="s">
        <v>89</v>
      </c>
      <c r="CM10" s="202">
        <f t="shared" si="9"/>
        <v>3</v>
      </c>
      <c r="CN10" s="202">
        <f t="shared" si="10"/>
        <v>20</v>
      </c>
      <c r="CO10" s="202">
        <f t="shared" si="34"/>
        <v>2</v>
      </c>
      <c r="CP10" s="202">
        <f t="shared" si="35"/>
        <v>2</v>
      </c>
      <c r="CT10" s="187" t="s">
        <v>89</v>
      </c>
      <c r="CU10" s="171">
        <v>6</v>
      </c>
      <c r="CV10" s="171">
        <v>28</v>
      </c>
      <c r="CW10" s="300">
        <v>3</v>
      </c>
      <c r="CX10" s="300">
        <v>1</v>
      </c>
      <c r="CY10" s="201"/>
      <c r="CZ10" s="201"/>
      <c r="DA10" s="201"/>
      <c r="DB10" s="5" t="s">
        <v>89</v>
      </c>
      <c r="DC10" s="251">
        <f t="shared" si="11"/>
        <v>3</v>
      </c>
      <c r="DD10" s="202">
        <f t="shared" si="12"/>
        <v>27</v>
      </c>
      <c r="DE10" s="202">
        <f t="shared" si="36"/>
        <v>3</v>
      </c>
      <c r="DF10" s="202">
        <f t="shared" si="37"/>
        <v>1</v>
      </c>
      <c r="DJ10" s="305" t="s">
        <v>89</v>
      </c>
      <c r="DK10" s="299">
        <v>13</v>
      </c>
      <c r="DL10" s="299">
        <v>25</v>
      </c>
      <c r="DM10" s="300">
        <v>5</v>
      </c>
      <c r="DN10" s="300">
        <v>10</v>
      </c>
      <c r="DO10" s="306"/>
      <c r="DP10" s="306"/>
      <c r="DQ10" s="306"/>
      <c r="DR10" s="5" t="s">
        <v>89</v>
      </c>
      <c r="DS10" s="309">
        <f t="shared" si="13"/>
        <v>8</v>
      </c>
      <c r="DT10" s="309">
        <f t="shared" si="14"/>
        <v>15</v>
      </c>
      <c r="DU10" s="202">
        <f t="shared" si="38"/>
        <v>5</v>
      </c>
      <c r="DV10" s="202">
        <f t="shared" si="39"/>
        <v>10</v>
      </c>
      <c r="DZ10" s="305" t="s">
        <v>89</v>
      </c>
      <c r="EA10" s="299">
        <v>25</v>
      </c>
      <c r="EB10" s="299">
        <v>78</v>
      </c>
      <c r="EC10" s="340">
        <v>3</v>
      </c>
      <c r="ED10" s="340">
        <v>4</v>
      </c>
      <c r="EE10" s="636"/>
      <c r="EF10" s="636"/>
      <c r="EG10" s="5" t="s">
        <v>89</v>
      </c>
      <c r="EH10" s="202">
        <f t="shared" si="15"/>
        <v>22</v>
      </c>
      <c r="EI10" s="202">
        <f t="shared" si="16"/>
        <v>74</v>
      </c>
      <c r="EJ10" s="340">
        <v>3</v>
      </c>
      <c r="EK10" s="340">
        <v>4</v>
      </c>
      <c r="EO10" s="187" t="s">
        <v>89</v>
      </c>
      <c r="EP10">
        <v>8</v>
      </c>
      <c r="EQ10">
        <v>37</v>
      </c>
      <c r="ER10" s="340">
        <v>3</v>
      </c>
      <c r="ES10" s="340">
        <v>4</v>
      </c>
      <c r="ET10" s="201"/>
      <c r="EU10" s="201"/>
      <c r="EV10" s="201"/>
      <c r="EW10" s="5" t="s">
        <v>89</v>
      </c>
      <c r="EX10" s="202">
        <f t="shared" si="17"/>
        <v>5</v>
      </c>
      <c r="EY10" s="202">
        <f t="shared" si="18"/>
        <v>33</v>
      </c>
      <c r="EZ10" s="202">
        <f t="shared" si="40"/>
        <v>3</v>
      </c>
      <c r="FA10" s="202">
        <f t="shared" si="41"/>
        <v>4</v>
      </c>
      <c r="FE10" s="187" t="s">
        <v>89</v>
      </c>
      <c r="FF10">
        <v>10</v>
      </c>
      <c r="FG10">
        <v>21</v>
      </c>
      <c r="FH10" s="300">
        <v>4</v>
      </c>
      <c r="FI10" s="300">
        <v>0</v>
      </c>
      <c r="FJ10" s="658"/>
      <c r="FK10" s="659"/>
      <c r="FL10" s="660"/>
      <c r="FM10" s="5" t="s">
        <v>89</v>
      </c>
      <c r="FN10" s="202">
        <f t="shared" si="19"/>
        <v>6</v>
      </c>
      <c r="FO10" s="202">
        <f t="shared" si="20"/>
        <v>21</v>
      </c>
      <c r="FP10" s="202">
        <f t="shared" si="42"/>
        <v>4</v>
      </c>
      <c r="FQ10" s="202">
        <f t="shared" si="43"/>
        <v>0</v>
      </c>
      <c r="FU10" s="187" t="s">
        <v>89</v>
      </c>
      <c r="FV10">
        <v>2</v>
      </c>
      <c r="FW10">
        <v>24</v>
      </c>
      <c r="FX10" s="210">
        <v>1</v>
      </c>
      <c r="FY10" s="210">
        <v>5</v>
      </c>
      <c r="FZ10" s="201"/>
      <c r="GA10" s="201"/>
      <c r="GB10" s="201"/>
      <c r="GC10" s="5" t="s">
        <v>89</v>
      </c>
      <c r="GD10" s="202">
        <f t="shared" si="21"/>
        <v>1</v>
      </c>
      <c r="GE10" s="202">
        <f t="shared" si="22"/>
        <v>19</v>
      </c>
      <c r="GF10" s="202">
        <f t="shared" si="44"/>
        <v>1</v>
      </c>
      <c r="GG10" s="202">
        <f t="shared" si="45"/>
        <v>5</v>
      </c>
    </row>
    <row r="11" spans="2:190" ht="18.75" customHeight="1" x14ac:dyDescent="0.25">
      <c r="B11" s="187" t="s">
        <v>90</v>
      </c>
      <c r="C11">
        <v>17</v>
      </c>
      <c r="D11">
        <v>182</v>
      </c>
      <c r="E11" s="210">
        <v>9</v>
      </c>
      <c r="F11" s="210">
        <v>4</v>
      </c>
      <c r="G11" s="201"/>
      <c r="H11" s="201"/>
      <c r="I11" s="201"/>
      <c r="J11" s="5" t="s">
        <v>90</v>
      </c>
      <c r="K11" s="202">
        <f t="shared" si="23"/>
        <v>8</v>
      </c>
      <c r="L11" s="202">
        <f t="shared" si="0"/>
        <v>178</v>
      </c>
      <c r="M11" s="202">
        <f t="shared" si="24"/>
        <v>9</v>
      </c>
      <c r="N11" s="202">
        <f t="shared" si="25"/>
        <v>4</v>
      </c>
      <c r="R11" s="187" t="s">
        <v>90</v>
      </c>
      <c r="S11">
        <v>26</v>
      </c>
      <c r="T11">
        <v>143</v>
      </c>
      <c r="U11" s="210">
        <v>21</v>
      </c>
      <c r="V11" s="210">
        <v>9</v>
      </c>
      <c r="W11" s="201"/>
      <c r="X11" s="201"/>
      <c r="Y11" s="201"/>
      <c r="Z11" s="5" t="s">
        <v>90</v>
      </c>
      <c r="AA11" s="202">
        <f t="shared" si="1"/>
        <v>5</v>
      </c>
      <c r="AB11" s="202">
        <f t="shared" si="2"/>
        <v>134</v>
      </c>
      <c r="AC11" s="202">
        <f t="shared" si="26"/>
        <v>21</v>
      </c>
      <c r="AD11" s="202">
        <f t="shared" si="27"/>
        <v>9</v>
      </c>
      <c r="AH11" s="187" t="s">
        <v>90</v>
      </c>
      <c r="AI11">
        <v>29</v>
      </c>
      <c r="AJ11">
        <v>202</v>
      </c>
      <c r="AK11" s="188"/>
      <c r="AL11" s="188"/>
      <c r="AM11" s="201"/>
      <c r="AN11" s="201"/>
      <c r="AO11" s="201"/>
      <c r="AP11" s="5" t="s">
        <v>90</v>
      </c>
      <c r="AQ11" s="202">
        <f t="shared" si="3"/>
        <v>29</v>
      </c>
      <c r="AR11" s="202">
        <f t="shared" si="4"/>
        <v>202</v>
      </c>
      <c r="AS11" s="202">
        <f t="shared" si="28"/>
        <v>0</v>
      </c>
      <c r="AT11" s="202">
        <f t="shared" si="29"/>
        <v>0</v>
      </c>
      <c r="AX11" s="187" t="s">
        <v>90</v>
      </c>
      <c r="AY11">
        <v>19</v>
      </c>
      <c r="AZ11">
        <v>215</v>
      </c>
      <c r="BA11" s="188">
        <v>16</v>
      </c>
      <c r="BB11" s="188">
        <v>14</v>
      </c>
      <c r="BC11" s="201"/>
      <c r="BD11" s="201"/>
      <c r="BE11" s="201"/>
      <c r="BF11" s="5" t="s">
        <v>90</v>
      </c>
      <c r="BG11" s="202">
        <f t="shared" si="5"/>
        <v>3</v>
      </c>
      <c r="BH11" s="202">
        <f t="shared" si="6"/>
        <v>201</v>
      </c>
      <c r="BI11" s="202">
        <f t="shared" si="30"/>
        <v>16</v>
      </c>
      <c r="BJ11" s="202">
        <f t="shared" si="31"/>
        <v>14</v>
      </c>
      <c r="BN11" s="308" t="s">
        <v>90</v>
      </c>
      <c r="BO11" s="299">
        <v>20</v>
      </c>
      <c r="BP11" s="299">
        <v>234</v>
      </c>
      <c r="BQ11" s="300">
        <v>11</v>
      </c>
      <c r="BR11" s="300">
        <v>9</v>
      </c>
      <c r="BS11" s="201"/>
      <c r="BT11" s="201"/>
      <c r="BU11" s="201"/>
      <c r="BV11" s="5" t="s">
        <v>90</v>
      </c>
      <c r="BW11" s="202">
        <f t="shared" si="7"/>
        <v>9</v>
      </c>
      <c r="BX11" s="202">
        <f t="shared" si="8"/>
        <v>225</v>
      </c>
      <c r="BY11" s="202">
        <f t="shared" si="32"/>
        <v>11</v>
      </c>
      <c r="BZ11" s="202">
        <f t="shared" si="33"/>
        <v>9</v>
      </c>
      <c r="CD11" s="451" t="s">
        <v>90</v>
      </c>
      <c r="CE11" s="299">
        <v>21</v>
      </c>
      <c r="CF11" s="299">
        <v>147</v>
      </c>
      <c r="CG11" s="300">
        <v>8</v>
      </c>
      <c r="CH11" s="300">
        <v>6</v>
      </c>
      <c r="CI11" s="201"/>
      <c r="CJ11" s="201"/>
      <c r="CK11" s="201"/>
      <c r="CL11" s="5" t="s">
        <v>90</v>
      </c>
      <c r="CM11" s="202">
        <f t="shared" si="9"/>
        <v>13</v>
      </c>
      <c r="CN11" s="202">
        <f t="shared" si="10"/>
        <v>141</v>
      </c>
      <c r="CO11" s="202">
        <f t="shared" si="34"/>
        <v>8</v>
      </c>
      <c r="CP11" s="202">
        <f t="shared" si="35"/>
        <v>6</v>
      </c>
      <c r="CT11" s="187" t="s">
        <v>90</v>
      </c>
      <c r="CU11" s="171">
        <v>22</v>
      </c>
      <c r="CV11" s="171">
        <v>248</v>
      </c>
      <c r="CW11" s="300">
        <v>13</v>
      </c>
      <c r="CX11" s="300">
        <v>11</v>
      </c>
      <c r="CY11" s="201"/>
      <c r="CZ11" s="201"/>
      <c r="DA11" s="201"/>
      <c r="DB11" s="5" t="s">
        <v>90</v>
      </c>
      <c r="DC11" s="202">
        <f t="shared" si="11"/>
        <v>9</v>
      </c>
      <c r="DD11" s="202">
        <f t="shared" si="12"/>
        <v>237</v>
      </c>
      <c r="DE11" s="202">
        <f t="shared" si="36"/>
        <v>13</v>
      </c>
      <c r="DF11" s="202">
        <f t="shared" si="37"/>
        <v>11</v>
      </c>
      <c r="DJ11" s="305" t="s">
        <v>90</v>
      </c>
      <c r="DK11" s="299">
        <v>34</v>
      </c>
      <c r="DL11" s="299">
        <v>237</v>
      </c>
      <c r="DM11" s="300">
        <v>23</v>
      </c>
      <c r="DN11" s="300">
        <v>9</v>
      </c>
      <c r="DO11" s="306"/>
      <c r="DP11" s="306"/>
      <c r="DQ11" s="306"/>
      <c r="DR11" s="5" t="s">
        <v>90</v>
      </c>
      <c r="DS11" s="309">
        <f t="shared" si="13"/>
        <v>11</v>
      </c>
      <c r="DT11" s="309">
        <f t="shared" si="14"/>
        <v>228</v>
      </c>
      <c r="DU11" s="202">
        <f t="shared" si="38"/>
        <v>23</v>
      </c>
      <c r="DV11" s="202">
        <f t="shared" si="39"/>
        <v>9</v>
      </c>
      <c r="DZ11" s="305" t="s">
        <v>90</v>
      </c>
      <c r="EA11" s="299">
        <v>16</v>
      </c>
      <c r="EB11" s="299">
        <v>17</v>
      </c>
      <c r="EC11" s="340">
        <v>11</v>
      </c>
      <c r="ED11" s="340">
        <v>15</v>
      </c>
      <c r="EE11" s="636"/>
      <c r="EF11" s="636"/>
      <c r="EG11" s="5" t="s">
        <v>90</v>
      </c>
      <c r="EH11" s="202">
        <f t="shared" si="15"/>
        <v>5</v>
      </c>
      <c r="EI11" s="202">
        <f t="shared" si="16"/>
        <v>2</v>
      </c>
      <c r="EJ11" s="340">
        <v>11</v>
      </c>
      <c r="EK11" s="340">
        <v>15</v>
      </c>
      <c r="EO11" s="187" t="s">
        <v>90</v>
      </c>
      <c r="EP11">
        <v>25</v>
      </c>
      <c r="EQ11">
        <v>230</v>
      </c>
      <c r="ER11" s="340">
        <v>11</v>
      </c>
      <c r="ES11" s="340">
        <v>15</v>
      </c>
      <c r="ET11" s="201"/>
      <c r="EU11" s="201"/>
      <c r="EV11" s="201"/>
      <c r="EW11" s="5" t="s">
        <v>90</v>
      </c>
      <c r="EX11" s="202">
        <f t="shared" si="17"/>
        <v>14</v>
      </c>
      <c r="EY11" s="202">
        <f t="shared" si="18"/>
        <v>215</v>
      </c>
      <c r="EZ11" s="202">
        <f t="shared" si="40"/>
        <v>11</v>
      </c>
      <c r="FA11" s="202">
        <f t="shared" si="41"/>
        <v>15</v>
      </c>
      <c r="FE11" s="187" t="s">
        <v>90</v>
      </c>
      <c r="FF11">
        <v>25</v>
      </c>
      <c r="FG11">
        <v>264</v>
      </c>
      <c r="FH11" s="300">
        <v>12</v>
      </c>
      <c r="FI11" s="300">
        <v>7</v>
      </c>
      <c r="FJ11" s="658"/>
      <c r="FK11" s="659"/>
      <c r="FL11" s="660"/>
      <c r="FM11" s="5" t="s">
        <v>90</v>
      </c>
      <c r="FN11" s="202">
        <f t="shared" si="19"/>
        <v>13</v>
      </c>
      <c r="FO11" s="202">
        <f t="shared" si="20"/>
        <v>257</v>
      </c>
      <c r="FP11" s="202">
        <f t="shared" si="42"/>
        <v>12</v>
      </c>
      <c r="FQ11" s="202">
        <f t="shared" si="43"/>
        <v>7</v>
      </c>
      <c r="FU11" s="187" t="s">
        <v>90</v>
      </c>
      <c r="FV11">
        <v>25</v>
      </c>
      <c r="FW11">
        <v>169</v>
      </c>
      <c r="FX11" s="210">
        <v>14</v>
      </c>
      <c r="FY11" s="210">
        <v>11</v>
      </c>
      <c r="FZ11" s="201"/>
      <c r="GA11" s="201"/>
      <c r="GB11" s="201"/>
      <c r="GC11" s="5" t="s">
        <v>90</v>
      </c>
      <c r="GD11" s="202">
        <f t="shared" si="21"/>
        <v>11</v>
      </c>
      <c r="GE11" s="202">
        <f t="shared" si="22"/>
        <v>158</v>
      </c>
      <c r="GF11" s="202">
        <f t="shared" si="44"/>
        <v>14</v>
      </c>
      <c r="GG11" s="202">
        <f t="shared" si="45"/>
        <v>11</v>
      </c>
    </row>
    <row r="12" spans="2:190" ht="18.75" customHeight="1" x14ac:dyDescent="0.25">
      <c r="B12" s="187" t="s">
        <v>91</v>
      </c>
      <c r="C12">
        <v>29</v>
      </c>
      <c r="D12">
        <v>82</v>
      </c>
      <c r="E12" s="210">
        <v>13</v>
      </c>
      <c r="F12" s="210">
        <v>6</v>
      </c>
      <c r="G12" s="201"/>
      <c r="H12" s="201"/>
      <c r="I12" s="201"/>
      <c r="J12" s="5" t="s">
        <v>91</v>
      </c>
      <c r="K12" s="202">
        <f t="shared" si="23"/>
        <v>16</v>
      </c>
      <c r="L12" s="202">
        <f t="shared" si="0"/>
        <v>76</v>
      </c>
      <c r="M12" s="202">
        <f t="shared" si="24"/>
        <v>13</v>
      </c>
      <c r="N12" s="202">
        <f t="shared" si="25"/>
        <v>6</v>
      </c>
      <c r="R12" s="187" t="s">
        <v>91</v>
      </c>
      <c r="S12">
        <v>30</v>
      </c>
      <c r="T12">
        <v>78</v>
      </c>
      <c r="U12" s="210">
        <v>12</v>
      </c>
      <c r="V12" s="210">
        <v>10</v>
      </c>
      <c r="W12" s="201"/>
      <c r="X12" s="201"/>
      <c r="Y12" s="201"/>
      <c r="Z12" s="5" t="s">
        <v>91</v>
      </c>
      <c r="AA12" s="202">
        <f t="shared" si="1"/>
        <v>18</v>
      </c>
      <c r="AB12" s="202">
        <f t="shared" si="2"/>
        <v>68</v>
      </c>
      <c r="AC12" s="202">
        <f t="shared" si="26"/>
        <v>12</v>
      </c>
      <c r="AD12" s="202">
        <f t="shared" si="27"/>
        <v>10</v>
      </c>
      <c r="AH12" s="187" t="s">
        <v>91</v>
      </c>
      <c r="AI12">
        <v>26</v>
      </c>
      <c r="AJ12">
        <v>81</v>
      </c>
      <c r="AK12" s="188"/>
      <c r="AL12" s="188"/>
      <c r="AM12" s="201"/>
      <c r="AN12" s="201"/>
      <c r="AO12" s="201"/>
      <c r="AP12" s="5" t="s">
        <v>91</v>
      </c>
      <c r="AQ12" s="202">
        <f t="shared" si="3"/>
        <v>26</v>
      </c>
      <c r="AR12" s="202">
        <f t="shared" si="4"/>
        <v>81</v>
      </c>
      <c r="AS12" s="202">
        <f t="shared" si="28"/>
        <v>0</v>
      </c>
      <c r="AT12" s="202">
        <f t="shared" si="29"/>
        <v>0</v>
      </c>
      <c r="AX12" s="187" t="s">
        <v>91</v>
      </c>
      <c r="AY12">
        <v>22</v>
      </c>
      <c r="AZ12">
        <v>106</v>
      </c>
      <c r="BA12" s="188">
        <v>9</v>
      </c>
      <c r="BB12" s="188">
        <v>12</v>
      </c>
      <c r="BC12" s="201"/>
      <c r="BD12" s="201"/>
      <c r="BE12" s="201"/>
      <c r="BF12" s="5" t="s">
        <v>91</v>
      </c>
      <c r="BG12" s="202">
        <f t="shared" si="5"/>
        <v>13</v>
      </c>
      <c r="BH12" s="202">
        <f t="shared" si="6"/>
        <v>94</v>
      </c>
      <c r="BI12" s="202">
        <f t="shared" si="30"/>
        <v>9</v>
      </c>
      <c r="BJ12" s="202">
        <f t="shared" si="31"/>
        <v>12</v>
      </c>
      <c r="BN12" s="308" t="s">
        <v>91</v>
      </c>
      <c r="BO12" s="299">
        <v>29</v>
      </c>
      <c r="BP12" s="299">
        <v>98</v>
      </c>
      <c r="BQ12" s="300">
        <v>9</v>
      </c>
      <c r="BR12" s="300">
        <v>7</v>
      </c>
      <c r="BS12" s="201"/>
      <c r="BT12" s="201"/>
      <c r="BU12" s="201"/>
      <c r="BV12" s="5" t="s">
        <v>91</v>
      </c>
      <c r="BW12" s="202">
        <f t="shared" si="7"/>
        <v>20</v>
      </c>
      <c r="BX12" s="202">
        <f t="shared" si="8"/>
        <v>91</v>
      </c>
      <c r="BY12" s="202">
        <f t="shared" si="32"/>
        <v>9</v>
      </c>
      <c r="BZ12" s="202">
        <f t="shared" si="33"/>
        <v>7</v>
      </c>
      <c r="CD12" s="451" t="s">
        <v>91</v>
      </c>
      <c r="CE12" s="299">
        <v>19</v>
      </c>
      <c r="CF12" s="299">
        <v>74</v>
      </c>
      <c r="CG12" s="300">
        <v>11</v>
      </c>
      <c r="CH12" s="300">
        <v>7</v>
      </c>
      <c r="CI12" s="201"/>
      <c r="CJ12" s="201"/>
      <c r="CK12" s="201"/>
      <c r="CL12" s="5" t="s">
        <v>91</v>
      </c>
      <c r="CM12" s="202">
        <f t="shared" si="9"/>
        <v>8</v>
      </c>
      <c r="CN12" s="202">
        <f t="shared" si="10"/>
        <v>67</v>
      </c>
      <c r="CO12" s="202">
        <f t="shared" si="34"/>
        <v>11</v>
      </c>
      <c r="CP12" s="202">
        <f t="shared" si="35"/>
        <v>7</v>
      </c>
      <c r="CT12" s="187" t="s">
        <v>91</v>
      </c>
      <c r="CU12" s="171">
        <v>37</v>
      </c>
      <c r="CV12" s="171">
        <v>109</v>
      </c>
      <c r="CW12" s="300">
        <v>8</v>
      </c>
      <c r="CX12" s="300">
        <v>9</v>
      </c>
      <c r="CY12" s="201"/>
      <c r="CZ12" s="201"/>
      <c r="DA12" s="201"/>
      <c r="DB12" s="5" t="s">
        <v>91</v>
      </c>
      <c r="DC12" s="202">
        <f t="shared" si="11"/>
        <v>29</v>
      </c>
      <c r="DD12" s="202">
        <f t="shared" si="12"/>
        <v>100</v>
      </c>
      <c r="DE12" s="202">
        <f t="shared" si="36"/>
        <v>8</v>
      </c>
      <c r="DF12" s="202">
        <f t="shared" si="37"/>
        <v>9</v>
      </c>
      <c r="DJ12" s="305" t="s">
        <v>91</v>
      </c>
      <c r="DK12" s="299">
        <v>20</v>
      </c>
      <c r="DL12" s="299">
        <v>102</v>
      </c>
      <c r="DM12" s="300">
        <v>8</v>
      </c>
      <c r="DN12" s="300">
        <v>12</v>
      </c>
      <c r="DO12" s="306"/>
      <c r="DP12" s="306"/>
      <c r="DQ12" s="306"/>
      <c r="DR12" s="5" t="s">
        <v>91</v>
      </c>
      <c r="DS12" s="309">
        <f t="shared" si="13"/>
        <v>12</v>
      </c>
      <c r="DT12" s="309">
        <f t="shared" si="14"/>
        <v>90</v>
      </c>
      <c r="DU12" s="202">
        <f t="shared" si="38"/>
        <v>8</v>
      </c>
      <c r="DV12" s="202">
        <f t="shared" si="39"/>
        <v>12</v>
      </c>
      <c r="DZ12" s="305" t="s">
        <v>91</v>
      </c>
      <c r="EA12" s="299">
        <v>15</v>
      </c>
      <c r="EB12" s="299">
        <v>9</v>
      </c>
      <c r="EC12" s="340">
        <v>14</v>
      </c>
      <c r="ED12" s="340">
        <v>7</v>
      </c>
      <c r="EE12" s="636"/>
      <c r="EF12" s="636"/>
      <c r="EG12" s="5" t="s">
        <v>91</v>
      </c>
      <c r="EH12" s="202">
        <f t="shared" si="15"/>
        <v>1</v>
      </c>
      <c r="EI12" s="202">
        <f t="shared" si="16"/>
        <v>2</v>
      </c>
      <c r="EJ12" s="340">
        <v>14</v>
      </c>
      <c r="EK12" s="340">
        <v>7</v>
      </c>
      <c r="EO12" s="187" t="s">
        <v>91</v>
      </c>
      <c r="EP12">
        <v>31</v>
      </c>
      <c r="EQ12">
        <v>115</v>
      </c>
      <c r="ER12" s="340">
        <v>14</v>
      </c>
      <c r="ES12" s="340">
        <v>7</v>
      </c>
      <c r="ET12" s="201"/>
      <c r="EU12" s="201"/>
      <c r="EV12" s="201"/>
      <c r="EW12" s="5" t="s">
        <v>91</v>
      </c>
      <c r="EX12" s="202">
        <f t="shared" si="17"/>
        <v>17</v>
      </c>
      <c r="EY12" s="202">
        <f t="shared" si="18"/>
        <v>108</v>
      </c>
      <c r="EZ12" s="202">
        <f t="shared" si="40"/>
        <v>14</v>
      </c>
      <c r="FA12" s="202">
        <f t="shared" si="41"/>
        <v>7</v>
      </c>
      <c r="FE12" s="187" t="s">
        <v>91</v>
      </c>
      <c r="FF12">
        <v>26</v>
      </c>
      <c r="FG12">
        <v>91</v>
      </c>
      <c r="FH12" s="300">
        <v>13</v>
      </c>
      <c r="FI12" s="300">
        <v>3</v>
      </c>
      <c r="FJ12" s="658"/>
      <c r="FK12" s="659"/>
      <c r="FL12" s="660"/>
      <c r="FM12" s="5" t="s">
        <v>91</v>
      </c>
      <c r="FN12" s="202">
        <f t="shared" si="19"/>
        <v>13</v>
      </c>
      <c r="FO12" s="202">
        <f t="shared" si="20"/>
        <v>88</v>
      </c>
      <c r="FP12" s="202">
        <f t="shared" si="42"/>
        <v>13</v>
      </c>
      <c r="FQ12" s="202">
        <f t="shared" si="43"/>
        <v>3</v>
      </c>
      <c r="FU12" s="187" t="s">
        <v>91</v>
      </c>
      <c r="FV12">
        <v>28</v>
      </c>
      <c r="FW12">
        <v>65</v>
      </c>
      <c r="FX12" s="210">
        <v>12</v>
      </c>
      <c r="FY12" s="210">
        <v>9</v>
      </c>
      <c r="FZ12" s="201"/>
      <c r="GA12" s="201"/>
      <c r="GB12" s="201"/>
      <c r="GC12" s="5" t="s">
        <v>91</v>
      </c>
      <c r="GD12" s="202">
        <f t="shared" si="21"/>
        <v>16</v>
      </c>
      <c r="GE12" s="202">
        <f t="shared" si="22"/>
        <v>56</v>
      </c>
      <c r="GF12" s="202">
        <f t="shared" si="44"/>
        <v>12</v>
      </c>
      <c r="GG12" s="202">
        <f t="shared" si="45"/>
        <v>9</v>
      </c>
    </row>
    <row r="13" spans="2:190" ht="18.75" customHeight="1" x14ac:dyDescent="0.25">
      <c r="B13" s="187" t="s">
        <v>92</v>
      </c>
      <c r="C13">
        <v>25</v>
      </c>
      <c r="D13">
        <v>18</v>
      </c>
      <c r="E13" s="210">
        <v>6</v>
      </c>
      <c r="F13" s="210">
        <v>3</v>
      </c>
      <c r="G13" s="201"/>
      <c r="H13" s="201"/>
      <c r="I13" s="201"/>
      <c r="J13" s="5" t="s">
        <v>92</v>
      </c>
      <c r="K13" s="202">
        <f t="shared" si="23"/>
        <v>19</v>
      </c>
      <c r="L13" s="202">
        <f t="shared" si="0"/>
        <v>15</v>
      </c>
      <c r="M13" s="202">
        <f t="shared" si="24"/>
        <v>6</v>
      </c>
      <c r="N13" s="202">
        <f t="shared" si="25"/>
        <v>3</v>
      </c>
      <c r="R13" s="187" t="s">
        <v>92</v>
      </c>
      <c r="S13">
        <v>18</v>
      </c>
      <c r="T13">
        <v>24</v>
      </c>
      <c r="U13" s="210">
        <v>7</v>
      </c>
      <c r="V13" s="210">
        <v>8</v>
      </c>
      <c r="W13" s="201"/>
      <c r="X13" s="201"/>
      <c r="Y13" s="201"/>
      <c r="Z13" s="5" t="s">
        <v>92</v>
      </c>
      <c r="AA13" s="202">
        <f t="shared" si="1"/>
        <v>11</v>
      </c>
      <c r="AB13" s="202">
        <f t="shared" si="2"/>
        <v>16</v>
      </c>
      <c r="AC13" s="202">
        <f t="shared" si="26"/>
        <v>7</v>
      </c>
      <c r="AD13" s="202">
        <f t="shared" si="27"/>
        <v>8</v>
      </c>
      <c r="AH13" s="187" t="s">
        <v>92</v>
      </c>
      <c r="AI13">
        <v>19</v>
      </c>
      <c r="AJ13">
        <v>29</v>
      </c>
      <c r="AK13" s="188"/>
      <c r="AL13" s="188"/>
      <c r="AM13" s="201"/>
      <c r="AN13" s="201"/>
      <c r="AO13" s="201"/>
      <c r="AP13" s="5" t="s">
        <v>92</v>
      </c>
      <c r="AQ13" s="202">
        <f t="shared" si="3"/>
        <v>19</v>
      </c>
      <c r="AR13" s="202">
        <f t="shared" si="4"/>
        <v>29</v>
      </c>
      <c r="AS13" s="202">
        <f t="shared" si="28"/>
        <v>0</v>
      </c>
      <c r="AT13" s="202">
        <f t="shared" si="29"/>
        <v>0</v>
      </c>
      <c r="AX13" s="187" t="s">
        <v>92</v>
      </c>
      <c r="AY13">
        <v>17</v>
      </c>
      <c r="AZ13">
        <v>14</v>
      </c>
      <c r="BA13" s="188">
        <v>9</v>
      </c>
      <c r="BB13" s="188">
        <v>6</v>
      </c>
      <c r="BC13" s="201"/>
      <c r="BD13" s="201"/>
      <c r="BE13" s="201"/>
      <c r="BF13" s="5" t="s">
        <v>92</v>
      </c>
      <c r="BG13" s="202">
        <f t="shared" si="5"/>
        <v>8</v>
      </c>
      <c r="BH13" s="202">
        <f t="shared" si="6"/>
        <v>8</v>
      </c>
      <c r="BI13" s="202">
        <f t="shared" si="30"/>
        <v>9</v>
      </c>
      <c r="BJ13" s="202">
        <f t="shared" si="31"/>
        <v>6</v>
      </c>
      <c r="BN13" s="308" t="s">
        <v>92</v>
      </c>
      <c r="BO13" s="299">
        <v>26</v>
      </c>
      <c r="BP13" s="299">
        <v>29</v>
      </c>
      <c r="BQ13" s="300">
        <v>7</v>
      </c>
      <c r="BR13" s="300">
        <v>7</v>
      </c>
      <c r="BS13" s="201"/>
      <c r="BT13" s="201"/>
      <c r="BU13" s="201"/>
      <c r="BV13" s="5" t="s">
        <v>92</v>
      </c>
      <c r="BW13" s="202">
        <f t="shared" si="7"/>
        <v>19</v>
      </c>
      <c r="BX13" s="202">
        <f t="shared" si="8"/>
        <v>22</v>
      </c>
      <c r="BY13" s="202">
        <f t="shared" si="32"/>
        <v>7</v>
      </c>
      <c r="BZ13" s="202">
        <f t="shared" si="33"/>
        <v>7</v>
      </c>
      <c r="CD13" s="451" t="s">
        <v>92</v>
      </c>
      <c r="CE13" s="299">
        <v>16</v>
      </c>
      <c r="CF13" s="299">
        <v>12</v>
      </c>
      <c r="CG13" s="300">
        <v>7</v>
      </c>
      <c r="CH13" s="300">
        <v>0</v>
      </c>
      <c r="CI13" s="201"/>
      <c r="CJ13" s="201"/>
      <c r="CK13" s="201"/>
      <c r="CL13" s="5" t="s">
        <v>92</v>
      </c>
      <c r="CM13" s="202">
        <f t="shared" si="9"/>
        <v>9</v>
      </c>
      <c r="CN13" s="202">
        <f t="shared" si="10"/>
        <v>12</v>
      </c>
      <c r="CO13" s="202">
        <f t="shared" si="34"/>
        <v>7</v>
      </c>
      <c r="CP13" s="202">
        <f t="shared" si="35"/>
        <v>0</v>
      </c>
      <c r="CT13" s="187" t="s">
        <v>92</v>
      </c>
      <c r="CU13" s="171">
        <v>24</v>
      </c>
      <c r="CV13" s="171">
        <v>26</v>
      </c>
      <c r="CW13" s="300">
        <v>6</v>
      </c>
      <c r="CX13" s="300">
        <v>3</v>
      </c>
      <c r="CY13" s="201"/>
      <c r="CZ13" s="201"/>
      <c r="DA13" s="201"/>
      <c r="DB13" s="5" t="s">
        <v>92</v>
      </c>
      <c r="DC13" s="202">
        <f t="shared" si="11"/>
        <v>18</v>
      </c>
      <c r="DD13" s="202">
        <f t="shared" si="12"/>
        <v>23</v>
      </c>
      <c r="DE13" s="202">
        <f t="shared" si="36"/>
        <v>6</v>
      </c>
      <c r="DF13" s="202">
        <f t="shared" si="37"/>
        <v>3</v>
      </c>
      <c r="DJ13" s="305" t="s">
        <v>92</v>
      </c>
      <c r="DK13" s="299">
        <v>13</v>
      </c>
      <c r="DL13" s="299">
        <v>38</v>
      </c>
      <c r="DM13" s="300">
        <v>4</v>
      </c>
      <c r="DN13" s="300">
        <v>8</v>
      </c>
      <c r="DO13" s="306"/>
      <c r="DP13" s="306"/>
      <c r="DQ13" s="306"/>
      <c r="DR13" s="5" t="s">
        <v>92</v>
      </c>
      <c r="DS13" s="309">
        <f t="shared" si="13"/>
        <v>9</v>
      </c>
      <c r="DT13" s="309">
        <f t="shared" si="14"/>
        <v>30</v>
      </c>
      <c r="DU13" s="202">
        <f t="shared" si="38"/>
        <v>4</v>
      </c>
      <c r="DV13" s="202">
        <f t="shared" si="39"/>
        <v>8</v>
      </c>
      <c r="DZ13" s="305" t="s">
        <v>92</v>
      </c>
      <c r="EA13" s="299">
        <v>18</v>
      </c>
      <c r="EB13" s="299">
        <v>13</v>
      </c>
      <c r="EC13" s="340">
        <v>8</v>
      </c>
      <c r="ED13" s="340">
        <v>3</v>
      </c>
      <c r="EE13" s="636"/>
      <c r="EF13" s="636"/>
      <c r="EG13" s="5" t="s">
        <v>92</v>
      </c>
      <c r="EH13" s="202">
        <f t="shared" si="15"/>
        <v>10</v>
      </c>
      <c r="EI13" s="202">
        <f t="shared" si="16"/>
        <v>10</v>
      </c>
      <c r="EJ13" s="340">
        <v>8</v>
      </c>
      <c r="EK13" s="340">
        <v>3</v>
      </c>
      <c r="EO13" s="187" t="s">
        <v>92</v>
      </c>
      <c r="EP13">
        <v>15</v>
      </c>
      <c r="EQ13">
        <v>17</v>
      </c>
      <c r="ER13" s="340">
        <v>8</v>
      </c>
      <c r="ES13" s="340">
        <v>3</v>
      </c>
      <c r="ET13" s="201"/>
      <c r="EU13" s="201"/>
      <c r="EV13" s="201"/>
      <c r="EW13" s="5" t="s">
        <v>92</v>
      </c>
      <c r="EX13" s="202">
        <f t="shared" si="17"/>
        <v>7</v>
      </c>
      <c r="EY13" s="202">
        <f t="shared" si="18"/>
        <v>14</v>
      </c>
      <c r="EZ13" s="202">
        <f t="shared" si="40"/>
        <v>8</v>
      </c>
      <c r="FA13" s="202">
        <f t="shared" si="41"/>
        <v>3</v>
      </c>
      <c r="FE13" s="187" t="s">
        <v>92</v>
      </c>
      <c r="FF13">
        <v>26</v>
      </c>
      <c r="FG13">
        <v>22</v>
      </c>
      <c r="FH13" s="300">
        <v>13</v>
      </c>
      <c r="FI13" s="300">
        <v>4</v>
      </c>
      <c r="FJ13" s="658"/>
      <c r="FK13" s="659"/>
      <c r="FL13" s="660"/>
      <c r="FM13" s="5" t="s">
        <v>92</v>
      </c>
      <c r="FN13" s="202">
        <f t="shared" si="19"/>
        <v>13</v>
      </c>
      <c r="FO13" s="202">
        <f t="shared" si="20"/>
        <v>18</v>
      </c>
      <c r="FP13" s="202">
        <f t="shared" si="42"/>
        <v>13</v>
      </c>
      <c r="FQ13" s="202">
        <f t="shared" si="43"/>
        <v>4</v>
      </c>
      <c r="FU13" s="187" t="s">
        <v>92</v>
      </c>
      <c r="FV13">
        <v>22</v>
      </c>
      <c r="FW13">
        <v>20</v>
      </c>
      <c r="FX13" s="210">
        <v>10</v>
      </c>
      <c r="FY13" s="210">
        <v>5</v>
      </c>
      <c r="FZ13" s="201"/>
      <c r="GA13" s="201"/>
      <c r="GB13" s="201"/>
      <c r="GC13" s="5" t="s">
        <v>92</v>
      </c>
      <c r="GD13" s="202">
        <f t="shared" si="21"/>
        <v>12</v>
      </c>
      <c r="GE13" s="202">
        <f t="shared" si="22"/>
        <v>15</v>
      </c>
      <c r="GF13" s="202">
        <f t="shared" si="44"/>
        <v>10</v>
      </c>
      <c r="GG13" s="202">
        <f t="shared" si="45"/>
        <v>5</v>
      </c>
    </row>
    <row r="14" spans="2:190" ht="18.75" customHeight="1" x14ac:dyDescent="0.25">
      <c r="B14" s="187" t="s">
        <v>93</v>
      </c>
      <c r="C14">
        <v>35</v>
      </c>
      <c r="D14">
        <v>19</v>
      </c>
      <c r="E14" s="210">
        <v>14</v>
      </c>
      <c r="F14" s="210">
        <v>0</v>
      </c>
      <c r="G14" s="201"/>
      <c r="H14" s="201"/>
      <c r="I14" s="201"/>
      <c r="J14" s="5" t="s">
        <v>93</v>
      </c>
      <c r="K14" s="202">
        <f t="shared" si="23"/>
        <v>21</v>
      </c>
      <c r="L14" s="202">
        <f t="shared" si="0"/>
        <v>19</v>
      </c>
      <c r="M14" s="202">
        <f t="shared" si="24"/>
        <v>14</v>
      </c>
      <c r="N14" s="202">
        <f t="shared" si="25"/>
        <v>0</v>
      </c>
      <c r="R14" s="187" t="s">
        <v>93</v>
      </c>
      <c r="S14">
        <v>21</v>
      </c>
      <c r="T14">
        <v>16</v>
      </c>
      <c r="U14" s="210">
        <v>2</v>
      </c>
      <c r="V14" s="210">
        <v>3</v>
      </c>
      <c r="W14" s="201"/>
      <c r="X14" s="201"/>
      <c r="Y14" s="201"/>
      <c r="Z14" s="5" t="s">
        <v>93</v>
      </c>
      <c r="AA14" s="202">
        <f t="shared" si="1"/>
        <v>19</v>
      </c>
      <c r="AB14" s="202">
        <f t="shared" si="2"/>
        <v>13</v>
      </c>
      <c r="AC14" s="202">
        <f t="shared" si="26"/>
        <v>2</v>
      </c>
      <c r="AD14" s="202">
        <f t="shared" si="27"/>
        <v>3</v>
      </c>
      <c r="AH14" s="187" t="s">
        <v>93</v>
      </c>
      <c r="AI14">
        <v>19</v>
      </c>
      <c r="AJ14">
        <v>17</v>
      </c>
      <c r="AK14" s="188"/>
      <c r="AL14" s="188"/>
      <c r="AM14" s="201"/>
      <c r="AN14" s="201"/>
      <c r="AO14" s="201"/>
      <c r="AP14" s="5" t="s">
        <v>93</v>
      </c>
      <c r="AQ14" s="202">
        <f t="shared" si="3"/>
        <v>19</v>
      </c>
      <c r="AR14" s="202">
        <f t="shared" si="4"/>
        <v>17</v>
      </c>
      <c r="AS14" s="202">
        <f t="shared" si="28"/>
        <v>0</v>
      </c>
      <c r="AT14" s="202">
        <f t="shared" si="29"/>
        <v>0</v>
      </c>
      <c r="AX14" s="187" t="s">
        <v>93</v>
      </c>
      <c r="AY14">
        <v>16</v>
      </c>
      <c r="AZ14">
        <v>24</v>
      </c>
      <c r="BA14" s="188">
        <v>4</v>
      </c>
      <c r="BB14" s="188">
        <v>4</v>
      </c>
      <c r="BC14" s="201"/>
      <c r="BD14" s="201"/>
      <c r="BE14" s="201"/>
      <c r="BF14" s="5" t="s">
        <v>93</v>
      </c>
      <c r="BG14" s="202">
        <f t="shared" si="5"/>
        <v>12</v>
      </c>
      <c r="BH14" s="202">
        <f t="shared" si="6"/>
        <v>20</v>
      </c>
      <c r="BI14" s="202">
        <f t="shared" si="30"/>
        <v>4</v>
      </c>
      <c r="BJ14" s="202">
        <f t="shared" si="31"/>
        <v>4</v>
      </c>
      <c r="BN14" s="308" t="s">
        <v>93</v>
      </c>
      <c r="BO14" s="299">
        <v>18</v>
      </c>
      <c r="BP14" s="299">
        <v>19</v>
      </c>
      <c r="BQ14" s="300">
        <v>5</v>
      </c>
      <c r="BR14" s="300">
        <v>5</v>
      </c>
      <c r="BS14" s="201"/>
      <c r="BT14" s="201"/>
      <c r="BU14" s="201"/>
      <c r="BV14" s="5" t="s">
        <v>93</v>
      </c>
      <c r="BW14" s="202">
        <f t="shared" si="7"/>
        <v>13</v>
      </c>
      <c r="BX14" s="202">
        <f t="shared" si="8"/>
        <v>14</v>
      </c>
      <c r="BY14" s="202">
        <f t="shared" si="32"/>
        <v>5</v>
      </c>
      <c r="BZ14" s="202">
        <f t="shared" si="33"/>
        <v>5</v>
      </c>
      <c r="CD14" s="451" t="s">
        <v>93</v>
      </c>
      <c r="CE14" s="299">
        <v>20</v>
      </c>
      <c r="CF14" s="299">
        <v>21</v>
      </c>
      <c r="CG14" s="300">
        <v>6</v>
      </c>
      <c r="CH14" s="300">
        <v>6</v>
      </c>
      <c r="CI14" s="201"/>
      <c r="CJ14" s="201"/>
      <c r="CK14" s="201"/>
      <c r="CL14" s="5" t="s">
        <v>93</v>
      </c>
      <c r="CM14" s="202">
        <f t="shared" si="9"/>
        <v>14</v>
      </c>
      <c r="CN14" s="202">
        <f t="shared" si="10"/>
        <v>15</v>
      </c>
      <c r="CO14" s="202">
        <f t="shared" si="34"/>
        <v>6</v>
      </c>
      <c r="CP14" s="202">
        <f t="shared" si="35"/>
        <v>6</v>
      </c>
      <c r="CT14" s="187" t="s">
        <v>93</v>
      </c>
      <c r="CU14" s="171">
        <v>17</v>
      </c>
      <c r="CV14" s="171">
        <v>26</v>
      </c>
      <c r="CW14" s="300">
        <v>8</v>
      </c>
      <c r="CX14" s="300">
        <v>6</v>
      </c>
      <c r="CY14" s="201"/>
      <c r="CZ14" s="201"/>
      <c r="DA14" s="201"/>
      <c r="DB14" s="5" t="s">
        <v>93</v>
      </c>
      <c r="DC14" s="202">
        <f t="shared" si="11"/>
        <v>9</v>
      </c>
      <c r="DD14" s="202">
        <f t="shared" si="12"/>
        <v>20</v>
      </c>
      <c r="DE14" s="202">
        <f t="shared" si="36"/>
        <v>8</v>
      </c>
      <c r="DF14" s="202">
        <f t="shared" si="37"/>
        <v>6</v>
      </c>
      <c r="DJ14" s="305" t="s">
        <v>93</v>
      </c>
      <c r="DK14" s="299">
        <v>20</v>
      </c>
      <c r="DL14" s="299">
        <v>25</v>
      </c>
      <c r="DM14" s="300">
        <v>5</v>
      </c>
      <c r="DN14" s="300">
        <v>12</v>
      </c>
      <c r="DO14" s="306"/>
      <c r="DP14" s="306"/>
      <c r="DQ14" s="306"/>
      <c r="DR14" s="5" t="s">
        <v>93</v>
      </c>
      <c r="DS14" s="309">
        <f t="shared" si="13"/>
        <v>15</v>
      </c>
      <c r="DT14" s="309">
        <f t="shared" si="14"/>
        <v>13</v>
      </c>
      <c r="DU14" s="202">
        <f t="shared" si="38"/>
        <v>5</v>
      </c>
      <c r="DV14" s="202">
        <f t="shared" si="39"/>
        <v>12</v>
      </c>
      <c r="DZ14" s="305" t="s">
        <v>93</v>
      </c>
      <c r="EA14" s="299">
        <v>22</v>
      </c>
      <c r="EB14" s="299">
        <v>28</v>
      </c>
      <c r="EC14" s="340">
        <v>6</v>
      </c>
      <c r="ED14" s="340"/>
      <c r="EE14" s="636"/>
      <c r="EF14" s="636"/>
      <c r="EG14" s="5" t="s">
        <v>93</v>
      </c>
      <c r="EH14" s="202">
        <f t="shared" si="15"/>
        <v>16</v>
      </c>
      <c r="EI14" s="202">
        <f t="shared" si="16"/>
        <v>28</v>
      </c>
      <c r="EJ14" s="340">
        <v>6</v>
      </c>
      <c r="EK14" s="340"/>
      <c r="EO14" s="187" t="s">
        <v>93</v>
      </c>
      <c r="EP14">
        <v>20</v>
      </c>
      <c r="EQ14">
        <v>24</v>
      </c>
      <c r="ER14" s="340">
        <v>6</v>
      </c>
      <c r="ES14" s="340"/>
      <c r="ET14" s="201"/>
      <c r="EU14" s="201"/>
      <c r="EV14" s="201"/>
      <c r="EW14" s="5" t="s">
        <v>93</v>
      </c>
      <c r="EX14" s="202">
        <f t="shared" si="17"/>
        <v>14</v>
      </c>
      <c r="EY14" s="202">
        <f t="shared" si="18"/>
        <v>24</v>
      </c>
      <c r="EZ14" s="202">
        <f t="shared" si="40"/>
        <v>6</v>
      </c>
      <c r="FA14" s="202">
        <f t="shared" si="41"/>
        <v>0</v>
      </c>
      <c r="FE14" s="187" t="s">
        <v>93</v>
      </c>
      <c r="FF14">
        <v>23</v>
      </c>
      <c r="FG14">
        <v>17</v>
      </c>
      <c r="FH14" s="300">
        <v>9</v>
      </c>
      <c r="FI14" s="300">
        <v>2</v>
      </c>
      <c r="FJ14" s="658"/>
      <c r="FK14" s="659"/>
      <c r="FL14" s="660"/>
      <c r="FM14" s="5" t="s">
        <v>93</v>
      </c>
      <c r="FN14" s="202">
        <f t="shared" si="19"/>
        <v>14</v>
      </c>
      <c r="FO14" s="202">
        <f t="shared" si="20"/>
        <v>15</v>
      </c>
      <c r="FP14" s="202">
        <f t="shared" si="42"/>
        <v>9</v>
      </c>
      <c r="FQ14" s="202">
        <f t="shared" si="43"/>
        <v>2</v>
      </c>
      <c r="FU14" s="187" t="s">
        <v>93</v>
      </c>
      <c r="FV14">
        <v>25</v>
      </c>
      <c r="FW14">
        <v>16</v>
      </c>
      <c r="FX14" s="210">
        <v>6</v>
      </c>
      <c r="FY14" s="210">
        <v>3</v>
      </c>
      <c r="FZ14" s="201"/>
      <c r="GA14" s="201"/>
      <c r="GB14" s="201"/>
      <c r="GC14" s="5" t="s">
        <v>93</v>
      </c>
      <c r="GD14" s="202">
        <f t="shared" si="21"/>
        <v>19</v>
      </c>
      <c r="GE14" s="202">
        <f t="shared" si="22"/>
        <v>13</v>
      </c>
      <c r="GF14" s="202">
        <f t="shared" si="44"/>
        <v>6</v>
      </c>
      <c r="GG14" s="202">
        <f t="shared" si="45"/>
        <v>3</v>
      </c>
    </row>
    <row r="15" spans="2:190" ht="18.75" customHeight="1" x14ac:dyDescent="0.25">
      <c r="B15" s="187" t="s">
        <v>94</v>
      </c>
      <c r="C15">
        <v>17</v>
      </c>
      <c r="D15">
        <v>19</v>
      </c>
      <c r="E15" s="210">
        <v>2</v>
      </c>
      <c r="F15" s="210">
        <v>0</v>
      </c>
      <c r="G15" s="201"/>
      <c r="H15" s="201"/>
      <c r="I15" s="201"/>
      <c r="J15" s="5" t="s">
        <v>94</v>
      </c>
      <c r="K15" s="202">
        <f t="shared" si="23"/>
        <v>15</v>
      </c>
      <c r="L15" s="202">
        <f t="shared" si="0"/>
        <v>19</v>
      </c>
      <c r="M15" s="202">
        <f t="shared" si="24"/>
        <v>2</v>
      </c>
      <c r="N15" s="202">
        <f t="shared" si="25"/>
        <v>0</v>
      </c>
      <c r="R15" s="187" t="s">
        <v>94</v>
      </c>
      <c r="S15">
        <v>21</v>
      </c>
      <c r="T15">
        <v>24</v>
      </c>
      <c r="U15" s="210">
        <v>2</v>
      </c>
      <c r="V15" s="210"/>
      <c r="W15" s="201"/>
      <c r="X15" s="201"/>
      <c r="Y15" s="201"/>
      <c r="Z15" s="5" t="s">
        <v>94</v>
      </c>
      <c r="AA15" s="202">
        <f t="shared" si="1"/>
        <v>19</v>
      </c>
      <c r="AB15" s="202">
        <f t="shared" si="2"/>
        <v>24</v>
      </c>
      <c r="AC15" s="202">
        <f t="shared" si="26"/>
        <v>2</v>
      </c>
      <c r="AD15" s="202">
        <f t="shared" si="27"/>
        <v>0</v>
      </c>
      <c r="AH15" s="187" t="s">
        <v>94</v>
      </c>
      <c r="AI15">
        <v>20</v>
      </c>
      <c r="AJ15">
        <v>25</v>
      </c>
      <c r="AK15" s="188"/>
      <c r="AL15" s="188"/>
      <c r="AM15" s="201"/>
      <c r="AN15" s="201"/>
      <c r="AO15" s="201"/>
      <c r="AP15" s="5" t="s">
        <v>94</v>
      </c>
      <c r="AQ15" s="202">
        <f t="shared" si="3"/>
        <v>20</v>
      </c>
      <c r="AR15" s="202">
        <f t="shared" si="4"/>
        <v>25</v>
      </c>
      <c r="AS15" s="202">
        <f t="shared" si="28"/>
        <v>0</v>
      </c>
      <c r="AT15" s="202">
        <f t="shared" si="29"/>
        <v>0</v>
      </c>
      <c r="AX15" s="187" t="s">
        <v>94</v>
      </c>
      <c r="AY15">
        <v>26</v>
      </c>
      <c r="AZ15">
        <v>25</v>
      </c>
      <c r="BA15" s="188"/>
      <c r="BB15" s="188">
        <v>4</v>
      </c>
      <c r="BC15" s="201"/>
      <c r="BD15" s="201"/>
      <c r="BE15" s="201"/>
      <c r="BF15" s="5" t="s">
        <v>94</v>
      </c>
      <c r="BG15" s="202">
        <f t="shared" si="5"/>
        <v>26</v>
      </c>
      <c r="BH15" s="202">
        <f t="shared" si="6"/>
        <v>21</v>
      </c>
      <c r="BI15" s="202">
        <f t="shared" si="30"/>
        <v>0</v>
      </c>
      <c r="BJ15" s="202">
        <f t="shared" si="31"/>
        <v>4</v>
      </c>
      <c r="BN15" s="308" t="s">
        <v>94</v>
      </c>
      <c r="BO15" s="299">
        <v>14</v>
      </c>
      <c r="BP15" s="299">
        <v>25</v>
      </c>
      <c r="BQ15" s="300">
        <v>0</v>
      </c>
      <c r="BR15" s="300">
        <v>1</v>
      </c>
      <c r="BS15" s="201"/>
      <c r="BT15" s="201"/>
      <c r="BU15" s="201"/>
      <c r="BV15" s="5" t="s">
        <v>94</v>
      </c>
      <c r="BW15" s="202">
        <f t="shared" si="7"/>
        <v>14</v>
      </c>
      <c r="BX15" s="202">
        <f t="shared" si="8"/>
        <v>24</v>
      </c>
      <c r="BY15" s="202">
        <f t="shared" si="32"/>
        <v>0</v>
      </c>
      <c r="BZ15" s="202">
        <f t="shared" si="33"/>
        <v>1</v>
      </c>
      <c r="CD15" s="452" t="s">
        <v>94</v>
      </c>
      <c r="CE15" s="299">
        <v>24</v>
      </c>
      <c r="CF15" s="299">
        <v>18</v>
      </c>
      <c r="CG15" s="300">
        <v>4</v>
      </c>
      <c r="CH15" s="300">
        <v>6</v>
      </c>
      <c r="CI15" s="201"/>
      <c r="CJ15" s="201"/>
      <c r="CK15" s="201"/>
      <c r="CL15" s="5" t="s">
        <v>94</v>
      </c>
      <c r="CM15" s="202">
        <f t="shared" si="9"/>
        <v>20</v>
      </c>
      <c r="CN15" s="202">
        <f t="shared" si="10"/>
        <v>12</v>
      </c>
      <c r="CO15" s="202">
        <f t="shared" si="34"/>
        <v>4</v>
      </c>
      <c r="CP15" s="202">
        <f t="shared" si="35"/>
        <v>6</v>
      </c>
      <c r="CT15" s="187" t="s">
        <v>94</v>
      </c>
      <c r="CU15" s="171">
        <v>28</v>
      </c>
      <c r="CV15" s="171">
        <v>31</v>
      </c>
      <c r="CW15" s="300">
        <v>9</v>
      </c>
      <c r="CX15" s="300">
        <v>11</v>
      </c>
      <c r="CY15" s="201"/>
      <c r="CZ15" s="201"/>
      <c r="DA15" s="201"/>
      <c r="DB15" s="5" t="s">
        <v>94</v>
      </c>
      <c r="DC15" s="202">
        <f t="shared" si="11"/>
        <v>19</v>
      </c>
      <c r="DD15" s="202">
        <f t="shared" si="12"/>
        <v>20</v>
      </c>
      <c r="DE15" s="202">
        <f t="shared" si="36"/>
        <v>9</v>
      </c>
      <c r="DF15" s="202">
        <f t="shared" si="37"/>
        <v>11</v>
      </c>
      <c r="DJ15" s="305" t="s">
        <v>94</v>
      </c>
      <c r="DK15" s="299">
        <v>29</v>
      </c>
      <c r="DL15" s="299">
        <v>27</v>
      </c>
      <c r="DM15" s="300">
        <v>4</v>
      </c>
      <c r="DN15" s="300">
        <v>6</v>
      </c>
      <c r="DO15" s="306"/>
      <c r="DP15" s="306"/>
      <c r="DQ15" s="306"/>
      <c r="DR15" s="5" t="s">
        <v>94</v>
      </c>
      <c r="DS15" s="309">
        <f t="shared" si="13"/>
        <v>25</v>
      </c>
      <c r="DT15" s="309">
        <f t="shared" si="14"/>
        <v>21</v>
      </c>
      <c r="DU15" s="202">
        <f t="shared" si="38"/>
        <v>4</v>
      </c>
      <c r="DV15" s="202">
        <f t="shared" si="39"/>
        <v>6</v>
      </c>
      <c r="DZ15" s="305" t="s">
        <v>94</v>
      </c>
      <c r="EA15" s="299">
        <v>29</v>
      </c>
      <c r="EB15" s="299">
        <v>14</v>
      </c>
      <c r="EC15" s="340">
        <v>3</v>
      </c>
      <c r="ED15" s="340">
        <v>3</v>
      </c>
      <c r="EE15" s="652"/>
      <c r="EF15" s="652"/>
      <c r="EG15" s="5" t="s">
        <v>94</v>
      </c>
      <c r="EH15" s="202">
        <f t="shared" si="15"/>
        <v>26</v>
      </c>
      <c r="EI15" s="202">
        <f t="shared" si="16"/>
        <v>11</v>
      </c>
      <c r="EJ15" s="340">
        <v>3</v>
      </c>
      <c r="EK15" s="340">
        <v>3</v>
      </c>
      <c r="EO15" s="187" t="s">
        <v>94</v>
      </c>
      <c r="EP15">
        <v>24</v>
      </c>
      <c r="EQ15">
        <v>24</v>
      </c>
      <c r="ER15" s="340">
        <v>3</v>
      </c>
      <c r="ES15" s="340">
        <v>3</v>
      </c>
      <c r="ET15" s="201"/>
      <c r="EU15" s="201"/>
      <c r="EV15" s="201"/>
      <c r="EW15" s="5" t="s">
        <v>94</v>
      </c>
      <c r="EX15" s="202">
        <f t="shared" si="17"/>
        <v>21</v>
      </c>
      <c r="EY15" s="202">
        <f t="shared" si="18"/>
        <v>21</v>
      </c>
      <c r="EZ15" s="202">
        <f t="shared" si="40"/>
        <v>3</v>
      </c>
      <c r="FA15" s="202">
        <f t="shared" si="41"/>
        <v>3</v>
      </c>
      <c r="FE15" s="187" t="s">
        <v>94</v>
      </c>
      <c r="FF15">
        <v>25</v>
      </c>
      <c r="FG15">
        <v>21</v>
      </c>
      <c r="FH15" s="300">
        <v>6</v>
      </c>
      <c r="FI15" s="300">
        <v>1</v>
      </c>
      <c r="FJ15" s="661"/>
      <c r="FK15" s="662"/>
      <c r="FL15" s="663"/>
      <c r="FM15" s="5" t="s">
        <v>94</v>
      </c>
      <c r="FN15" s="202">
        <f t="shared" si="19"/>
        <v>19</v>
      </c>
      <c r="FO15" s="202">
        <f t="shared" si="20"/>
        <v>20</v>
      </c>
      <c r="FP15" s="202">
        <f t="shared" si="42"/>
        <v>6</v>
      </c>
      <c r="FQ15" s="202">
        <f t="shared" si="43"/>
        <v>1</v>
      </c>
      <c r="FU15" s="187" t="s">
        <v>94</v>
      </c>
      <c r="FV15">
        <v>24</v>
      </c>
      <c r="FW15">
        <v>20</v>
      </c>
      <c r="FX15" s="210">
        <v>5</v>
      </c>
      <c r="FY15" s="210">
        <v>2</v>
      </c>
      <c r="FZ15" s="201"/>
      <c r="GA15" s="201"/>
      <c r="GB15" s="201"/>
      <c r="GC15" s="5" t="s">
        <v>94</v>
      </c>
      <c r="GD15" s="202">
        <f t="shared" si="21"/>
        <v>19</v>
      </c>
      <c r="GE15" s="202">
        <f t="shared" si="22"/>
        <v>18</v>
      </c>
      <c r="GF15" s="202">
        <f t="shared" si="44"/>
        <v>5</v>
      </c>
      <c r="GG15" s="202">
        <f t="shared" si="45"/>
        <v>2</v>
      </c>
    </row>
    <row r="16" spans="2:190" ht="18.75" customHeight="1" x14ac:dyDescent="0.25">
      <c r="B16" s="195" t="s">
        <v>95</v>
      </c>
      <c r="C16" s="196">
        <f>SUM(C4:C15)</f>
        <v>208</v>
      </c>
      <c r="D16" s="196">
        <f>SUM(D4:D15)</f>
        <v>399</v>
      </c>
      <c r="E16" s="196">
        <f>SUM(E4:E15)</f>
        <v>57</v>
      </c>
      <c r="F16" s="196">
        <f>SUM(F4:F15)</f>
        <v>17</v>
      </c>
      <c r="G16" s="196"/>
      <c r="H16" s="196"/>
      <c r="I16" s="196"/>
      <c r="J16" s="198" t="s">
        <v>95</v>
      </c>
      <c r="K16" s="203">
        <f>SUM(K4:K15)</f>
        <v>151</v>
      </c>
      <c r="L16" s="203">
        <f>SUM(L4:L15)</f>
        <v>382</v>
      </c>
      <c r="M16" s="203">
        <f>SUM(M4:M15)</f>
        <v>57</v>
      </c>
      <c r="N16" s="203">
        <f>SUM(N4:N15)</f>
        <v>17</v>
      </c>
      <c r="O16" s="166">
        <f>SUM(K16:N16)</f>
        <v>607</v>
      </c>
      <c r="P16" s="166"/>
      <c r="R16" s="195" t="s">
        <v>95</v>
      </c>
      <c r="S16" s="196">
        <f>SUM(S4:S15)</f>
        <v>217</v>
      </c>
      <c r="T16" s="196">
        <f>SUM(T4:T15)</f>
        <v>382</v>
      </c>
      <c r="U16" s="196">
        <f>SUM(U4:U15)</f>
        <v>51</v>
      </c>
      <c r="V16" s="196">
        <f>SUM(V4:V15)</f>
        <v>39</v>
      </c>
      <c r="W16" s="196"/>
      <c r="X16" s="196"/>
      <c r="Y16" s="196"/>
      <c r="Z16" s="198" t="s">
        <v>95</v>
      </c>
      <c r="AA16" s="203">
        <f>SUM(AA4:AA15)</f>
        <v>166</v>
      </c>
      <c r="AB16" s="203">
        <f>SUM(AB4:AB15)</f>
        <v>343</v>
      </c>
      <c r="AC16" s="203">
        <f>SUM(AC4:AC15)</f>
        <v>51</v>
      </c>
      <c r="AD16" s="203">
        <f>SUM(AD4:AD15)</f>
        <v>39</v>
      </c>
      <c r="AE16" s="166">
        <f>SUM(AA16:AD16)</f>
        <v>599</v>
      </c>
      <c r="AH16" s="195" t="s">
        <v>95</v>
      </c>
      <c r="AI16" s="196">
        <f>SUM(AI4:AI15)</f>
        <v>195</v>
      </c>
      <c r="AJ16" s="196">
        <f>SUM(AJ4:AJ15)</f>
        <v>440</v>
      </c>
      <c r="AK16" s="196">
        <f>SUM(AK4:AK15)</f>
        <v>0</v>
      </c>
      <c r="AL16" s="196">
        <f>SUM(AL4:AL15)</f>
        <v>0</v>
      </c>
      <c r="AM16" s="196"/>
      <c r="AN16" s="196"/>
      <c r="AO16" s="196"/>
      <c r="AP16" s="198" t="s">
        <v>95</v>
      </c>
      <c r="AQ16" s="203">
        <f>SUM(AQ4:AQ15)</f>
        <v>195</v>
      </c>
      <c r="AR16" s="203">
        <f>SUM(AR4:AR15)</f>
        <v>440</v>
      </c>
      <c r="AS16" s="203">
        <f>SUM(AS4:AS15)</f>
        <v>0</v>
      </c>
      <c r="AT16" s="203">
        <f>SUM(AT4:AT15)</f>
        <v>0</v>
      </c>
      <c r="AU16" s="166">
        <f>SUM(AQ16:AT16)</f>
        <v>635</v>
      </c>
      <c r="AX16" s="195" t="s">
        <v>95</v>
      </c>
      <c r="AY16" s="196">
        <f>SUM(AY4:AY15)</f>
        <v>207</v>
      </c>
      <c r="AZ16" s="196">
        <f>SUM(AZ4:AZ15)</f>
        <v>505</v>
      </c>
      <c r="BA16" s="196">
        <f>SUM(BA4:BA15)</f>
        <v>51</v>
      </c>
      <c r="BB16" s="196">
        <f>SUM(BB4:BB15)</f>
        <v>60</v>
      </c>
      <c r="BC16" s="196"/>
      <c r="BD16" s="196"/>
      <c r="BE16" s="196"/>
      <c r="BF16" s="198" t="s">
        <v>95</v>
      </c>
      <c r="BG16" s="203">
        <f>SUM(BG4:BG15)</f>
        <v>156</v>
      </c>
      <c r="BH16" s="203">
        <f>SUM(BH4:BH15)</f>
        <v>445</v>
      </c>
      <c r="BI16" s="203">
        <f>SUM(BI4:BI15)</f>
        <v>51</v>
      </c>
      <c r="BJ16" s="203">
        <f>SUM(BJ4:BJ15)</f>
        <v>60</v>
      </c>
      <c r="BK16" s="395">
        <f>SUM(BG16:BJ16)</f>
        <v>712</v>
      </c>
      <c r="BN16" s="195" t="s">
        <v>95</v>
      </c>
      <c r="BO16" s="307">
        <f>SUM(BO4:BO15)</f>
        <v>226</v>
      </c>
      <c r="BP16" s="307">
        <f>SUM(BP4:BP15)</f>
        <v>520</v>
      </c>
      <c r="BQ16" s="307">
        <f>SUM(BQ4:BQ15)</f>
        <v>53</v>
      </c>
      <c r="BR16" s="307">
        <f>SUM(BR4:BR15)</f>
        <v>40</v>
      </c>
      <c r="BS16" s="196"/>
      <c r="BT16" s="196"/>
      <c r="BU16" s="196"/>
      <c r="BV16" s="198" t="s">
        <v>95</v>
      </c>
      <c r="BW16" s="203">
        <f>SUM(BW4:BW15)</f>
        <v>173</v>
      </c>
      <c r="BX16" s="203">
        <f>SUM(BX4:BX15)</f>
        <v>480</v>
      </c>
      <c r="BY16" s="203">
        <f>SUM(BY4:BY15)</f>
        <v>53</v>
      </c>
      <c r="BZ16" s="203">
        <f>SUM(BZ4:BZ15)</f>
        <v>40</v>
      </c>
      <c r="CA16" s="395">
        <f>SUM(BW16:BZ16)</f>
        <v>746</v>
      </c>
      <c r="CD16" s="195" t="s">
        <v>95</v>
      </c>
      <c r="CE16" s="196">
        <f>SUM(CE4:CE15)</f>
        <v>168</v>
      </c>
      <c r="CF16" s="196">
        <f>SUM(CF4:CF15)</f>
        <v>365</v>
      </c>
      <c r="CG16" s="196">
        <f>SUM(CG4:CG15)</f>
        <v>48</v>
      </c>
      <c r="CH16" s="196">
        <f>SUM(CH4:CH15)</f>
        <v>35</v>
      </c>
      <c r="CI16" s="196"/>
      <c r="CJ16" s="196"/>
      <c r="CK16" s="196"/>
      <c r="CL16" s="198" t="s">
        <v>95</v>
      </c>
      <c r="CM16" s="203">
        <f>SUM(CM4:CM15)</f>
        <v>120</v>
      </c>
      <c r="CN16" s="203">
        <f>SUM(CN4:CN15)</f>
        <v>330</v>
      </c>
      <c r="CO16" s="203">
        <f>SUM(CO4:CO15)</f>
        <v>48</v>
      </c>
      <c r="CP16" s="203">
        <f>SUM(CP4:CP15)</f>
        <v>35</v>
      </c>
      <c r="CQ16" s="12">
        <f>SUM(CM16:CP16)</f>
        <v>533</v>
      </c>
      <c r="CT16" s="195" t="s">
        <v>95</v>
      </c>
      <c r="CU16" s="196">
        <f>SUM(CU4:CU15)</f>
        <v>230</v>
      </c>
      <c r="CV16" s="196">
        <f>SUM(CV4:CV15)</f>
        <v>573</v>
      </c>
      <c r="CW16" s="196">
        <f>SUM(CW4:CW15)</f>
        <v>56</v>
      </c>
      <c r="CX16" s="196">
        <f>SUM(CX4:CX15)</f>
        <v>50</v>
      </c>
      <c r="CY16" s="196"/>
      <c r="CZ16" s="196"/>
      <c r="DA16" s="196"/>
      <c r="DB16" s="198" t="s">
        <v>95</v>
      </c>
      <c r="DC16" s="203">
        <f>SUM(DC4:DC15)</f>
        <v>174</v>
      </c>
      <c r="DD16" s="203">
        <f>SUM(DD4:DD15)</f>
        <v>523</v>
      </c>
      <c r="DE16" s="203">
        <f>SUM(DE4:DE15)</f>
        <v>56</v>
      </c>
      <c r="DF16" s="203">
        <f>SUM(DF4:DF15)</f>
        <v>50</v>
      </c>
      <c r="DG16" s="166">
        <f>SUM(DC16:DF16)</f>
        <v>803</v>
      </c>
      <c r="DJ16" s="195" t="s">
        <v>95</v>
      </c>
      <c r="DK16" s="307">
        <f>SUM(DK4:DK15)</f>
        <v>234</v>
      </c>
      <c r="DL16" s="307">
        <f>SUM(DL4:DL15)</f>
        <v>560</v>
      </c>
      <c r="DM16" s="307">
        <f>SUM(DM4:DM15)</f>
        <v>64</v>
      </c>
      <c r="DN16" s="307">
        <f>SUM(DN4:DN15)</f>
        <v>74</v>
      </c>
      <c r="DO16" s="196"/>
      <c r="DP16" s="196"/>
      <c r="DQ16" s="196"/>
      <c r="DR16" s="198" t="s">
        <v>95</v>
      </c>
      <c r="DS16" s="203">
        <f>SUM(DS4:DS15)</f>
        <v>170</v>
      </c>
      <c r="DT16" s="203">
        <f>SUM(DT4:DT15)</f>
        <v>486</v>
      </c>
      <c r="DU16" s="203">
        <f>SUM(DU4:DU15)</f>
        <v>64</v>
      </c>
      <c r="DV16" s="203">
        <f>SUM(DV4:DV15)</f>
        <v>74</v>
      </c>
      <c r="DW16" s="166">
        <f>SUM(DS16:DV16)</f>
        <v>794</v>
      </c>
      <c r="DZ16" s="517" t="s">
        <v>95</v>
      </c>
      <c r="EA16" s="196">
        <f>SUM(EA4:EA15)</f>
        <v>209</v>
      </c>
      <c r="EB16" s="196">
        <f>SUM(EB4:EB15)</f>
        <v>471</v>
      </c>
      <c r="EC16" s="196">
        <f>SUM(EC4:EC15)</f>
        <v>64</v>
      </c>
      <c r="ED16" s="196">
        <f>SUM(ED4:ED15)</f>
        <v>39</v>
      </c>
      <c r="EE16" s="196"/>
      <c r="EF16" s="196"/>
      <c r="EG16" s="198" t="s">
        <v>95</v>
      </c>
      <c r="EH16" s="203">
        <f>SUM(EH4:EH15)</f>
        <v>145</v>
      </c>
      <c r="EI16" s="203">
        <f>SUM(EI4:EI15)</f>
        <v>432</v>
      </c>
      <c r="EJ16" s="203">
        <f>SUM(EJ4:EJ15)</f>
        <v>64</v>
      </c>
      <c r="EK16" s="518">
        <f>SUM(EK4:EK15)</f>
        <v>39</v>
      </c>
      <c r="EL16" s="166">
        <f>SUM(EH16:EK16)</f>
        <v>680</v>
      </c>
      <c r="EO16" s="195" t="s">
        <v>95</v>
      </c>
      <c r="EP16" s="196">
        <f>SUM(EP4:EP15)</f>
        <v>232</v>
      </c>
      <c r="EQ16" s="196">
        <f>SUM(EQ4:EQ15)</f>
        <v>540</v>
      </c>
      <c r="ER16" s="196">
        <f>SUM(ER4:ER15)</f>
        <v>64</v>
      </c>
      <c r="ES16" s="196">
        <f>SUM(ES4:ES15)</f>
        <v>39</v>
      </c>
      <c r="ET16" s="196"/>
      <c r="EU16" s="196"/>
      <c r="EV16" s="196"/>
      <c r="EW16" s="198" t="s">
        <v>95</v>
      </c>
      <c r="EX16" s="203">
        <f>SUM(EX4:EX15)</f>
        <v>168</v>
      </c>
      <c r="EY16" s="203">
        <f>SUM(EY4:EY15)</f>
        <v>501</v>
      </c>
      <c r="EZ16" s="203">
        <f>SUM(EZ4:EZ15)</f>
        <v>64</v>
      </c>
      <c r="FA16" s="203">
        <f>SUM(FA4:FA15)</f>
        <v>39</v>
      </c>
      <c r="FB16" s="166">
        <f>SUM(EX16:FA16)</f>
        <v>772</v>
      </c>
      <c r="FE16" s="195" t="s">
        <v>95</v>
      </c>
      <c r="FF16" s="196">
        <f>SUM(FF4:FF15)</f>
        <v>249</v>
      </c>
      <c r="FG16" s="196">
        <f>SUM(FG4:FG15)</f>
        <v>543</v>
      </c>
      <c r="FH16" s="196">
        <f>SUM(FH4:FH15)</f>
        <v>65</v>
      </c>
      <c r="FI16" s="196">
        <f>SUM(FI4:FI15)</f>
        <v>32</v>
      </c>
      <c r="FJ16" s="654"/>
      <c r="FK16" s="654"/>
      <c r="FL16" s="654"/>
      <c r="FM16" s="198" t="s">
        <v>95</v>
      </c>
      <c r="FN16" s="203">
        <f>SUM(FN4:FN15)</f>
        <v>184</v>
      </c>
      <c r="FO16" s="203">
        <f>SUM(FO4:FO15)</f>
        <v>511</v>
      </c>
      <c r="FP16" s="203">
        <f>SUM(FP4:FP15)</f>
        <v>65</v>
      </c>
      <c r="FQ16" s="203">
        <f>SUM(FQ4:FQ15)</f>
        <v>32</v>
      </c>
      <c r="FR16" s="166">
        <f>SUM(FN16:FQ16)</f>
        <v>792</v>
      </c>
      <c r="FU16" s="195" t="s">
        <v>95</v>
      </c>
      <c r="FV16" s="196">
        <f>SUM(FV4:FV15)</f>
        <v>202</v>
      </c>
      <c r="FW16" s="196">
        <f>SUM(FW4:FW15)</f>
        <v>372</v>
      </c>
      <c r="FX16" s="196">
        <f>SUM(FX4:FX15)</f>
        <v>60</v>
      </c>
      <c r="FY16" s="196">
        <f>SUM(FY4:FY15)</f>
        <v>40</v>
      </c>
      <c r="FZ16" s="196"/>
      <c r="GA16" s="196"/>
      <c r="GB16" s="196"/>
      <c r="GC16" s="198" t="s">
        <v>95</v>
      </c>
      <c r="GD16" s="203">
        <f>SUM(GD4:GD15)</f>
        <v>142</v>
      </c>
      <c r="GE16" s="203">
        <f>SUM(GE4:GE15)</f>
        <v>332</v>
      </c>
      <c r="GF16" s="203">
        <f>SUM(GF4:GF15)</f>
        <v>60</v>
      </c>
      <c r="GG16" s="203">
        <f>SUM(GG4:GG15)</f>
        <v>40</v>
      </c>
      <c r="GH16" s="166">
        <f>SUM(GD16:GG16)</f>
        <v>574</v>
      </c>
    </row>
    <row r="17" spans="2:222" x14ac:dyDescent="0.25">
      <c r="B17" s="295"/>
      <c r="C17" s="295"/>
      <c r="D17" s="295"/>
      <c r="E17" s="295"/>
      <c r="F17" s="295"/>
      <c r="G17" s="295"/>
      <c r="H17" s="295"/>
      <c r="I17" s="295"/>
      <c r="J17" s="295"/>
      <c r="K17" s="295"/>
      <c r="L17" s="295"/>
      <c r="M17" s="295"/>
      <c r="N17" s="295"/>
      <c r="O17" s="295"/>
      <c r="P17" s="295"/>
      <c r="Q17" s="295"/>
      <c r="R17" s="295"/>
      <c r="S17" s="295"/>
      <c r="T17" s="295"/>
      <c r="U17" s="295"/>
      <c r="V17" s="295"/>
      <c r="W17" s="295"/>
      <c r="X17" s="295"/>
      <c r="Y17" s="295"/>
      <c r="Z17" s="295"/>
      <c r="AA17" s="295"/>
      <c r="AB17" s="295"/>
      <c r="AC17" s="295"/>
      <c r="AD17" s="295"/>
      <c r="AE17" s="295"/>
      <c r="AF17" s="295"/>
      <c r="AG17" s="295"/>
      <c r="AH17" s="295"/>
      <c r="AI17" s="295"/>
      <c r="AJ17" s="295"/>
      <c r="AK17" s="295"/>
      <c r="AL17" s="295"/>
      <c r="AM17" s="295"/>
      <c r="AN17" s="295"/>
      <c r="AO17" s="295"/>
      <c r="AP17" s="295"/>
      <c r="AQ17" s="295"/>
      <c r="AR17" s="295"/>
      <c r="AS17" s="295"/>
      <c r="AT17" s="295"/>
      <c r="AU17" s="295"/>
      <c r="AV17" s="295"/>
      <c r="AW17" s="295"/>
      <c r="AX17" s="295"/>
      <c r="AY17" s="295"/>
      <c r="AZ17" s="295"/>
      <c r="BA17" s="295"/>
      <c r="BB17" s="295"/>
      <c r="BC17" s="295"/>
      <c r="BD17" s="295"/>
      <c r="BE17" s="295"/>
      <c r="BF17" s="295"/>
      <c r="BG17" s="295"/>
      <c r="BH17" s="295"/>
      <c r="BI17" s="295"/>
      <c r="BJ17" s="295"/>
      <c r="BK17" s="295"/>
      <c r="BL17" s="295"/>
      <c r="BM17" s="295"/>
      <c r="BN17" s="295"/>
      <c r="BO17" s="295"/>
      <c r="BP17" s="295"/>
      <c r="BQ17" s="295"/>
      <c r="BR17" s="295"/>
      <c r="BS17" s="295"/>
      <c r="BT17" s="295"/>
      <c r="BU17" s="295"/>
      <c r="BV17" s="295"/>
      <c r="BW17" s="295"/>
      <c r="BX17" s="295"/>
      <c r="BY17" s="295"/>
      <c r="BZ17" s="295"/>
      <c r="CA17" s="295"/>
      <c r="CB17" s="295"/>
      <c r="CC17" s="295"/>
      <c r="CD17" s="295"/>
      <c r="CE17" s="295"/>
      <c r="CF17" s="295"/>
      <c r="CG17" s="295"/>
      <c r="CH17" s="295"/>
      <c r="CI17" s="295"/>
      <c r="CJ17" s="295"/>
      <c r="CK17" s="295"/>
      <c r="CL17" s="295"/>
      <c r="CM17" s="295"/>
      <c r="CN17" s="295"/>
      <c r="CO17" s="295"/>
      <c r="CP17" s="295"/>
      <c r="CQ17" s="295"/>
      <c r="CR17" s="295"/>
      <c r="CS17" s="295"/>
      <c r="CT17" s="295"/>
      <c r="CU17" s="295"/>
      <c r="CV17" s="295"/>
      <c r="CW17" s="295"/>
      <c r="CX17" s="295"/>
      <c r="CY17" s="295"/>
      <c r="CZ17" s="295"/>
      <c r="DA17" s="295"/>
      <c r="DB17" s="295"/>
      <c r="DC17" s="295"/>
      <c r="DD17" s="295"/>
      <c r="DE17" s="295"/>
      <c r="DF17" s="295"/>
      <c r="DG17" s="295"/>
      <c r="DH17" s="295"/>
      <c r="DI17" s="295"/>
      <c r="DJ17" s="295"/>
      <c r="DK17" s="295"/>
      <c r="DL17" s="295"/>
      <c r="DM17" s="295"/>
      <c r="DN17" s="295"/>
      <c r="DO17" s="295"/>
      <c r="DP17" s="295"/>
      <c r="DQ17" s="295"/>
      <c r="DR17" s="295"/>
      <c r="DS17" s="295"/>
      <c r="DT17" s="295"/>
      <c r="DU17" s="295"/>
      <c r="DV17" s="295"/>
      <c r="DW17" s="295"/>
      <c r="DX17" s="295"/>
      <c r="DY17" s="295"/>
      <c r="DZ17" s="295"/>
      <c r="EA17" s="295"/>
      <c r="EB17" s="295"/>
      <c r="EC17" s="295"/>
      <c r="ED17" s="295"/>
      <c r="EE17" s="295"/>
      <c r="EF17" s="295"/>
      <c r="EG17" s="295"/>
      <c r="EH17" s="295"/>
      <c r="EI17" s="295"/>
      <c r="EJ17" s="295"/>
      <c r="EK17" s="295"/>
      <c r="EL17" s="295"/>
      <c r="EM17" s="295"/>
      <c r="EN17" s="295"/>
      <c r="EO17" s="295"/>
      <c r="EP17" s="295"/>
      <c r="EQ17" s="295"/>
      <c r="ER17" s="295"/>
      <c r="ES17" s="295"/>
      <c r="ET17" s="295"/>
      <c r="EU17" s="295"/>
      <c r="EV17" s="295"/>
      <c r="EW17" s="295"/>
      <c r="EX17" s="295"/>
      <c r="EY17" s="295"/>
      <c r="EZ17" s="295"/>
      <c r="FA17" s="295"/>
      <c r="FB17" s="295"/>
      <c r="FC17" s="295"/>
      <c r="FD17" s="295"/>
      <c r="FE17" s="295"/>
      <c r="FF17" s="295"/>
      <c r="FG17" s="295"/>
      <c r="FH17" s="295"/>
      <c r="FI17" s="295"/>
      <c r="FJ17" s="295"/>
      <c r="FK17" s="295"/>
      <c r="FL17" s="295"/>
      <c r="FM17" s="295"/>
      <c r="FN17" s="295"/>
      <c r="FO17" s="295"/>
      <c r="FP17" s="295"/>
      <c r="FQ17" s="295"/>
      <c r="FR17" s="295"/>
      <c r="FS17" s="295"/>
      <c r="FT17" s="295"/>
      <c r="FU17" s="295"/>
      <c r="FV17" s="295"/>
      <c r="FW17" s="295"/>
      <c r="FX17" s="295"/>
      <c r="FY17" s="295"/>
      <c r="FZ17" s="295"/>
      <c r="GA17" s="295"/>
      <c r="GB17" s="295"/>
      <c r="GC17" s="295"/>
      <c r="GD17" s="295"/>
      <c r="GE17" s="295"/>
      <c r="GF17" s="295"/>
      <c r="GG17" s="295"/>
      <c r="GH17" s="295"/>
      <c r="GI17" s="295"/>
      <c r="GJ17" s="295"/>
      <c r="GK17" s="295"/>
      <c r="GL17" s="295"/>
      <c r="GM17" s="295"/>
      <c r="GN17" s="295"/>
      <c r="GO17" s="295"/>
      <c r="GP17" s="295"/>
      <c r="GQ17" s="295"/>
      <c r="GR17" s="295"/>
      <c r="GS17" s="295"/>
      <c r="GT17" s="295"/>
      <c r="GU17" s="295"/>
      <c r="GV17" s="295"/>
      <c r="GW17" s="295"/>
      <c r="GX17" s="295"/>
      <c r="GY17" s="295"/>
      <c r="GZ17" s="295"/>
      <c r="HA17" s="295"/>
      <c r="HB17" s="295"/>
      <c r="HC17" s="295"/>
      <c r="HD17" s="295"/>
      <c r="HE17" s="295"/>
      <c r="HF17" s="295"/>
      <c r="HG17" s="295"/>
      <c r="HH17" s="295"/>
      <c r="HI17" s="295"/>
      <c r="HJ17" s="295"/>
      <c r="HK17" s="295"/>
      <c r="HL17" s="295"/>
      <c r="HM17" s="295"/>
      <c r="HN17" s="295"/>
    </row>
    <row r="18" spans="2:222" x14ac:dyDescent="0.25">
      <c r="B18" s="295"/>
      <c r="C18" s="295"/>
      <c r="D18" s="295"/>
      <c r="E18" s="295"/>
      <c r="F18" s="295"/>
      <c r="G18" s="295"/>
      <c r="H18" s="295"/>
      <c r="I18" s="295"/>
      <c r="J18" s="295"/>
      <c r="K18" s="295"/>
      <c r="L18" s="295"/>
      <c r="M18" s="295"/>
      <c r="N18" s="295"/>
      <c r="O18" s="295"/>
      <c r="P18" s="295"/>
      <c r="Q18" s="295"/>
      <c r="R18" s="295"/>
      <c r="S18" s="295"/>
      <c r="T18" s="295"/>
      <c r="U18" s="295"/>
      <c r="V18" s="295"/>
      <c r="W18" s="295"/>
      <c r="X18" s="295"/>
      <c r="Y18" s="295"/>
      <c r="Z18" s="295"/>
      <c r="AA18" s="295"/>
      <c r="AB18" s="295"/>
      <c r="AC18" s="295"/>
      <c r="AD18" s="295"/>
      <c r="AE18" s="295"/>
      <c r="AF18" s="295"/>
      <c r="AG18" s="295"/>
      <c r="AH18" s="295"/>
      <c r="AI18" s="295"/>
      <c r="AJ18" s="295"/>
      <c r="AK18" s="295"/>
      <c r="AL18" s="295"/>
      <c r="AM18" s="295"/>
      <c r="AN18" s="295"/>
      <c r="AO18" s="295"/>
      <c r="AP18" s="295"/>
      <c r="AQ18" s="295"/>
      <c r="AR18" s="295"/>
      <c r="AS18" s="295"/>
      <c r="AT18" s="295"/>
      <c r="AU18" s="295"/>
      <c r="AV18" s="295"/>
      <c r="AW18" s="295"/>
      <c r="AX18" s="295"/>
      <c r="AY18" s="295"/>
      <c r="AZ18" s="295"/>
      <c r="BA18" s="295"/>
      <c r="BB18" s="295"/>
      <c r="BC18" s="295"/>
      <c r="BD18" s="295"/>
      <c r="BE18" s="295"/>
      <c r="BF18" s="295"/>
      <c r="BG18" s="295"/>
      <c r="BH18" s="295"/>
      <c r="BI18" s="295"/>
      <c r="BJ18" s="295"/>
      <c r="BK18" s="295"/>
      <c r="BL18" s="295"/>
      <c r="BM18" s="295"/>
      <c r="BN18" s="295"/>
      <c r="BO18" s="295"/>
      <c r="BP18" s="295"/>
      <c r="BQ18" s="295"/>
      <c r="BR18" s="295"/>
      <c r="BS18" s="295"/>
      <c r="BT18" s="295"/>
      <c r="BU18" s="295"/>
      <c r="BV18" s="295"/>
      <c r="BW18" s="295"/>
      <c r="BX18" s="295"/>
      <c r="BY18" s="295"/>
      <c r="BZ18" s="295"/>
      <c r="CA18" s="295"/>
      <c r="CB18" s="295"/>
      <c r="CC18" s="295"/>
      <c r="CD18" s="295"/>
      <c r="CE18" s="295"/>
      <c r="CF18" s="295"/>
      <c r="CG18" s="295"/>
      <c r="CH18" s="295"/>
      <c r="CI18" s="295"/>
      <c r="CJ18" s="295"/>
      <c r="CK18" s="295"/>
      <c r="CL18" s="295"/>
      <c r="CM18" s="295"/>
      <c r="CN18" s="295"/>
      <c r="CO18" s="295"/>
      <c r="CP18" s="295"/>
      <c r="CQ18" s="295"/>
      <c r="CR18" s="295"/>
      <c r="CS18" s="295"/>
      <c r="CT18" s="295"/>
      <c r="CU18" s="295"/>
      <c r="CV18" s="295"/>
      <c r="CW18" s="295"/>
      <c r="CX18" s="295"/>
      <c r="CY18" s="295"/>
      <c r="CZ18" s="295"/>
      <c r="DA18" s="295"/>
      <c r="DB18" s="295"/>
      <c r="DC18" s="295"/>
      <c r="DD18" s="295"/>
      <c r="DE18" s="295"/>
      <c r="DF18" s="295"/>
      <c r="DG18" s="295"/>
      <c r="DH18" s="295"/>
      <c r="DI18" s="295"/>
      <c r="DJ18" s="295"/>
      <c r="DK18" s="295"/>
      <c r="DL18" s="295"/>
      <c r="DM18" s="295"/>
      <c r="DN18" s="295"/>
      <c r="DO18" s="295"/>
      <c r="DP18" s="295"/>
      <c r="DQ18" s="295"/>
      <c r="DR18" s="295"/>
      <c r="DS18" s="295"/>
      <c r="DT18" s="295"/>
      <c r="DU18" s="295"/>
      <c r="DV18" s="295"/>
      <c r="DW18" s="295"/>
      <c r="DX18" s="295"/>
      <c r="DY18" s="295"/>
      <c r="DZ18" s="295"/>
      <c r="EA18" s="295"/>
      <c r="EB18" s="295"/>
      <c r="EC18" s="295"/>
      <c r="ED18" s="295"/>
      <c r="EE18" s="295"/>
      <c r="EF18" s="295"/>
      <c r="EG18" s="295"/>
      <c r="EH18" s="295"/>
      <c r="EI18" s="295"/>
      <c r="EJ18" s="295"/>
      <c r="EK18" s="295"/>
      <c r="EL18" s="295"/>
      <c r="EM18" s="295"/>
      <c r="EN18" s="295"/>
      <c r="EO18" s="295"/>
      <c r="EP18" s="295"/>
      <c r="EQ18" s="295"/>
      <c r="ER18" s="295"/>
      <c r="ES18" s="295"/>
      <c r="ET18" s="295"/>
      <c r="EU18" s="295"/>
      <c r="EV18" s="295"/>
      <c r="EW18" s="295"/>
      <c r="EX18" s="295"/>
      <c r="EY18" s="295"/>
      <c r="EZ18" s="295"/>
      <c r="FA18" s="295"/>
      <c r="FB18" s="295"/>
      <c r="FC18" s="295"/>
      <c r="FD18" s="295"/>
      <c r="FE18" s="295"/>
      <c r="FF18" s="295"/>
      <c r="FG18" s="295"/>
      <c r="FH18" s="295"/>
      <c r="FI18" s="295"/>
      <c r="FJ18" s="295"/>
      <c r="FK18" s="295"/>
      <c r="FL18" s="295"/>
      <c r="FM18" s="295"/>
      <c r="FN18" s="295"/>
      <c r="FO18" s="295"/>
      <c r="FP18" s="295"/>
      <c r="FQ18" s="295"/>
      <c r="FR18" s="295"/>
      <c r="FS18" s="295"/>
      <c r="FT18" s="295"/>
      <c r="FU18" s="295"/>
      <c r="FV18" s="295"/>
      <c r="FW18" s="295"/>
      <c r="FX18" s="295"/>
      <c r="FY18" s="295"/>
      <c r="FZ18" s="295"/>
      <c r="GA18" s="295"/>
      <c r="GB18" s="295"/>
      <c r="GC18" s="295"/>
      <c r="GD18" s="295"/>
      <c r="GE18" s="295"/>
      <c r="GF18" s="295"/>
      <c r="GG18" s="295"/>
      <c r="GH18" s="295"/>
      <c r="GI18" s="295"/>
      <c r="GJ18" s="295"/>
      <c r="GK18" s="295"/>
      <c r="GL18" s="295"/>
      <c r="GM18" s="295"/>
      <c r="GN18" s="295"/>
      <c r="GO18" s="295"/>
      <c r="GP18" s="295"/>
      <c r="GQ18" s="295"/>
      <c r="GR18" s="295"/>
      <c r="GS18" s="295"/>
      <c r="GT18" s="295"/>
      <c r="GU18" s="295"/>
      <c r="GV18" s="295"/>
      <c r="GW18" s="295"/>
      <c r="GX18" s="295"/>
      <c r="GY18" s="295"/>
      <c r="GZ18" s="295"/>
      <c r="HA18" s="295"/>
      <c r="HB18" s="295"/>
      <c r="HC18" s="295"/>
      <c r="HD18" s="295"/>
      <c r="HE18" s="295"/>
      <c r="HF18" s="295"/>
      <c r="HG18" s="295"/>
      <c r="HH18" s="295"/>
      <c r="HI18" s="295"/>
      <c r="HJ18" s="295"/>
      <c r="HK18" s="295"/>
      <c r="HL18" s="295"/>
      <c r="HM18" s="295"/>
      <c r="HN18" s="295"/>
    </row>
    <row r="20" spans="2:222" x14ac:dyDescent="0.25">
      <c r="T20" t="s">
        <v>49</v>
      </c>
    </row>
    <row r="23" spans="2:222" x14ac:dyDescent="0.25">
      <c r="AE23" s="166"/>
      <c r="AF23" s="206"/>
    </row>
  </sheetData>
  <mergeCells count="55">
    <mergeCell ref="FJ16:FL16"/>
    <mergeCell ref="FJ4:FL15"/>
    <mergeCell ref="CD1:CP1"/>
    <mergeCell ref="AS2:AT2"/>
    <mergeCell ref="AY2:AZ2"/>
    <mergeCell ref="BA2:BB2"/>
    <mergeCell ref="BG2:BH2"/>
    <mergeCell ref="BI2:BJ2"/>
    <mergeCell ref="BO2:BP2"/>
    <mergeCell ref="BQ2:BR2"/>
    <mergeCell ref="BW2:BX2"/>
    <mergeCell ref="BY2:BZ2"/>
    <mergeCell ref="CE2:CF2"/>
    <mergeCell ref="CG2:CH2"/>
    <mergeCell ref="CM2:CN2"/>
    <mergeCell ref="CO2:CP2"/>
    <mergeCell ref="BN1:BZ1"/>
    <mergeCell ref="AA2:AB2"/>
    <mergeCell ref="AC2:AD2"/>
    <mergeCell ref="AI2:AJ2"/>
    <mergeCell ref="AK2:AL2"/>
    <mergeCell ref="AQ2:AR2"/>
    <mergeCell ref="C2:D2"/>
    <mergeCell ref="S2:T2"/>
    <mergeCell ref="U2:V2"/>
    <mergeCell ref="E2:F2"/>
    <mergeCell ref="K2:L2"/>
    <mergeCell ref="M2:N2"/>
    <mergeCell ref="CU2:CV2"/>
    <mergeCell ref="EA2:EB2"/>
    <mergeCell ref="EC2:ED2"/>
    <mergeCell ref="EH2:EI2"/>
    <mergeCell ref="CW2:CX2"/>
    <mergeCell ref="DC2:DD2"/>
    <mergeCell ref="DE2:DF2"/>
    <mergeCell ref="DK2:DL2"/>
    <mergeCell ref="DM2:DN2"/>
    <mergeCell ref="DS2:DT2"/>
    <mergeCell ref="DU2:DV2"/>
    <mergeCell ref="EE2:EF15"/>
    <mergeCell ref="EZ2:FA2"/>
    <mergeCell ref="FX2:FY2"/>
    <mergeCell ref="GD2:GE2"/>
    <mergeCell ref="GF2:GG2"/>
    <mergeCell ref="FF2:FG2"/>
    <mergeCell ref="FH2:FI2"/>
    <mergeCell ref="FN2:FO2"/>
    <mergeCell ref="FP2:FQ2"/>
    <mergeCell ref="FV2:FW2"/>
    <mergeCell ref="DJ1:DV1"/>
    <mergeCell ref="EJ2:EK2"/>
    <mergeCell ref="EP2:EQ2"/>
    <mergeCell ref="ER2:ES2"/>
    <mergeCell ref="EX2:EY2"/>
    <mergeCell ref="DZ1:EK1"/>
  </mergeCells>
  <pageMargins left="0.87" right="0.2" top="0.75" bottom="0.54" header="0.3" footer="0.3"/>
  <pageSetup orientation="landscape" r:id="rId1"/>
  <ignoredErrors>
    <ignoredError sqref="J8 GC8 FU8 B8 R8" twoDigitTextYear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663300"/>
  </sheetPr>
  <dimension ref="A1:JE150"/>
  <sheetViews>
    <sheetView showFormulas="1" topLeftCell="DA3" zoomScale="80" zoomScaleNormal="80" workbookViewId="0">
      <selection activeCell="DI3" sqref="DI3:DI35"/>
    </sheetView>
  </sheetViews>
  <sheetFormatPr defaultColWidth="9.140625" defaultRowHeight="15.75" x14ac:dyDescent="0.25"/>
  <cols>
    <col min="1" max="1" width="2.5703125" style="154" customWidth="1"/>
    <col min="2" max="2" width="7.28515625" style="154" customWidth="1"/>
    <col min="3" max="3" width="6.140625" style="222" customWidth="1"/>
    <col min="4" max="4" width="17.28515625" style="153" customWidth="1"/>
    <col min="5" max="5" width="4.7109375" style="153" customWidth="1"/>
    <col min="6" max="6" width="3.7109375" style="153" customWidth="1"/>
    <col min="7" max="7" width="4.28515625" style="153" customWidth="1"/>
    <col min="8" max="8" width="4.85546875" style="153" customWidth="1"/>
    <col min="9" max="9" width="3.7109375" style="153" customWidth="1"/>
    <col min="10" max="10" width="2.85546875" style="153" customWidth="1"/>
    <col min="11" max="11" width="5.85546875" style="327" customWidth="1"/>
    <col min="12" max="12" width="6.7109375" style="222" bestFit="1" customWidth="1"/>
    <col min="13" max="13" width="16" style="153" customWidth="1"/>
    <col min="14" max="14" width="4.5703125" style="327" customWidth="1"/>
    <col min="15" max="15" width="4.42578125" style="327" customWidth="1"/>
    <col min="16" max="16" width="5.28515625" style="153" customWidth="1"/>
    <col min="17" max="17" width="7.28515625" style="153" customWidth="1"/>
    <col min="18" max="18" width="4.42578125" style="153" customWidth="1"/>
    <col min="19" max="19" width="3.140625" style="153" customWidth="1"/>
    <col min="20" max="20" width="6.42578125" style="153" bestFit="1" customWidth="1"/>
    <col min="21" max="21" width="5.85546875" style="222" customWidth="1"/>
    <col min="22" max="22" width="17.7109375" style="153" bestFit="1" customWidth="1"/>
    <col min="23" max="23" width="4" style="153" bestFit="1" customWidth="1"/>
    <col min="24" max="24" width="3.28515625" style="153" customWidth="1"/>
    <col min="25" max="25" width="9.140625" style="153"/>
    <col min="26" max="26" width="3.140625" style="153" customWidth="1"/>
    <col min="27" max="27" width="2.7109375" style="153" customWidth="1"/>
    <col min="28" max="28" width="2" style="153" customWidth="1"/>
    <col min="29" max="29" width="3.140625" style="377" customWidth="1"/>
    <col min="30" max="30" width="5.28515625" style="153" customWidth="1"/>
    <col min="31" max="31" width="5.5703125" style="222" customWidth="1"/>
    <col min="32" max="32" width="22.140625" style="153" bestFit="1" customWidth="1"/>
    <col min="33" max="33" width="4" style="153" bestFit="1" customWidth="1"/>
    <col min="34" max="34" width="3.7109375" style="298" customWidth="1"/>
    <col min="35" max="35" width="4.7109375" style="298" customWidth="1"/>
    <col min="36" max="36" width="3.28515625" style="298" bestFit="1" customWidth="1"/>
    <col min="37" max="37" width="4" style="153" customWidth="1"/>
    <col min="38" max="38" width="3" style="298" customWidth="1"/>
    <col min="39" max="39" width="5.28515625" style="304" customWidth="1"/>
    <col min="40" max="40" width="5.5703125" style="222" customWidth="1"/>
    <col min="41" max="41" width="17.85546875" style="153" customWidth="1"/>
    <col min="42" max="42" width="4.140625" style="153" customWidth="1"/>
    <col min="43" max="43" width="3.28515625" style="298" customWidth="1"/>
    <col min="44" max="44" width="3.42578125" style="298" customWidth="1"/>
    <col min="45" max="45" width="3.5703125" style="298" customWidth="1"/>
    <col min="46" max="46" width="4.7109375" style="153" customWidth="1"/>
    <col min="47" max="47" width="3.42578125" style="364" customWidth="1"/>
    <col min="48" max="48" width="4.7109375" style="364" customWidth="1"/>
    <col min="49" max="49" width="5.42578125" style="363" customWidth="1"/>
    <col min="50" max="50" width="15.5703125" style="364" bestFit="1" customWidth="1"/>
    <col min="51" max="51" width="4.28515625" style="364" bestFit="1" customWidth="1"/>
    <col min="52" max="52" width="2" style="365" bestFit="1" customWidth="1"/>
    <col min="53" max="53" width="4.85546875" style="365" customWidth="1"/>
    <col min="54" max="54" width="3.85546875" style="365" customWidth="1"/>
    <col min="55" max="55" width="9.140625" style="153"/>
    <col min="56" max="56" width="2.7109375" style="153" customWidth="1"/>
    <col min="57" max="57" width="8.7109375" style="153" customWidth="1"/>
    <col min="58" max="58" width="6" style="153" bestFit="1" customWidth="1"/>
    <col min="59" max="59" width="17.42578125" style="153" bestFit="1" customWidth="1"/>
    <col min="60" max="60" width="4.140625" style="228" bestFit="1" customWidth="1"/>
    <col min="61" max="61" width="3.28515625" style="153" customWidth="1"/>
    <col min="62" max="65" width="4.140625" style="153" customWidth="1"/>
    <col min="66" max="66" width="4.42578125" style="153" customWidth="1"/>
    <col min="67" max="67" width="4" style="153" hidden="1" customWidth="1"/>
    <col min="68" max="68" width="2.7109375" style="153" customWidth="1"/>
    <col min="69" max="69" width="7.140625" style="153" customWidth="1"/>
    <col min="70" max="70" width="9.140625" style="298"/>
    <col min="71" max="71" width="21.42578125" style="153" customWidth="1"/>
    <col min="72" max="72" width="6.7109375" style="153" customWidth="1"/>
    <col min="73" max="73" width="6.28515625" style="153" customWidth="1"/>
    <col min="74" max="74" width="9.140625" style="153"/>
    <col min="75" max="75" width="4.28515625" style="153" customWidth="1"/>
    <col min="76" max="76" width="13.85546875" style="153" customWidth="1"/>
    <col min="77" max="77" width="2.42578125" style="153" customWidth="1"/>
    <col min="78" max="78" width="5.85546875" style="153" customWidth="1"/>
    <col min="79" max="79" width="9.140625" style="222"/>
    <col min="80" max="80" width="16.5703125" style="153" bestFit="1" customWidth="1"/>
    <col min="81" max="81" width="4.5703125" style="153" bestFit="1" customWidth="1"/>
    <col min="82" max="82" width="4.7109375" style="153" customWidth="1"/>
    <col min="83" max="83" width="4.140625" style="298" customWidth="1"/>
    <col min="84" max="84" width="5" style="153" customWidth="1"/>
    <col min="85" max="85" width="9.140625" style="153"/>
    <col min="86" max="86" width="10.140625" style="153" customWidth="1"/>
    <col min="87" max="87" width="2.5703125" style="153" customWidth="1"/>
    <col min="88" max="88" width="5.42578125" style="153" customWidth="1"/>
    <col min="89" max="89" width="7" style="222" bestFit="1" customWidth="1"/>
    <col min="90" max="90" width="23.7109375" style="153" customWidth="1"/>
    <col min="91" max="91" width="4.7109375" style="153" bestFit="1" customWidth="1"/>
    <col min="92" max="92" width="2.5703125" style="153" customWidth="1"/>
    <col min="93" max="94" width="9.7109375" style="225" customWidth="1"/>
    <col min="95" max="95" width="9.140625" style="5"/>
    <col min="96" max="96" width="8.140625" style="153" customWidth="1"/>
    <col min="97" max="97" width="2" style="153" customWidth="1"/>
    <col min="98" max="98" width="8.28515625" style="153" customWidth="1"/>
    <col min="99" max="99" width="11" style="153" customWidth="1"/>
    <col min="100" max="100" width="21.140625" style="153" customWidth="1"/>
    <col min="101" max="101" width="6.5703125" style="153" customWidth="1"/>
    <col min="102" max="102" width="5.42578125" style="153" customWidth="1"/>
    <col min="103" max="103" width="3.85546875" style="153" customWidth="1"/>
    <col min="104" max="106" width="9.140625" style="153"/>
    <col min="107" max="107" width="3" style="153" customWidth="1"/>
    <col min="108" max="108" width="9.140625" style="366"/>
    <col min="109" max="109" width="6.5703125" style="581" bestFit="1" customWidth="1"/>
    <col min="110" max="110" width="18.140625" style="581" bestFit="1" customWidth="1"/>
    <col min="111" max="111" width="5.5703125" style="153" customWidth="1"/>
    <col min="112" max="112" width="6.5703125" style="298" customWidth="1"/>
    <col min="113" max="113" width="4.28515625" style="153" customWidth="1"/>
    <col min="114" max="114" width="7" style="298" bestFit="1" customWidth="1"/>
    <col min="115" max="115" width="13" style="153" bestFit="1" customWidth="1"/>
    <col min="116" max="116" width="6.85546875" style="153" customWidth="1"/>
    <col min="117" max="117" width="5.42578125" style="153" customWidth="1"/>
    <col min="118" max="120" width="9.140625" style="153"/>
    <col min="121" max="121" width="10.140625" style="153" bestFit="1" customWidth="1"/>
    <col min="122" max="122" width="27.140625" style="153" customWidth="1"/>
    <col min="123" max="125" width="9.140625" style="153"/>
    <col min="126" max="126" width="7.7109375" style="153" customWidth="1"/>
    <col min="127" max="127" width="42.7109375" style="153" customWidth="1"/>
    <col min="128" max="128" width="7" style="153" customWidth="1"/>
    <col min="129" max="132" width="9.140625" style="153"/>
    <col min="133" max="133" width="10.140625" style="153" bestFit="1" customWidth="1"/>
    <col min="134" max="134" width="24.140625" style="153" customWidth="1"/>
    <col min="135" max="144" width="9.140625" style="153"/>
    <col min="145" max="145" width="10.140625" style="153" bestFit="1" customWidth="1"/>
    <col min="146" max="146" width="38.28515625" style="153" customWidth="1"/>
    <col min="147" max="156" width="9.140625" style="153"/>
    <col min="157" max="157" width="10.140625" style="153" bestFit="1" customWidth="1"/>
    <col min="158" max="158" width="28" style="153" bestFit="1" customWidth="1"/>
    <col min="159" max="168" width="9.140625" style="153"/>
    <col min="169" max="169" width="12.85546875" style="153" customWidth="1"/>
    <col min="170" max="170" width="30.140625" style="153" customWidth="1"/>
    <col min="171" max="180" width="9.140625" style="153"/>
    <col min="181" max="181" width="10.140625" style="153" bestFit="1" customWidth="1"/>
    <col min="182" max="182" width="31.28515625" style="153" customWidth="1"/>
    <col min="183" max="192" width="9.140625" style="153"/>
    <col min="193" max="193" width="11" style="153" customWidth="1"/>
    <col min="194" max="194" width="36.28515625" style="153" customWidth="1"/>
    <col min="195" max="204" width="9.140625" style="153"/>
    <col min="205" max="205" width="10.140625" style="153" bestFit="1" customWidth="1"/>
    <col min="206" max="206" width="32" style="153" customWidth="1"/>
    <col min="207" max="215" width="9.140625" style="153"/>
    <col min="216" max="216" width="12.28515625" style="153" customWidth="1"/>
    <col min="217" max="217" width="13.140625" style="153" customWidth="1"/>
    <col min="218" max="218" width="25.85546875" style="153" customWidth="1"/>
    <col min="219" max="228" width="9.140625" style="153"/>
    <col min="229" max="229" width="10.140625" style="153" bestFit="1" customWidth="1"/>
    <col min="230" max="230" width="31.140625" style="153" bestFit="1" customWidth="1"/>
    <col min="231" max="240" width="9.140625" style="153"/>
    <col min="241" max="241" width="12.7109375" style="153" customWidth="1"/>
    <col min="242" max="242" width="41.28515625" style="153" customWidth="1"/>
    <col min="243" max="252" width="9.140625" style="153"/>
    <col min="253" max="253" width="5.85546875" style="153" bestFit="1" customWidth="1"/>
    <col min="254" max="262" width="9.140625" style="153"/>
    <col min="263" max="263" width="9.28515625" style="153" customWidth="1"/>
    <col min="264" max="264" width="9.140625" style="153"/>
    <col min="265" max="265" width="9.140625" style="220"/>
    <col min="266" max="266" width="13.42578125" style="153" bestFit="1" customWidth="1"/>
    <col min="267" max="267" width="4" style="153" bestFit="1" customWidth="1"/>
    <col min="268" max="16384" width="9.140625" style="153"/>
  </cols>
  <sheetData>
    <row r="1" spans="1:265" ht="19.5" thickBot="1" x14ac:dyDescent="0.35">
      <c r="A1" s="667" t="s">
        <v>599</v>
      </c>
      <c r="B1" s="667"/>
      <c r="C1" s="668"/>
      <c r="D1" s="667"/>
      <c r="E1" s="667"/>
      <c r="F1" s="667"/>
      <c r="G1" s="667"/>
      <c r="H1" s="667"/>
      <c r="J1" s="669" t="s">
        <v>739</v>
      </c>
      <c r="K1" s="670"/>
      <c r="L1" s="669"/>
      <c r="M1" s="669"/>
      <c r="N1" s="670"/>
      <c r="O1" s="670"/>
      <c r="P1" s="669"/>
      <c r="Q1" s="669"/>
      <c r="S1" s="669" t="s">
        <v>859</v>
      </c>
      <c r="T1" s="667"/>
      <c r="U1" s="671"/>
      <c r="V1" s="667"/>
      <c r="W1" s="667"/>
      <c r="X1" s="667"/>
      <c r="Y1" s="667"/>
      <c r="Z1" s="667"/>
      <c r="AA1" s="667"/>
      <c r="AD1" s="667" t="s">
        <v>877</v>
      </c>
      <c r="AE1" s="671"/>
      <c r="AF1" s="667"/>
      <c r="AG1" s="667"/>
      <c r="AH1" s="667"/>
      <c r="AI1" s="667"/>
      <c r="AJ1" s="667"/>
      <c r="AK1" s="667"/>
      <c r="AL1" s="672" t="s">
        <v>954</v>
      </c>
      <c r="AM1" s="672"/>
      <c r="AN1" s="672"/>
      <c r="AO1" s="672"/>
      <c r="AP1" s="673"/>
      <c r="AQ1" s="672"/>
      <c r="AR1" s="672"/>
      <c r="AS1" s="672"/>
      <c r="AT1" s="246"/>
      <c r="AU1" s="674" t="s">
        <v>955</v>
      </c>
      <c r="AV1" s="674"/>
      <c r="AW1" s="674"/>
      <c r="AX1" s="674"/>
      <c r="AY1" s="674"/>
      <c r="AZ1" s="674"/>
      <c r="BA1" s="674"/>
      <c r="BB1" s="674"/>
      <c r="BC1" s="246"/>
      <c r="BD1" s="675" t="s">
        <v>1153</v>
      </c>
      <c r="BE1" s="676"/>
      <c r="BF1" s="676"/>
      <c r="BG1" s="676"/>
      <c r="BH1" s="676"/>
      <c r="BI1" s="676"/>
      <c r="BJ1" s="676"/>
      <c r="BK1" s="676"/>
      <c r="BL1" s="465"/>
      <c r="BM1" s="465"/>
      <c r="BN1" s="465"/>
      <c r="BO1" s="463"/>
      <c r="BP1" s="677" t="s">
        <v>1157</v>
      </c>
      <c r="BQ1" s="678"/>
      <c r="BR1" s="671"/>
      <c r="BS1" s="671"/>
      <c r="BT1" s="678"/>
      <c r="BU1" s="671"/>
      <c r="BV1" s="671"/>
      <c r="BW1" s="671"/>
      <c r="BX1" s="262"/>
      <c r="BY1" s="501"/>
      <c r="BZ1" s="263"/>
      <c r="CA1" s="263"/>
      <c r="CB1" s="263" t="s">
        <v>1229</v>
      </c>
      <c r="CC1" s="252"/>
      <c r="CD1" s="263"/>
      <c r="CE1" s="522"/>
      <c r="CF1" s="502"/>
      <c r="CG1" s="252"/>
      <c r="CH1" s="252"/>
      <c r="CI1" s="679" t="s">
        <v>1287</v>
      </c>
      <c r="CJ1" s="679"/>
      <c r="CK1" s="679"/>
      <c r="CL1" s="679"/>
      <c r="CM1" s="679"/>
      <c r="CN1" s="679"/>
      <c r="CO1" s="679"/>
      <c r="CP1" s="679"/>
      <c r="CQ1" s="252"/>
      <c r="CR1" s="565"/>
      <c r="CS1" s="680" t="s">
        <v>1442</v>
      </c>
      <c r="CT1" s="680"/>
      <c r="CU1" s="680"/>
      <c r="CV1" s="680"/>
      <c r="CW1" s="680"/>
      <c r="CX1" s="680"/>
      <c r="CY1" s="680"/>
      <c r="CZ1" s="680"/>
      <c r="DA1" s="269"/>
      <c r="DB1" s="269"/>
      <c r="DC1" s="681" t="s">
        <v>1447</v>
      </c>
      <c r="DD1" s="681"/>
      <c r="DE1" s="681"/>
      <c r="DF1" s="681"/>
      <c r="DG1" s="681"/>
      <c r="DH1" s="681"/>
      <c r="DI1" s="681"/>
      <c r="DJ1" s="681"/>
      <c r="DK1" s="565"/>
      <c r="DL1" s="565"/>
      <c r="DM1" s="565"/>
      <c r="JE1" s="153"/>
    </row>
    <row r="2" spans="1:265" s="154" customFormat="1" ht="26.25" customHeight="1" thickBot="1" x14ac:dyDescent="0.3">
      <c r="A2" s="158" t="s">
        <v>76</v>
      </c>
      <c r="B2" s="315" t="s">
        <v>78</v>
      </c>
      <c r="C2" s="402" t="s">
        <v>75</v>
      </c>
      <c r="D2" s="273" t="s">
        <v>74</v>
      </c>
      <c r="E2" s="273" t="s">
        <v>73</v>
      </c>
      <c r="F2" s="273" t="s">
        <v>72</v>
      </c>
      <c r="G2" s="273" t="s">
        <v>71</v>
      </c>
      <c r="H2" s="310" t="s">
        <v>18</v>
      </c>
      <c r="J2" s="259" t="s">
        <v>49</v>
      </c>
      <c r="K2" s="328" t="s">
        <v>78</v>
      </c>
      <c r="L2" s="260" t="s">
        <v>75</v>
      </c>
      <c r="M2" s="259" t="s">
        <v>74</v>
      </c>
      <c r="N2" s="248" t="s">
        <v>73</v>
      </c>
      <c r="O2" s="248" t="s">
        <v>72</v>
      </c>
      <c r="P2" s="259" t="s">
        <v>71</v>
      </c>
      <c r="Q2" s="259" t="s">
        <v>18</v>
      </c>
      <c r="S2" s="259" t="s">
        <v>76</v>
      </c>
      <c r="T2" s="168" t="s">
        <v>78</v>
      </c>
      <c r="U2" s="221" t="s">
        <v>75</v>
      </c>
      <c r="V2" s="157" t="s">
        <v>74</v>
      </c>
      <c r="W2" s="157" t="s">
        <v>73</v>
      </c>
      <c r="X2" s="157" t="s">
        <v>72</v>
      </c>
      <c r="Y2" s="157" t="s">
        <v>71</v>
      </c>
      <c r="Z2" s="156" t="s">
        <v>18</v>
      </c>
      <c r="AC2" s="372" t="s">
        <v>49</v>
      </c>
      <c r="AD2" s="168" t="s">
        <v>78</v>
      </c>
      <c r="AE2" s="221" t="s">
        <v>75</v>
      </c>
      <c r="AF2" s="157" t="s">
        <v>74</v>
      </c>
      <c r="AG2" s="157" t="s">
        <v>73</v>
      </c>
      <c r="AH2" s="157" t="s">
        <v>72</v>
      </c>
      <c r="AI2" s="157" t="s">
        <v>71</v>
      </c>
      <c r="AJ2" s="156" t="s">
        <v>18</v>
      </c>
      <c r="AL2" s="374" t="s">
        <v>76</v>
      </c>
      <c r="AM2" s="260" t="s">
        <v>78</v>
      </c>
      <c r="AN2" s="260" t="s">
        <v>75</v>
      </c>
      <c r="AO2" s="259" t="s">
        <v>74</v>
      </c>
      <c r="AP2" s="374" t="s">
        <v>73</v>
      </c>
      <c r="AQ2" s="259" t="s">
        <v>72</v>
      </c>
      <c r="AR2" s="259" t="s">
        <v>71</v>
      </c>
      <c r="AS2" s="259" t="s">
        <v>18</v>
      </c>
      <c r="AU2" s="411" t="s">
        <v>76</v>
      </c>
      <c r="AV2" s="412" t="s">
        <v>78</v>
      </c>
      <c r="AW2" s="413" t="s">
        <v>75</v>
      </c>
      <c r="AX2" s="414" t="s">
        <v>74</v>
      </c>
      <c r="AY2" s="414" t="s">
        <v>73</v>
      </c>
      <c r="AZ2" s="414" t="s">
        <v>72</v>
      </c>
      <c r="BA2" s="414" t="s">
        <v>71</v>
      </c>
      <c r="BB2" s="415" t="s">
        <v>18</v>
      </c>
      <c r="BD2" s="242" t="s">
        <v>76</v>
      </c>
      <c r="BE2" s="243" t="s">
        <v>78</v>
      </c>
      <c r="BF2" s="243" t="s">
        <v>75</v>
      </c>
      <c r="BG2" s="244" t="s">
        <v>74</v>
      </c>
      <c r="BH2" s="244" t="s">
        <v>73</v>
      </c>
      <c r="BI2" s="244" t="s">
        <v>72</v>
      </c>
      <c r="BJ2" s="259" t="s">
        <v>71</v>
      </c>
      <c r="BK2" s="259" t="s">
        <v>18</v>
      </c>
      <c r="BL2" s="375"/>
      <c r="BM2" s="375"/>
      <c r="BN2" s="375"/>
      <c r="BO2" s="439" t="s">
        <v>18</v>
      </c>
      <c r="BP2" s="158" t="s">
        <v>76</v>
      </c>
      <c r="BQ2" s="474" t="s">
        <v>78</v>
      </c>
      <c r="BR2" s="221" t="s">
        <v>75</v>
      </c>
      <c r="BS2" s="157" t="s">
        <v>74</v>
      </c>
      <c r="BT2" s="473" t="s">
        <v>73</v>
      </c>
      <c r="BU2" s="157" t="s">
        <v>72</v>
      </c>
      <c r="BV2" s="157" t="s">
        <v>71</v>
      </c>
      <c r="BW2" s="156" t="s">
        <v>18</v>
      </c>
      <c r="BY2" s="270" t="s">
        <v>76</v>
      </c>
      <c r="BZ2" s="271" t="s">
        <v>78</v>
      </c>
      <c r="CA2" s="272" t="s">
        <v>75</v>
      </c>
      <c r="CB2" s="273" t="s">
        <v>74</v>
      </c>
      <c r="CC2" s="523" t="s">
        <v>73</v>
      </c>
      <c r="CD2" s="273" t="s">
        <v>72</v>
      </c>
      <c r="CE2" s="273" t="s">
        <v>71</v>
      </c>
      <c r="CF2" s="310" t="s">
        <v>18</v>
      </c>
      <c r="CI2" s="546" t="s">
        <v>76</v>
      </c>
      <c r="CJ2" s="547" t="s">
        <v>78</v>
      </c>
      <c r="CK2" s="548" t="s">
        <v>75</v>
      </c>
      <c r="CL2" s="549" t="s">
        <v>74</v>
      </c>
      <c r="CM2" s="549" t="s">
        <v>73</v>
      </c>
      <c r="CN2" s="550" t="s">
        <v>72</v>
      </c>
      <c r="CO2" s="550" t="s">
        <v>18</v>
      </c>
      <c r="CP2" s="319" t="s">
        <v>71</v>
      </c>
      <c r="CR2" s="361"/>
      <c r="CS2" s="319" t="s">
        <v>76</v>
      </c>
      <c r="CT2" s="563" t="s">
        <v>78</v>
      </c>
      <c r="CU2" s="564" t="s">
        <v>75</v>
      </c>
      <c r="CV2" s="319" t="s">
        <v>74</v>
      </c>
      <c r="CW2" s="319" t="s">
        <v>73</v>
      </c>
      <c r="CX2" s="319" t="s">
        <v>72</v>
      </c>
      <c r="CY2" s="319" t="s">
        <v>18</v>
      </c>
      <c r="CZ2" s="319" t="s">
        <v>71</v>
      </c>
      <c r="DC2" s="319" t="s">
        <v>76</v>
      </c>
      <c r="DD2" s="586" t="s">
        <v>78</v>
      </c>
      <c r="DE2" s="572" t="s">
        <v>75</v>
      </c>
      <c r="DF2" s="582" t="s">
        <v>74</v>
      </c>
      <c r="DG2" s="401" t="s">
        <v>73</v>
      </c>
      <c r="DH2" s="319" t="s">
        <v>72</v>
      </c>
      <c r="DI2" s="319" t="s">
        <v>18</v>
      </c>
      <c r="DJ2" s="319" t="s">
        <v>71</v>
      </c>
    </row>
    <row r="3" spans="1:265" ht="18.75" customHeight="1" thickBot="1" x14ac:dyDescent="0.3">
      <c r="A3" s="167">
        <v>1</v>
      </c>
      <c r="B3" s="259" t="s">
        <v>600</v>
      </c>
      <c r="C3" s="241" t="s">
        <v>601</v>
      </c>
      <c r="D3" s="192" t="s">
        <v>602</v>
      </c>
      <c r="E3" s="276">
        <v>3</v>
      </c>
      <c r="F3" s="276" t="s">
        <v>97</v>
      </c>
      <c r="G3" s="276" t="s">
        <v>235</v>
      </c>
      <c r="H3" s="276" t="s">
        <v>161</v>
      </c>
      <c r="J3" s="259">
        <v>3</v>
      </c>
      <c r="K3" s="249" t="s">
        <v>720</v>
      </c>
      <c r="L3" s="323" t="s">
        <v>722</v>
      </c>
      <c r="M3" s="192" t="s">
        <v>723</v>
      </c>
      <c r="N3" s="264">
        <v>48</v>
      </c>
      <c r="O3" s="264" t="s">
        <v>98</v>
      </c>
      <c r="P3" s="192" t="s">
        <v>234</v>
      </c>
      <c r="Q3" s="192" t="s">
        <v>123</v>
      </c>
      <c r="S3" s="319">
        <v>1</v>
      </c>
      <c r="T3" s="346" t="s">
        <v>806</v>
      </c>
      <c r="U3" s="347" t="s">
        <v>807</v>
      </c>
      <c r="V3" s="348" t="s">
        <v>808</v>
      </c>
      <c r="W3" s="349">
        <v>9</v>
      </c>
      <c r="X3" s="349" t="s">
        <v>97</v>
      </c>
      <c r="Y3" s="349" t="s">
        <v>234</v>
      </c>
      <c r="Z3" s="350" t="s">
        <v>688</v>
      </c>
      <c r="AC3" s="373">
        <v>1</v>
      </c>
      <c r="AD3" s="167" t="s">
        <v>880</v>
      </c>
      <c r="AE3" s="382" t="s">
        <v>882</v>
      </c>
      <c r="AF3" s="383" t="s">
        <v>883</v>
      </c>
      <c r="AG3" s="384">
        <v>79</v>
      </c>
      <c r="AH3" s="384" t="s">
        <v>97</v>
      </c>
      <c r="AI3" s="384" t="s">
        <v>234</v>
      </c>
      <c r="AJ3" s="385" t="s">
        <v>360</v>
      </c>
      <c r="AL3" s="401">
        <v>1</v>
      </c>
      <c r="AM3" s="400" t="s">
        <v>962</v>
      </c>
      <c r="AN3" s="339" t="s">
        <v>963</v>
      </c>
      <c r="AO3" s="371" t="s">
        <v>964</v>
      </c>
      <c r="AP3" s="371">
        <v>74</v>
      </c>
      <c r="AQ3" s="379" t="s">
        <v>97</v>
      </c>
      <c r="AR3" s="379" t="s">
        <v>234</v>
      </c>
      <c r="AS3" s="379" t="s">
        <v>122</v>
      </c>
      <c r="AU3" s="416">
        <v>1</v>
      </c>
      <c r="AV3" s="364" t="s">
        <v>1045</v>
      </c>
      <c r="AW3" s="360" t="s">
        <v>1046</v>
      </c>
      <c r="AX3" s="342" t="s">
        <v>1048</v>
      </c>
      <c r="AY3" s="352">
        <v>60</v>
      </c>
      <c r="AZ3" s="352" t="s">
        <v>97</v>
      </c>
      <c r="BA3" s="352" t="s">
        <v>234</v>
      </c>
      <c r="BB3" s="409" t="s">
        <v>122</v>
      </c>
      <c r="BD3" s="259">
        <v>1</v>
      </c>
      <c r="BE3" s="296" t="s">
        <v>1108</v>
      </c>
      <c r="BF3" s="226" t="s">
        <v>1109</v>
      </c>
      <c r="BG3" s="225" t="s">
        <v>1113</v>
      </c>
      <c r="BH3" s="297">
        <v>50</v>
      </c>
      <c r="BI3" s="227" t="s">
        <v>97</v>
      </c>
      <c r="BJ3" s="192" t="s">
        <v>234</v>
      </c>
      <c r="BK3" s="374" t="s">
        <v>122</v>
      </c>
      <c r="BL3" s="375"/>
      <c r="BM3" s="375"/>
      <c r="BN3" s="375"/>
      <c r="BO3" s="442"/>
      <c r="BP3" s="155">
        <v>1</v>
      </c>
      <c r="BQ3" s="475" t="s">
        <v>1160</v>
      </c>
      <c r="BR3" s="301" t="s">
        <v>1158</v>
      </c>
      <c r="BS3" s="189" t="s">
        <v>1159</v>
      </c>
      <c r="BT3" s="189">
        <v>56</v>
      </c>
      <c r="BU3" s="190" t="s">
        <v>120</v>
      </c>
      <c r="BV3" s="189" t="s">
        <v>234</v>
      </c>
      <c r="BW3" s="191" t="s">
        <v>122</v>
      </c>
      <c r="BY3" s="479">
        <v>1</v>
      </c>
      <c r="BZ3" s="516" t="s">
        <v>1223</v>
      </c>
      <c r="CA3" s="512" t="s">
        <v>1224</v>
      </c>
      <c r="CB3" s="513" t="s">
        <v>1225</v>
      </c>
      <c r="CC3" s="506">
        <v>31</v>
      </c>
      <c r="CD3" s="506" t="s">
        <v>97</v>
      </c>
      <c r="CE3" s="193"/>
      <c r="CF3" s="513" t="s">
        <v>122</v>
      </c>
      <c r="CI3" s="551">
        <v>1</v>
      </c>
      <c r="CJ3" s="552" t="s">
        <v>1288</v>
      </c>
      <c r="CK3" s="347" t="s">
        <v>1289</v>
      </c>
      <c r="CL3" s="348" t="s">
        <v>1290</v>
      </c>
      <c r="CM3" s="349">
        <v>89</v>
      </c>
      <c r="CN3" s="553" t="s">
        <v>97</v>
      </c>
      <c r="CO3" s="559" t="s">
        <v>688</v>
      </c>
      <c r="CP3" s="192" t="s">
        <v>125</v>
      </c>
      <c r="CQ3" s="267"/>
      <c r="CR3" s="154"/>
      <c r="CS3" s="319">
        <v>1</v>
      </c>
      <c r="CT3" s="319" t="s">
        <v>1374</v>
      </c>
      <c r="CU3" s="360" t="s">
        <v>1375</v>
      </c>
      <c r="CV3" s="342" t="s">
        <v>1376</v>
      </c>
      <c r="CW3" s="342">
        <v>52</v>
      </c>
      <c r="CX3" s="352" t="s">
        <v>97</v>
      </c>
      <c r="CY3" s="192" t="s">
        <v>122</v>
      </c>
      <c r="CZ3" s="192" t="s">
        <v>234</v>
      </c>
      <c r="DA3" s="539"/>
      <c r="DC3" s="319">
        <v>1</v>
      </c>
      <c r="DD3" s="401" t="s">
        <v>1448</v>
      </c>
      <c r="DE3" s="573" t="s">
        <v>1449</v>
      </c>
      <c r="DF3" s="583" t="s">
        <v>1450</v>
      </c>
      <c r="DG3" s="342">
        <v>83</v>
      </c>
      <c r="DH3" s="352" t="s">
        <v>97</v>
      </c>
      <c r="DI3" s="192" t="s">
        <v>122</v>
      </c>
      <c r="DJ3" s="193"/>
      <c r="DK3" s="216"/>
      <c r="JE3" s="153"/>
    </row>
    <row r="4" spans="1:265" ht="18.75" customHeight="1" thickBot="1" x14ac:dyDescent="0.3">
      <c r="A4" s="155"/>
      <c r="B4" s="199" t="s">
        <v>218</v>
      </c>
      <c r="C4" s="219" t="s">
        <v>219</v>
      </c>
      <c r="D4" s="192" t="s">
        <v>220</v>
      </c>
      <c r="E4" s="276">
        <v>75</v>
      </c>
      <c r="F4" s="276" t="s">
        <v>97</v>
      </c>
      <c r="G4" s="276" t="s">
        <v>234</v>
      </c>
      <c r="H4" s="277" t="s">
        <v>122</v>
      </c>
      <c r="J4" s="259">
        <v>2</v>
      </c>
      <c r="K4" s="261" t="s">
        <v>245</v>
      </c>
      <c r="L4" s="241" t="s">
        <v>246</v>
      </c>
      <c r="M4" s="192" t="s">
        <v>247</v>
      </c>
      <c r="N4" s="193">
        <v>58</v>
      </c>
      <c r="O4" s="193" t="s">
        <v>97</v>
      </c>
      <c r="P4" s="192" t="s">
        <v>234</v>
      </c>
      <c r="Q4" s="192" t="s">
        <v>122</v>
      </c>
      <c r="R4" s="335"/>
      <c r="S4" s="292"/>
      <c r="T4" s="199" t="s">
        <v>297</v>
      </c>
      <c r="U4" s="218" t="s">
        <v>298</v>
      </c>
      <c r="V4" s="192" t="s">
        <v>299</v>
      </c>
      <c r="W4" s="193">
        <v>62</v>
      </c>
      <c r="X4" s="193" t="s">
        <v>97</v>
      </c>
      <c r="Y4" s="192" t="s">
        <v>353</v>
      </c>
      <c r="Z4" s="194" t="s">
        <v>122</v>
      </c>
      <c r="AC4" s="155">
        <v>2</v>
      </c>
      <c r="AD4" s="199" t="s">
        <v>361</v>
      </c>
      <c r="AE4" s="219" t="s">
        <v>362</v>
      </c>
      <c r="AF4" s="192" t="s">
        <v>408</v>
      </c>
      <c r="AG4" s="193">
        <v>50</v>
      </c>
      <c r="AH4" s="193" t="s">
        <v>97</v>
      </c>
      <c r="AI4" s="192" t="s">
        <v>234</v>
      </c>
      <c r="AJ4" s="194" t="s">
        <v>360</v>
      </c>
      <c r="AL4" s="259">
        <v>2</v>
      </c>
      <c r="AM4" s="261" t="s">
        <v>460</v>
      </c>
      <c r="AN4" s="241" t="s">
        <v>421</v>
      </c>
      <c r="AO4" s="192" t="s">
        <v>422</v>
      </c>
      <c r="AP4" s="193">
        <v>79</v>
      </c>
      <c r="AQ4" s="193" t="s">
        <v>97</v>
      </c>
      <c r="AR4" s="192" t="s">
        <v>234</v>
      </c>
      <c r="AS4" s="192" t="s">
        <v>122</v>
      </c>
      <c r="AU4" s="259">
        <v>2</v>
      </c>
      <c r="AV4" s="261" t="s">
        <v>501</v>
      </c>
      <c r="AW4" s="241" t="s">
        <v>502</v>
      </c>
      <c r="AX4" s="192" t="s">
        <v>503</v>
      </c>
      <c r="AY4" s="193">
        <v>34</v>
      </c>
      <c r="AZ4" s="193" t="s">
        <v>97</v>
      </c>
      <c r="BA4" s="192" t="s">
        <v>234</v>
      </c>
      <c r="BB4" s="194" t="s">
        <v>122</v>
      </c>
      <c r="BD4" s="259">
        <v>2</v>
      </c>
      <c r="BE4" s="296" t="s">
        <v>518</v>
      </c>
      <c r="BF4" s="226" t="s">
        <v>521</v>
      </c>
      <c r="BG4" s="225" t="s">
        <v>520</v>
      </c>
      <c r="BH4" s="297">
        <v>69</v>
      </c>
      <c r="BI4" s="227" t="s">
        <v>97</v>
      </c>
      <c r="BJ4" s="223"/>
      <c r="BK4" s="375"/>
      <c r="BL4" s="375"/>
      <c r="BM4" s="375"/>
      <c r="BN4" s="375"/>
      <c r="BO4" s="247"/>
      <c r="BP4" s="155">
        <v>2</v>
      </c>
      <c r="BQ4" s="199" t="s">
        <v>583</v>
      </c>
      <c r="BR4" s="302" t="s">
        <v>579</v>
      </c>
      <c r="BS4" s="192" t="s">
        <v>588</v>
      </c>
      <c r="BT4" s="193" t="s">
        <v>572</v>
      </c>
      <c r="BU4" s="193" t="s">
        <v>242</v>
      </c>
      <c r="BV4" s="192" t="s">
        <v>354</v>
      </c>
      <c r="BW4" s="191" t="s">
        <v>594</v>
      </c>
      <c r="BY4" s="479">
        <v>2</v>
      </c>
      <c r="BZ4" s="429" t="s">
        <v>1226</v>
      </c>
      <c r="CA4" s="426" t="s">
        <v>1227</v>
      </c>
      <c r="CB4" s="427" t="s">
        <v>1228</v>
      </c>
      <c r="CC4" s="428">
        <v>50</v>
      </c>
      <c r="CD4" s="428" t="s">
        <v>97</v>
      </c>
      <c r="CE4" s="192"/>
      <c r="CF4" s="427" t="s">
        <v>122</v>
      </c>
      <c r="CI4" s="551">
        <v>2</v>
      </c>
      <c r="CJ4" s="554" t="s">
        <v>1291</v>
      </c>
      <c r="CK4" s="555" t="s">
        <v>1292</v>
      </c>
      <c r="CL4" s="342" t="s">
        <v>1293</v>
      </c>
      <c r="CM4" s="352">
        <v>64</v>
      </c>
      <c r="CN4" s="556" t="s">
        <v>97</v>
      </c>
      <c r="CO4" s="559" t="s">
        <v>688</v>
      </c>
      <c r="CP4" s="192" t="s">
        <v>125</v>
      </c>
      <c r="CQ4" s="267"/>
      <c r="CR4" s="154"/>
      <c r="CS4" s="319">
        <v>2</v>
      </c>
      <c r="CT4" s="566" t="s">
        <v>1377</v>
      </c>
      <c r="CU4" s="360" t="s">
        <v>1378</v>
      </c>
      <c r="CV4" s="342" t="s">
        <v>1384</v>
      </c>
      <c r="CW4" s="342">
        <v>62</v>
      </c>
      <c r="CX4" s="352" t="s">
        <v>97</v>
      </c>
      <c r="CY4" s="192" t="s">
        <v>122</v>
      </c>
      <c r="CZ4" s="192" t="s">
        <v>234</v>
      </c>
      <c r="DA4" s="539"/>
      <c r="DC4" s="319">
        <v>2</v>
      </c>
      <c r="DD4" s="587" t="s">
        <v>1451</v>
      </c>
      <c r="DE4" s="573" t="s">
        <v>1449</v>
      </c>
      <c r="DF4" s="583" t="s">
        <v>1452</v>
      </c>
      <c r="DG4" s="342">
        <v>56</v>
      </c>
      <c r="DH4" s="352" t="s">
        <v>97</v>
      </c>
      <c r="DI4" s="192" t="s">
        <v>122</v>
      </c>
      <c r="DJ4" s="193"/>
      <c r="DK4" s="539"/>
      <c r="JE4" s="153"/>
    </row>
    <row r="5" spans="1:265" ht="18.75" customHeight="1" thickBot="1" x14ac:dyDescent="0.3">
      <c r="A5" s="155"/>
      <c r="B5" s="199" t="s">
        <v>228</v>
      </c>
      <c r="C5" s="219" t="s">
        <v>229</v>
      </c>
      <c r="D5" s="192" t="s">
        <v>230</v>
      </c>
      <c r="E5" s="276">
        <v>75</v>
      </c>
      <c r="F5" s="276" t="s">
        <v>97</v>
      </c>
      <c r="G5" s="276" t="s">
        <v>234</v>
      </c>
      <c r="H5" s="277" t="s">
        <v>122</v>
      </c>
      <c r="J5" s="259">
        <v>3</v>
      </c>
      <c r="K5" s="261" t="s">
        <v>248</v>
      </c>
      <c r="L5" s="241" t="s">
        <v>246</v>
      </c>
      <c r="M5" s="192" t="s">
        <v>249</v>
      </c>
      <c r="N5" s="193">
        <v>43</v>
      </c>
      <c r="O5" s="193" t="s">
        <v>97</v>
      </c>
      <c r="P5" s="192" t="s">
        <v>234</v>
      </c>
      <c r="Q5" s="192" t="s">
        <v>122</v>
      </c>
      <c r="R5" s="225"/>
      <c r="S5" s="292"/>
      <c r="T5" s="167" t="s">
        <v>306</v>
      </c>
      <c r="U5" s="218" t="s">
        <v>307</v>
      </c>
      <c r="V5" s="189" t="s">
        <v>308</v>
      </c>
      <c r="W5" s="190">
        <v>56</v>
      </c>
      <c r="X5" s="190" t="s">
        <v>97</v>
      </c>
      <c r="Y5" s="192" t="s">
        <v>353</v>
      </c>
      <c r="Z5" s="194" t="s">
        <v>122</v>
      </c>
      <c r="AC5" s="155">
        <v>3</v>
      </c>
      <c r="AD5" s="199" t="s">
        <v>363</v>
      </c>
      <c r="AE5" s="219" t="s">
        <v>364</v>
      </c>
      <c r="AF5" s="192" t="s">
        <v>365</v>
      </c>
      <c r="AG5" s="193">
        <v>41</v>
      </c>
      <c r="AH5" s="193" t="s">
        <v>97</v>
      </c>
      <c r="AI5" s="192" t="s">
        <v>234</v>
      </c>
      <c r="AJ5" s="194" t="s">
        <v>360</v>
      </c>
      <c r="AL5" s="259">
        <v>3</v>
      </c>
      <c r="AM5" s="261" t="s">
        <v>428</v>
      </c>
      <c r="AN5" s="241" t="s">
        <v>429</v>
      </c>
      <c r="AO5" s="192" t="s">
        <v>430</v>
      </c>
      <c r="AP5" s="193">
        <v>54</v>
      </c>
      <c r="AQ5" s="193" t="s">
        <v>97</v>
      </c>
      <c r="AR5" s="192" t="s">
        <v>234</v>
      </c>
      <c r="AS5" s="192" t="s">
        <v>122</v>
      </c>
      <c r="AU5" s="259">
        <v>3</v>
      </c>
      <c r="AV5" s="261" t="s">
        <v>504</v>
      </c>
      <c r="AW5" s="241" t="s">
        <v>505</v>
      </c>
      <c r="AX5" s="192" t="s">
        <v>506</v>
      </c>
      <c r="AY5" s="193">
        <v>67</v>
      </c>
      <c r="AZ5" s="193" t="s">
        <v>97</v>
      </c>
      <c r="BA5" s="192" t="s">
        <v>234</v>
      </c>
      <c r="BB5" s="194" t="s">
        <v>122</v>
      </c>
      <c r="BD5" s="259">
        <v>3</v>
      </c>
      <c r="BE5" s="153" t="s">
        <v>522</v>
      </c>
      <c r="BF5" s="226" t="s">
        <v>521</v>
      </c>
      <c r="BG5" s="225" t="s">
        <v>523</v>
      </c>
      <c r="BH5" s="297">
        <v>45</v>
      </c>
      <c r="BI5" s="227" t="s">
        <v>97</v>
      </c>
      <c r="BJ5" s="192"/>
      <c r="BK5" s="375"/>
      <c r="BL5" s="375"/>
      <c r="BM5" s="375"/>
      <c r="BN5" s="375"/>
      <c r="BO5" s="247"/>
      <c r="BP5" s="155">
        <v>3</v>
      </c>
      <c r="BQ5" s="199" t="s">
        <v>584</v>
      </c>
      <c r="BR5" s="302" t="s">
        <v>580</v>
      </c>
      <c r="BS5" s="192" t="s">
        <v>589</v>
      </c>
      <c r="BT5" s="193" t="s">
        <v>576</v>
      </c>
      <c r="BU5" s="193" t="s">
        <v>242</v>
      </c>
      <c r="BV5" s="192" t="s">
        <v>354</v>
      </c>
      <c r="BW5" s="191" t="s">
        <v>594</v>
      </c>
      <c r="BY5" s="479">
        <v>3</v>
      </c>
      <c r="BZ5" s="429" t="s">
        <v>1230</v>
      </c>
      <c r="CA5" s="426" t="s">
        <v>1231</v>
      </c>
      <c r="CB5" s="426" t="s">
        <v>1232</v>
      </c>
      <c r="CC5" s="428">
        <v>56</v>
      </c>
      <c r="CD5" s="428" t="s">
        <v>97</v>
      </c>
      <c r="CE5" s="192"/>
      <c r="CF5" s="427" t="s">
        <v>122</v>
      </c>
      <c r="CI5" s="551">
        <v>3</v>
      </c>
      <c r="CJ5" s="557" t="s">
        <v>1294</v>
      </c>
      <c r="CK5" s="555" t="s">
        <v>1295</v>
      </c>
      <c r="CL5" s="342" t="s">
        <v>1296</v>
      </c>
      <c r="CM5" s="352">
        <v>64</v>
      </c>
      <c r="CN5" s="556" t="s">
        <v>97</v>
      </c>
      <c r="CO5" s="559" t="s">
        <v>688</v>
      </c>
      <c r="CP5" s="192" t="s">
        <v>125</v>
      </c>
      <c r="CQ5" s="153"/>
      <c r="CR5" s="154"/>
      <c r="CS5" s="319">
        <v>3</v>
      </c>
      <c r="CT5" s="320" t="s">
        <v>1386</v>
      </c>
      <c r="CU5" s="360" t="s">
        <v>1378</v>
      </c>
      <c r="CV5" s="342" t="s">
        <v>1385</v>
      </c>
      <c r="CW5" s="342">
        <v>55</v>
      </c>
      <c r="CX5" s="352" t="s">
        <v>97</v>
      </c>
      <c r="CY5" s="192" t="s">
        <v>122</v>
      </c>
      <c r="CZ5" s="192" t="s">
        <v>235</v>
      </c>
      <c r="DA5" s="539"/>
      <c r="DC5" s="319">
        <v>3</v>
      </c>
      <c r="DD5" s="588" t="s">
        <v>1458</v>
      </c>
      <c r="DE5" s="573" t="s">
        <v>1454</v>
      </c>
      <c r="DF5" s="583" t="s">
        <v>1459</v>
      </c>
      <c r="DG5" s="342">
        <v>55</v>
      </c>
      <c r="DH5" s="352" t="s">
        <v>97</v>
      </c>
      <c r="DI5" s="192" t="s">
        <v>122</v>
      </c>
      <c r="DJ5" s="193"/>
      <c r="DK5" s="539"/>
      <c r="JE5" s="153"/>
    </row>
    <row r="6" spans="1:265" ht="18.75" customHeight="1" thickBot="1" x14ac:dyDescent="0.3">
      <c r="A6" s="155"/>
      <c r="B6" s="278" t="s">
        <v>205</v>
      </c>
      <c r="C6" s="316" t="s">
        <v>206</v>
      </c>
      <c r="D6" s="284" t="s">
        <v>210</v>
      </c>
      <c r="E6" s="280">
        <v>22</v>
      </c>
      <c r="F6" s="280" t="s">
        <v>98</v>
      </c>
      <c r="G6" s="280" t="s">
        <v>234</v>
      </c>
      <c r="H6" s="317" t="s">
        <v>123</v>
      </c>
      <c r="J6" s="259">
        <v>4</v>
      </c>
      <c r="K6" s="261" t="s">
        <v>250</v>
      </c>
      <c r="L6" s="241" t="s">
        <v>251</v>
      </c>
      <c r="M6" s="192" t="s">
        <v>252</v>
      </c>
      <c r="N6" s="193">
        <v>58</v>
      </c>
      <c r="O6" s="193" t="s">
        <v>97</v>
      </c>
      <c r="P6" s="192" t="s">
        <v>234</v>
      </c>
      <c r="Q6" s="192" t="s">
        <v>122</v>
      </c>
      <c r="R6" s="334"/>
      <c r="S6" s="337"/>
      <c r="T6" s="199" t="s">
        <v>342</v>
      </c>
      <c r="U6" s="218" t="s">
        <v>343</v>
      </c>
      <c r="V6" s="192" t="s">
        <v>344</v>
      </c>
      <c r="W6" s="193">
        <v>87</v>
      </c>
      <c r="X6" s="193" t="s">
        <v>97</v>
      </c>
      <c r="Y6" s="153" t="s">
        <v>354</v>
      </c>
      <c r="Z6" s="194" t="s">
        <v>122</v>
      </c>
      <c r="AC6" s="155">
        <v>4</v>
      </c>
      <c r="AD6" s="199" t="s">
        <v>366</v>
      </c>
      <c r="AE6" s="219" t="s">
        <v>364</v>
      </c>
      <c r="AF6" s="192" t="s">
        <v>367</v>
      </c>
      <c r="AG6" s="193">
        <v>56</v>
      </c>
      <c r="AH6" s="193" t="s">
        <v>97</v>
      </c>
      <c r="AI6" s="192" t="s">
        <v>235</v>
      </c>
      <c r="AJ6" s="194" t="s">
        <v>360</v>
      </c>
      <c r="AL6" s="259">
        <v>4</v>
      </c>
      <c r="AM6" s="261" t="s">
        <v>431</v>
      </c>
      <c r="AN6" s="241" t="s">
        <v>432</v>
      </c>
      <c r="AO6" s="192" t="s">
        <v>433</v>
      </c>
      <c r="AP6" s="193">
        <v>29</v>
      </c>
      <c r="AQ6" s="193" t="s">
        <v>97</v>
      </c>
      <c r="AR6" s="192" t="s">
        <v>235</v>
      </c>
      <c r="AS6" s="192" t="s">
        <v>122</v>
      </c>
      <c r="AU6" s="259">
        <v>4</v>
      </c>
      <c r="AV6" s="261" t="s">
        <v>510</v>
      </c>
      <c r="AW6" s="241" t="s">
        <v>462</v>
      </c>
      <c r="AX6" s="192" t="s">
        <v>463</v>
      </c>
      <c r="AY6" s="193">
        <v>41</v>
      </c>
      <c r="AZ6" s="193" t="s">
        <v>98</v>
      </c>
      <c r="BA6" s="192" t="s">
        <v>234</v>
      </c>
      <c r="BB6" s="194" t="s">
        <v>123</v>
      </c>
      <c r="BD6" s="259">
        <v>4</v>
      </c>
      <c r="BE6" s="249" t="s">
        <v>524</v>
      </c>
      <c r="BF6" s="226" t="s">
        <v>513</v>
      </c>
      <c r="BG6" s="248" t="s">
        <v>512</v>
      </c>
      <c r="BH6" s="193">
        <v>33</v>
      </c>
      <c r="BI6" s="193" t="s">
        <v>97</v>
      </c>
      <c r="BJ6" s="284"/>
      <c r="BK6" s="375"/>
      <c r="BL6" s="375"/>
      <c r="BM6" s="375"/>
      <c r="BN6" s="375"/>
      <c r="BO6" s="247"/>
      <c r="BP6" s="155">
        <v>4</v>
      </c>
      <c r="BQ6" s="199" t="s">
        <v>585</v>
      </c>
      <c r="BR6" s="302" t="s">
        <v>581</v>
      </c>
      <c r="BS6" s="192" t="s">
        <v>590</v>
      </c>
      <c r="BT6" s="193" t="s">
        <v>577</v>
      </c>
      <c r="BU6" s="193" t="s">
        <v>242</v>
      </c>
      <c r="BV6" s="192" t="s">
        <v>354</v>
      </c>
      <c r="BW6" s="191" t="s">
        <v>594</v>
      </c>
      <c r="BY6" s="479">
        <v>4</v>
      </c>
      <c r="BZ6" s="429" t="s">
        <v>1233</v>
      </c>
      <c r="CA6" s="426" t="s">
        <v>1234</v>
      </c>
      <c r="CB6" s="427" t="s">
        <v>1235</v>
      </c>
      <c r="CC6" s="428">
        <v>42</v>
      </c>
      <c r="CD6" s="428" t="s">
        <v>97</v>
      </c>
      <c r="CE6" s="192"/>
      <c r="CF6" s="427" t="s">
        <v>122</v>
      </c>
      <c r="CI6" s="551">
        <v>4</v>
      </c>
      <c r="CJ6" s="557" t="s">
        <v>1297</v>
      </c>
      <c r="CK6" s="555" t="s">
        <v>1298</v>
      </c>
      <c r="CL6" s="342" t="s">
        <v>1299</v>
      </c>
      <c r="CM6" s="352">
        <v>65</v>
      </c>
      <c r="CN6" s="556" t="s">
        <v>169</v>
      </c>
      <c r="CO6" s="442" t="s">
        <v>122</v>
      </c>
      <c r="CP6" s="342" t="s">
        <v>126</v>
      </c>
      <c r="CQ6" s="153"/>
      <c r="CR6" s="154"/>
      <c r="CS6" s="319">
        <v>4</v>
      </c>
      <c r="CT6" s="320" t="s">
        <v>1387</v>
      </c>
      <c r="CU6" s="360" t="s">
        <v>1388</v>
      </c>
      <c r="CV6" s="342" t="s">
        <v>1389</v>
      </c>
      <c r="CW6" s="342">
        <v>57</v>
      </c>
      <c r="CX6" s="352" t="s">
        <v>97</v>
      </c>
      <c r="CY6" s="192" t="s">
        <v>122</v>
      </c>
      <c r="CZ6" s="342" t="s">
        <v>235</v>
      </c>
      <c r="DA6" s="539"/>
      <c r="DC6" s="319">
        <v>4</v>
      </c>
      <c r="DD6" s="588" t="s">
        <v>1460</v>
      </c>
      <c r="DE6" s="573" t="s">
        <v>1455</v>
      </c>
      <c r="DF6" s="583" t="s">
        <v>1461</v>
      </c>
      <c r="DG6" s="342">
        <v>72</v>
      </c>
      <c r="DH6" s="352" t="s">
        <v>97</v>
      </c>
      <c r="DI6" s="192" t="s">
        <v>122</v>
      </c>
      <c r="DJ6" s="352"/>
      <c r="DK6" s="216"/>
      <c r="JE6" s="153"/>
    </row>
    <row r="7" spans="1:265" ht="18.75" customHeight="1" thickBot="1" x14ac:dyDescent="0.3">
      <c r="A7" s="167">
        <v>2</v>
      </c>
      <c r="B7" s="259" t="s">
        <v>603</v>
      </c>
      <c r="C7" s="241" t="s">
        <v>606</v>
      </c>
      <c r="D7" s="192" t="s">
        <v>604</v>
      </c>
      <c r="E7" s="276">
        <v>87</v>
      </c>
      <c r="F7" s="276" t="s">
        <v>98</v>
      </c>
      <c r="G7" s="276" t="s">
        <v>234</v>
      </c>
      <c r="H7" s="276" t="s">
        <v>161</v>
      </c>
      <c r="J7" s="259">
        <v>1</v>
      </c>
      <c r="K7" s="248" t="s">
        <v>803</v>
      </c>
      <c r="L7" s="323" t="s">
        <v>715</v>
      </c>
      <c r="M7" s="192" t="s">
        <v>716</v>
      </c>
      <c r="N7" s="264">
        <v>54</v>
      </c>
      <c r="O7" s="264" t="s">
        <v>98</v>
      </c>
      <c r="P7" s="192" t="s">
        <v>234</v>
      </c>
      <c r="Q7" s="192" t="s">
        <v>123</v>
      </c>
      <c r="R7" s="220"/>
      <c r="S7" s="319">
        <v>2</v>
      </c>
      <c r="T7" s="351" t="s">
        <v>810</v>
      </c>
      <c r="U7" s="347" t="s">
        <v>809</v>
      </c>
      <c r="V7" s="342" t="s">
        <v>812</v>
      </c>
      <c r="W7" s="352">
        <v>69</v>
      </c>
      <c r="X7" s="352" t="s">
        <v>98</v>
      </c>
      <c r="Y7" s="367" t="s">
        <v>234</v>
      </c>
      <c r="Z7" s="350" t="s">
        <v>688</v>
      </c>
      <c r="AC7" s="373">
        <v>2</v>
      </c>
      <c r="AD7" s="199" t="s">
        <v>881</v>
      </c>
      <c r="AE7" s="382" t="s">
        <v>882</v>
      </c>
      <c r="AF7" s="371" t="s">
        <v>884</v>
      </c>
      <c r="AG7" s="379">
        <v>45</v>
      </c>
      <c r="AH7" s="379" t="s">
        <v>97</v>
      </c>
      <c r="AI7" s="379" t="s">
        <v>234</v>
      </c>
      <c r="AJ7" s="386" t="s">
        <v>360</v>
      </c>
      <c r="AL7" s="401">
        <v>2</v>
      </c>
      <c r="AM7" s="320" t="s">
        <v>965</v>
      </c>
      <c r="AN7" s="339" t="s">
        <v>966</v>
      </c>
      <c r="AO7" s="371" t="s">
        <v>968</v>
      </c>
      <c r="AP7" s="371">
        <v>80</v>
      </c>
      <c r="AQ7" s="379" t="s">
        <v>97</v>
      </c>
      <c r="AR7" s="379" t="s">
        <v>234</v>
      </c>
      <c r="AS7" s="379" t="s">
        <v>122</v>
      </c>
      <c r="AU7" s="416">
        <v>2</v>
      </c>
      <c r="AV7" s="416" t="s">
        <v>1044</v>
      </c>
      <c r="AW7" s="360" t="s">
        <v>1047</v>
      </c>
      <c r="AX7" s="342" t="s">
        <v>1091</v>
      </c>
      <c r="AY7" s="352">
        <v>68</v>
      </c>
      <c r="AZ7" s="352" t="s">
        <v>97</v>
      </c>
      <c r="BA7" s="352" t="s">
        <v>234</v>
      </c>
      <c r="BB7" s="410" t="s">
        <v>122</v>
      </c>
      <c r="BD7" s="259">
        <v>2</v>
      </c>
      <c r="BE7" s="249" t="s">
        <v>1114</v>
      </c>
      <c r="BF7" s="226" t="s">
        <v>1115</v>
      </c>
      <c r="BG7" s="248" t="s">
        <v>1116</v>
      </c>
      <c r="BH7" s="193">
        <v>62</v>
      </c>
      <c r="BI7" s="193" t="s">
        <v>97</v>
      </c>
      <c r="BJ7" s="192" t="s">
        <v>234</v>
      </c>
      <c r="BK7" s="374" t="s">
        <v>122</v>
      </c>
      <c r="BL7" s="375"/>
      <c r="BM7" s="375"/>
      <c r="BN7" s="375"/>
      <c r="BO7" s="442"/>
      <c r="BP7" s="155">
        <v>2</v>
      </c>
      <c r="BQ7" s="476" t="s">
        <v>1161</v>
      </c>
      <c r="BR7" s="302" t="s">
        <v>1162</v>
      </c>
      <c r="BS7" s="192" t="s">
        <v>1163</v>
      </c>
      <c r="BT7" s="192">
        <v>63</v>
      </c>
      <c r="BU7" s="193" t="s">
        <v>120</v>
      </c>
      <c r="BV7" s="192" t="s">
        <v>235</v>
      </c>
      <c r="BW7" s="191" t="s">
        <v>122</v>
      </c>
      <c r="BY7" s="479">
        <v>5</v>
      </c>
      <c r="BZ7" s="429" t="s">
        <v>1236</v>
      </c>
      <c r="CA7" s="426" t="s">
        <v>1237</v>
      </c>
      <c r="CB7" s="427" t="s">
        <v>1238</v>
      </c>
      <c r="CC7" s="428">
        <v>76</v>
      </c>
      <c r="CD7" s="428" t="s">
        <v>97</v>
      </c>
      <c r="CE7" s="193"/>
      <c r="CF7" s="427" t="s">
        <v>122</v>
      </c>
      <c r="CI7" s="551">
        <v>5</v>
      </c>
      <c r="CJ7" s="557" t="s">
        <v>1300</v>
      </c>
      <c r="CK7" s="555" t="s">
        <v>1301</v>
      </c>
      <c r="CL7" s="342" t="s">
        <v>1302</v>
      </c>
      <c r="CM7" s="352">
        <v>51</v>
      </c>
      <c r="CN7" s="556" t="s">
        <v>97</v>
      </c>
      <c r="CO7" s="442" t="s">
        <v>122</v>
      </c>
      <c r="CP7" s="342" t="s">
        <v>126</v>
      </c>
      <c r="CQ7" s="153"/>
      <c r="CR7" s="154"/>
      <c r="CS7" s="319">
        <v>5</v>
      </c>
      <c r="CT7" s="320" t="s">
        <v>1390</v>
      </c>
      <c r="CU7" s="226" t="s">
        <v>1396</v>
      </c>
      <c r="CV7" s="360" t="s">
        <v>1393</v>
      </c>
      <c r="CW7" s="342">
        <v>54</v>
      </c>
      <c r="CX7" s="352" t="s">
        <v>97</v>
      </c>
      <c r="CY7" s="192" t="s">
        <v>122</v>
      </c>
      <c r="CZ7" s="342" t="s">
        <v>235</v>
      </c>
      <c r="DA7" s="539"/>
      <c r="DC7" s="319">
        <v>5</v>
      </c>
      <c r="DD7" s="588" t="s">
        <v>1462</v>
      </c>
      <c r="DE7" s="574" t="s">
        <v>1463</v>
      </c>
      <c r="DF7" s="573" t="s">
        <v>1464</v>
      </c>
      <c r="DG7" s="342">
        <v>68</v>
      </c>
      <c r="DH7" s="352" t="s">
        <v>97</v>
      </c>
      <c r="DI7" s="192" t="s">
        <v>122</v>
      </c>
      <c r="DJ7" s="352"/>
      <c r="DK7" s="216"/>
      <c r="JE7" s="153"/>
    </row>
    <row r="8" spans="1:265" ht="18.75" customHeight="1" thickBot="1" x14ac:dyDescent="0.3">
      <c r="A8" s="155"/>
      <c r="B8" s="199" t="s">
        <v>231</v>
      </c>
      <c r="C8" s="219" t="s">
        <v>232</v>
      </c>
      <c r="D8" s="192" t="s">
        <v>233</v>
      </c>
      <c r="E8" s="276">
        <v>83</v>
      </c>
      <c r="F8" s="276" t="s">
        <v>98</v>
      </c>
      <c r="G8" s="276" t="s">
        <v>235</v>
      </c>
      <c r="H8" s="277" t="s">
        <v>123</v>
      </c>
      <c r="J8" s="259">
        <v>5</v>
      </c>
      <c r="K8" s="261" t="s">
        <v>253</v>
      </c>
      <c r="L8" s="241" t="s">
        <v>254</v>
      </c>
      <c r="M8" s="192" t="s">
        <v>255</v>
      </c>
      <c r="N8" s="193">
        <v>69</v>
      </c>
      <c r="O8" s="193" t="s">
        <v>97</v>
      </c>
      <c r="P8" s="192" t="s">
        <v>234</v>
      </c>
      <c r="Q8" s="192" t="s">
        <v>122</v>
      </c>
      <c r="R8" s="336"/>
      <c r="S8" s="292"/>
      <c r="T8" s="199" t="s">
        <v>345</v>
      </c>
      <c r="U8" s="218" t="s">
        <v>343</v>
      </c>
      <c r="V8" s="192" t="s">
        <v>346</v>
      </c>
      <c r="W8" s="193">
        <v>70</v>
      </c>
      <c r="X8" s="193" t="s">
        <v>97</v>
      </c>
      <c r="Y8" s="192" t="s">
        <v>354</v>
      </c>
      <c r="Z8" s="194" t="s">
        <v>122</v>
      </c>
      <c r="AC8" s="155">
        <v>5</v>
      </c>
      <c r="AD8" s="199" t="s">
        <v>368</v>
      </c>
      <c r="AE8" s="219" t="s">
        <v>369</v>
      </c>
      <c r="AF8" s="192" t="s">
        <v>370</v>
      </c>
      <c r="AG8" s="193">
        <v>51</v>
      </c>
      <c r="AH8" s="193" t="s">
        <v>97</v>
      </c>
      <c r="AI8" s="192" t="s">
        <v>234</v>
      </c>
      <c r="AJ8" s="194" t="s">
        <v>360</v>
      </c>
      <c r="AL8" s="259">
        <v>5</v>
      </c>
      <c r="AM8" s="261" t="s">
        <v>441</v>
      </c>
      <c r="AN8" s="241" t="s">
        <v>442</v>
      </c>
      <c r="AO8" s="192" t="s">
        <v>443</v>
      </c>
      <c r="AP8" s="193">
        <v>73</v>
      </c>
      <c r="AQ8" s="193" t="s">
        <v>97</v>
      </c>
      <c r="AR8" s="192" t="s">
        <v>234</v>
      </c>
      <c r="AS8" s="192" t="s">
        <v>122</v>
      </c>
      <c r="AU8" s="259">
        <v>5</v>
      </c>
      <c r="AV8" s="261" t="s">
        <v>464</v>
      </c>
      <c r="AW8" s="241" t="s">
        <v>462</v>
      </c>
      <c r="AX8" s="192" t="s">
        <v>465</v>
      </c>
      <c r="AY8" s="193">
        <v>92</v>
      </c>
      <c r="AZ8" s="193" t="s">
        <v>98</v>
      </c>
      <c r="BA8" s="192" t="s">
        <v>234</v>
      </c>
      <c r="BB8" s="194" t="s">
        <v>123</v>
      </c>
      <c r="BD8" s="259">
        <v>6</v>
      </c>
      <c r="BE8" s="249" t="s">
        <v>525</v>
      </c>
      <c r="BF8" s="226" t="s">
        <v>515</v>
      </c>
      <c r="BG8" s="249" t="s">
        <v>514</v>
      </c>
      <c r="BH8" s="193">
        <v>81</v>
      </c>
      <c r="BI8" s="193" t="s">
        <v>97</v>
      </c>
      <c r="BJ8" s="223"/>
      <c r="BK8" s="154"/>
      <c r="BL8" s="154"/>
      <c r="BM8" s="154"/>
      <c r="BN8" s="154"/>
      <c r="BO8" s="247"/>
      <c r="BP8" s="155">
        <v>6</v>
      </c>
      <c r="BQ8" s="199" t="s">
        <v>586</v>
      </c>
      <c r="BR8" s="302" t="s">
        <v>564</v>
      </c>
      <c r="BS8" s="192" t="s">
        <v>591</v>
      </c>
      <c r="BT8" s="193" t="s">
        <v>578</v>
      </c>
      <c r="BU8" s="193" t="s">
        <v>242</v>
      </c>
      <c r="BV8" s="192" t="s">
        <v>354</v>
      </c>
      <c r="BW8" s="191" t="s">
        <v>594</v>
      </c>
      <c r="BY8" s="479">
        <v>6</v>
      </c>
      <c r="BZ8" s="429" t="s">
        <v>1258</v>
      </c>
      <c r="CA8" s="426" t="s">
        <v>1259</v>
      </c>
      <c r="CB8" s="427" t="s">
        <v>1260</v>
      </c>
      <c r="CC8" s="428">
        <v>48</v>
      </c>
      <c r="CD8" s="428" t="s">
        <v>97</v>
      </c>
      <c r="CE8" s="192"/>
      <c r="CF8" s="427" t="s">
        <v>122</v>
      </c>
      <c r="CI8" s="551">
        <v>6</v>
      </c>
      <c r="CJ8" s="557" t="s">
        <v>1303</v>
      </c>
      <c r="CK8" s="555" t="s">
        <v>1289</v>
      </c>
      <c r="CL8" s="342" t="s">
        <v>1304</v>
      </c>
      <c r="CM8" s="352">
        <v>83</v>
      </c>
      <c r="CN8" s="556" t="s">
        <v>97</v>
      </c>
      <c r="CO8" s="247" t="s">
        <v>122</v>
      </c>
      <c r="CP8" s="342" t="s">
        <v>126</v>
      </c>
      <c r="CQ8" s="153"/>
      <c r="CR8" s="154"/>
      <c r="CS8" s="319">
        <v>6</v>
      </c>
      <c r="CT8" s="320" t="s">
        <v>1391</v>
      </c>
      <c r="CU8" s="226" t="s">
        <v>1396</v>
      </c>
      <c r="CV8" s="360" t="s">
        <v>1394</v>
      </c>
      <c r="CW8" s="342">
        <v>70</v>
      </c>
      <c r="CX8" s="352" t="s">
        <v>97</v>
      </c>
      <c r="CY8" s="192" t="s">
        <v>122</v>
      </c>
      <c r="CZ8" s="192" t="s">
        <v>234</v>
      </c>
      <c r="DA8" s="539"/>
      <c r="DC8" s="319">
        <v>6</v>
      </c>
      <c r="DD8" s="588" t="s">
        <v>1465</v>
      </c>
      <c r="DE8" s="574" t="s">
        <v>1466</v>
      </c>
      <c r="DF8" s="573" t="s">
        <v>1467</v>
      </c>
      <c r="DG8" s="342">
        <v>58</v>
      </c>
      <c r="DH8" s="352" t="s">
        <v>97</v>
      </c>
      <c r="DI8" s="192" t="s">
        <v>122</v>
      </c>
      <c r="DJ8" s="193"/>
      <c r="DK8" s="216"/>
      <c r="JE8" s="153"/>
    </row>
    <row r="9" spans="1:265" ht="18.75" customHeight="1" thickBot="1" x14ac:dyDescent="0.3">
      <c r="A9" s="155"/>
      <c r="B9" s="288" t="s">
        <v>207</v>
      </c>
      <c r="C9" s="279" t="s">
        <v>208</v>
      </c>
      <c r="D9" s="284" t="s">
        <v>209</v>
      </c>
      <c r="E9" s="280">
        <v>12</v>
      </c>
      <c r="F9" s="280" t="s">
        <v>98</v>
      </c>
      <c r="G9" s="280" t="s">
        <v>235</v>
      </c>
      <c r="H9" s="317" t="s">
        <v>134</v>
      </c>
      <c r="J9" s="259">
        <v>6</v>
      </c>
      <c r="K9" s="261" t="s">
        <v>260</v>
      </c>
      <c r="L9" s="241" t="s">
        <v>261</v>
      </c>
      <c r="M9" s="192" t="s">
        <v>262</v>
      </c>
      <c r="N9" s="193">
        <v>61</v>
      </c>
      <c r="O9" s="193" t="s">
        <v>97</v>
      </c>
      <c r="P9" s="192" t="s">
        <v>235</v>
      </c>
      <c r="Q9" s="192" t="s">
        <v>122</v>
      </c>
      <c r="R9" s="322"/>
      <c r="S9" s="337"/>
      <c r="T9" s="199" t="s">
        <v>283</v>
      </c>
      <c r="U9" s="218" t="s">
        <v>284</v>
      </c>
      <c r="V9" s="192" t="s">
        <v>285</v>
      </c>
      <c r="W9" s="193">
        <v>73</v>
      </c>
      <c r="X9" s="193" t="s">
        <v>98</v>
      </c>
      <c r="Y9" s="192" t="s">
        <v>354</v>
      </c>
      <c r="Z9" s="194" t="s">
        <v>123</v>
      </c>
      <c r="AC9" s="155">
        <v>6</v>
      </c>
      <c r="AD9" s="199" t="s">
        <v>387</v>
      </c>
      <c r="AE9" s="219" t="s">
        <v>388</v>
      </c>
      <c r="AF9" s="192" t="s">
        <v>389</v>
      </c>
      <c r="AG9" s="193">
        <v>58</v>
      </c>
      <c r="AH9" s="193" t="s">
        <v>97</v>
      </c>
      <c r="AI9" s="192" t="s">
        <v>234</v>
      </c>
      <c r="AJ9" s="194" t="s">
        <v>360</v>
      </c>
      <c r="AL9" s="259">
        <v>6</v>
      </c>
      <c r="AM9" s="261" t="s">
        <v>444</v>
      </c>
      <c r="AN9" s="241" t="s">
        <v>446</v>
      </c>
      <c r="AO9" s="241" t="s">
        <v>445</v>
      </c>
      <c r="AP9" s="193">
        <v>51</v>
      </c>
      <c r="AQ9" s="193" t="s">
        <v>97</v>
      </c>
      <c r="AR9" s="192" t="s">
        <v>234</v>
      </c>
      <c r="AS9" s="192" t="s">
        <v>122</v>
      </c>
      <c r="AU9" s="259">
        <v>6</v>
      </c>
      <c r="AV9" s="261" t="s">
        <v>466</v>
      </c>
      <c r="AW9" s="241" t="s">
        <v>467</v>
      </c>
      <c r="AX9" s="192" t="s">
        <v>468</v>
      </c>
      <c r="AY9" s="193">
        <v>34</v>
      </c>
      <c r="AZ9" s="193" t="s">
        <v>98</v>
      </c>
      <c r="BA9" s="192" t="s">
        <v>234</v>
      </c>
      <c r="BB9" s="194" t="s">
        <v>123</v>
      </c>
      <c r="BD9" s="259">
        <v>7</v>
      </c>
      <c r="BE9" s="249" t="s">
        <v>526</v>
      </c>
      <c r="BF9" s="226" t="s">
        <v>517</v>
      </c>
      <c r="BG9" s="249" t="s">
        <v>516</v>
      </c>
      <c r="BH9" s="193">
        <v>89</v>
      </c>
      <c r="BI9" s="193" t="s">
        <v>97</v>
      </c>
      <c r="BJ9" s="447"/>
      <c r="BK9" s="375"/>
      <c r="BL9" s="375"/>
      <c r="BM9" s="375"/>
      <c r="BN9" s="375"/>
      <c r="BO9" s="247"/>
      <c r="BP9" s="155">
        <v>7</v>
      </c>
      <c r="BQ9" s="199" t="s">
        <v>587</v>
      </c>
      <c r="BR9" s="302" t="s">
        <v>582</v>
      </c>
      <c r="BS9" s="192" t="s">
        <v>592</v>
      </c>
      <c r="BT9" s="193" t="s">
        <v>573</v>
      </c>
      <c r="BU9" s="193" t="s">
        <v>242</v>
      </c>
      <c r="BV9" s="192" t="s">
        <v>354</v>
      </c>
      <c r="BW9" s="191" t="s">
        <v>594</v>
      </c>
      <c r="BY9" s="479">
        <v>7</v>
      </c>
      <c r="BZ9" s="429" t="s">
        <v>1261</v>
      </c>
      <c r="CA9" s="426" t="s">
        <v>1262</v>
      </c>
      <c r="CB9" s="427" t="s">
        <v>1263</v>
      </c>
      <c r="CC9" s="428">
        <v>27</v>
      </c>
      <c r="CD9" s="428" t="s">
        <v>97</v>
      </c>
      <c r="CE9" s="192"/>
      <c r="CF9" s="427" t="s">
        <v>122</v>
      </c>
      <c r="CI9" s="551">
        <v>7</v>
      </c>
      <c r="CJ9" s="557" t="s">
        <v>938</v>
      </c>
      <c r="CK9" s="555" t="s">
        <v>1289</v>
      </c>
      <c r="CL9" s="342" t="s">
        <v>1305</v>
      </c>
      <c r="CM9" s="352">
        <v>67</v>
      </c>
      <c r="CN9" s="556" t="s">
        <v>97</v>
      </c>
      <c r="CO9" s="247" t="s">
        <v>122</v>
      </c>
      <c r="CP9" s="342" t="s">
        <v>126</v>
      </c>
      <c r="CQ9" s="153"/>
      <c r="CR9" s="154"/>
      <c r="CS9" s="319">
        <v>7</v>
      </c>
      <c r="CT9" s="320" t="s">
        <v>1392</v>
      </c>
      <c r="CU9" s="226" t="s">
        <v>1396</v>
      </c>
      <c r="CV9" s="360" t="s">
        <v>1395</v>
      </c>
      <c r="CW9" s="342">
        <v>55</v>
      </c>
      <c r="CX9" s="352" t="s">
        <v>97</v>
      </c>
      <c r="CY9" s="192" t="s">
        <v>122</v>
      </c>
      <c r="CZ9" s="192" t="s">
        <v>234</v>
      </c>
      <c r="DA9" s="539"/>
      <c r="DC9" s="319">
        <v>7</v>
      </c>
      <c r="DD9" s="588" t="s">
        <v>1468</v>
      </c>
      <c r="DE9" s="574" t="s">
        <v>1469</v>
      </c>
      <c r="DF9" s="573" t="s">
        <v>1470</v>
      </c>
      <c r="DG9" s="342">
        <v>75</v>
      </c>
      <c r="DH9" s="352" t="s">
        <v>97</v>
      </c>
      <c r="DI9" s="192" t="s">
        <v>122</v>
      </c>
      <c r="DJ9" s="193"/>
      <c r="DK9" s="216"/>
      <c r="JE9" s="153"/>
    </row>
    <row r="10" spans="1:265" ht="18.75" customHeight="1" thickBot="1" x14ac:dyDescent="0.3">
      <c r="A10" s="167">
        <v>3</v>
      </c>
      <c r="B10" s="261" t="s">
        <v>605</v>
      </c>
      <c r="C10" s="241" t="s">
        <v>610</v>
      </c>
      <c r="D10" s="192" t="s">
        <v>607</v>
      </c>
      <c r="E10" s="276">
        <v>47</v>
      </c>
      <c r="F10" s="276" t="s">
        <v>97</v>
      </c>
      <c r="G10" s="276" t="s">
        <v>234</v>
      </c>
      <c r="H10" s="276" t="s">
        <v>161</v>
      </c>
      <c r="J10" s="259">
        <v>2</v>
      </c>
      <c r="K10" s="249" t="s">
        <v>719</v>
      </c>
      <c r="L10" s="323" t="s">
        <v>717</v>
      </c>
      <c r="M10" s="192" t="s">
        <v>718</v>
      </c>
      <c r="N10" s="264">
        <v>85</v>
      </c>
      <c r="O10" s="264" t="s">
        <v>98</v>
      </c>
      <c r="P10" s="192" t="s">
        <v>234</v>
      </c>
      <c r="Q10" s="192" t="s">
        <v>123</v>
      </c>
      <c r="S10" s="319">
        <v>3</v>
      </c>
      <c r="T10" s="351" t="s">
        <v>811</v>
      </c>
      <c r="U10" s="347" t="s">
        <v>809</v>
      </c>
      <c r="V10" s="342" t="s">
        <v>813</v>
      </c>
      <c r="W10" s="352">
        <v>37</v>
      </c>
      <c r="X10" s="352" t="s">
        <v>97</v>
      </c>
      <c r="Y10" s="352" t="s">
        <v>234</v>
      </c>
      <c r="Z10" s="350" t="s">
        <v>688</v>
      </c>
      <c r="AC10" s="373">
        <v>3</v>
      </c>
      <c r="AD10" s="199" t="s">
        <v>886</v>
      </c>
      <c r="AE10" s="387" t="s">
        <v>885</v>
      </c>
      <c r="AF10" s="371" t="s">
        <v>887</v>
      </c>
      <c r="AG10" s="379">
        <v>69</v>
      </c>
      <c r="AH10" s="379" t="s">
        <v>97</v>
      </c>
      <c r="AI10" s="379" t="s">
        <v>234</v>
      </c>
      <c r="AJ10" s="386" t="s">
        <v>360</v>
      </c>
      <c r="AL10" s="401">
        <v>3</v>
      </c>
      <c r="AM10" s="400" t="s">
        <v>970</v>
      </c>
      <c r="AN10" s="339" t="s">
        <v>969</v>
      </c>
      <c r="AO10" s="371" t="s">
        <v>972</v>
      </c>
      <c r="AP10" s="371">
        <v>43</v>
      </c>
      <c r="AQ10" s="379" t="s">
        <v>97</v>
      </c>
      <c r="AR10" s="379" t="s">
        <v>234</v>
      </c>
      <c r="AS10" s="379" t="s">
        <v>122</v>
      </c>
      <c r="AU10" s="416">
        <v>3</v>
      </c>
      <c r="AV10" s="417" t="s">
        <v>1050</v>
      </c>
      <c r="AW10" s="360" t="s">
        <v>1049</v>
      </c>
      <c r="AX10" s="342" t="s">
        <v>1051</v>
      </c>
      <c r="AY10" s="352">
        <v>40</v>
      </c>
      <c r="AZ10" s="352" t="s">
        <v>97</v>
      </c>
      <c r="BA10" s="352" t="s">
        <v>234</v>
      </c>
      <c r="BB10" s="410" t="s">
        <v>122</v>
      </c>
      <c r="BD10" s="259">
        <v>3</v>
      </c>
      <c r="BE10" s="249" t="s">
        <v>1117</v>
      </c>
      <c r="BF10" s="226" t="s">
        <v>1118</v>
      </c>
      <c r="BG10" s="225" t="s">
        <v>1119</v>
      </c>
      <c r="BH10" s="297">
        <v>50</v>
      </c>
      <c r="BI10" s="227" t="s">
        <v>97</v>
      </c>
      <c r="BJ10" s="192" t="s">
        <v>234</v>
      </c>
      <c r="BK10" s="374" t="s">
        <v>122</v>
      </c>
      <c r="BL10" s="375"/>
      <c r="BM10" s="375"/>
      <c r="BN10" s="375"/>
      <c r="BO10" s="442"/>
      <c r="BP10" s="155">
        <v>3</v>
      </c>
      <c r="BQ10" s="477" t="s">
        <v>1164</v>
      </c>
      <c r="BR10" s="302" t="s">
        <v>1165</v>
      </c>
      <c r="BS10" s="192" t="s">
        <v>1166</v>
      </c>
      <c r="BT10" s="192">
        <v>63</v>
      </c>
      <c r="BU10" s="193" t="s">
        <v>120</v>
      </c>
      <c r="BV10" s="192" t="s">
        <v>234</v>
      </c>
      <c r="BW10" s="191" t="s">
        <v>122</v>
      </c>
      <c r="BY10" s="479">
        <v>8</v>
      </c>
      <c r="BZ10" s="429" t="s">
        <v>1265</v>
      </c>
      <c r="CA10" s="426" t="s">
        <v>1264</v>
      </c>
      <c r="CB10" s="427" t="s">
        <v>1266</v>
      </c>
      <c r="CC10" s="428">
        <v>91</v>
      </c>
      <c r="CD10" s="428" t="s">
        <v>97</v>
      </c>
      <c r="CE10" s="193"/>
      <c r="CF10" s="427" t="s">
        <v>122</v>
      </c>
      <c r="CI10" s="551">
        <v>8</v>
      </c>
      <c r="CJ10" s="557" t="s">
        <v>1306</v>
      </c>
      <c r="CK10" s="555" t="s">
        <v>1307</v>
      </c>
      <c r="CL10" s="342" t="s">
        <v>1308</v>
      </c>
      <c r="CM10" s="352">
        <v>19</v>
      </c>
      <c r="CN10" s="556" t="s">
        <v>97</v>
      </c>
      <c r="CO10" s="247" t="s">
        <v>122</v>
      </c>
      <c r="CP10" s="192" t="s">
        <v>125</v>
      </c>
      <c r="CQ10" s="153"/>
      <c r="CR10" s="154"/>
      <c r="CS10" s="319">
        <v>8</v>
      </c>
      <c r="CT10" s="320" t="s">
        <v>1398</v>
      </c>
      <c r="CU10" s="360" t="s">
        <v>1397</v>
      </c>
      <c r="CV10" s="342" t="s">
        <v>1399</v>
      </c>
      <c r="CW10" s="342">
        <v>60</v>
      </c>
      <c r="CX10" s="352" t="s">
        <v>97</v>
      </c>
      <c r="CY10" s="192" t="s">
        <v>122</v>
      </c>
      <c r="CZ10" s="192" t="s">
        <v>235</v>
      </c>
      <c r="DA10" s="539"/>
      <c r="DC10" s="319">
        <v>8</v>
      </c>
      <c r="DD10" s="588" t="s">
        <v>1471</v>
      </c>
      <c r="DE10" s="573" t="s">
        <v>1472</v>
      </c>
      <c r="DF10" s="583" t="s">
        <v>1473</v>
      </c>
      <c r="DG10" s="342">
        <v>53</v>
      </c>
      <c r="DH10" s="352" t="s">
        <v>97</v>
      </c>
      <c r="DI10" s="192" t="s">
        <v>122</v>
      </c>
      <c r="DJ10" s="193"/>
      <c r="DK10" s="216"/>
      <c r="JE10" s="153"/>
    </row>
    <row r="11" spans="1:265" ht="18.75" customHeight="1" thickBot="1" x14ac:dyDescent="0.3">
      <c r="A11" s="155"/>
      <c r="B11" s="199"/>
      <c r="C11" s="219"/>
      <c r="D11" s="192"/>
      <c r="E11" s="276"/>
      <c r="F11" s="276"/>
      <c r="G11" s="276"/>
      <c r="H11" s="277"/>
      <c r="J11" s="259"/>
      <c r="K11" s="261"/>
      <c r="L11" s="241"/>
      <c r="M11" s="192"/>
      <c r="N11" s="193"/>
      <c r="O11" s="193"/>
      <c r="P11" s="192"/>
      <c r="Q11" s="192"/>
      <c r="R11" s="335"/>
      <c r="S11" s="292"/>
      <c r="T11" s="199"/>
      <c r="U11" s="218"/>
      <c r="V11" s="192"/>
      <c r="W11" s="193"/>
      <c r="X11" s="193"/>
      <c r="Y11" s="192"/>
      <c r="Z11" s="194"/>
      <c r="AC11" s="155">
        <v>8</v>
      </c>
      <c r="AD11" s="199" t="s">
        <v>399</v>
      </c>
      <c r="AE11" s="219" t="s">
        <v>400</v>
      </c>
      <c r="AF11" s="192" t="s">
        <v>409</v>
      </c>
      <c r="AG11" s="193">
        <v>71</v>
      </c>
      <c r="AH11" s="193" t="s">
        <v>97</v>
      </c>
      <c r="AI11" s="192" t="s">
        <v>235</v>
      </c>
      <c r="AJ11" s="194" t="s">
        <v>360</v>
      </c>
      <c r="AL11" s="259">
        <v>8</v>
      </c>
      <c r="AM11" s="261" t="s">
        <v>454</v>
      </c>
      <c r="AN11" s="241" t="s">
        <v>455</v>
      </c>
      <c r="AO11" s="192" t="s">
        <v>456</v>
      </c>
      <c r="AP11" s="193">
        <v>76</v>
      </c>
      <c r="AQ11" s="193" t="s">
        <v>97</v>
      </c>
      <c r="AR11" s="192" t="s">
        <v>234</v>
      </c>
      <c r="AS11" s="192" t="s">
        <v>122</v>
      </c>
      <c r="AU11" s="259">
        <v>8</v>
      </c>
      <c r="AV11" s="261" t="s">
        <v>487</v>
      </c>
      <c r="AW11" s="241" t="s">
        <v>488</v>
      </c>
      <c r="AX11" s="192" t="s">
        <v>489</v>
      </c>
      <c r="AY11" s="193">
        <v>46</v>
      </c>
      <c r="AZ11" s="193" t="s">
        <v>98</v>
      </c>
      <c r="BA11" s="192" t="s">
        <v>234</v>
      </c>
      <c r="BB11" s="194" t="s">
        <v>123</v>
      </c>
      <c r="BD11" s="259">
        <v>9</v>
      </c>
      <c r="BE11" s="249" t="s">
        <v>528</v>
      </c>
      <c r="BF11" s="226" t="s">
        <v>527</v>
      </c>
      <c r="BG11" s="192" t="s">
        <v>529</v>
      </c>
      <c r="BH11" s="193">
        <v>60</v>
      </c>
      <c r="BI11" s="193" t="s">
        <v>97</v>
      </c>
      <c r="BJ11" s="448"/>
      <c r="BK11" s="154"/>
      <c r="BL11" s="154"/>
      <c r="BM11" s="154"/>
      <c r="BN11" s="154"/>
      <c r="BO11" s="247"/>
      <c r="BP11" s="155">
        <v>9</v>
      </c>
      <c r="BQ11" s="199" t="s">
        <v>558</v>
      </c>
      <c r="BR11" s="302" t="s">
        <v>562</v>
      </c>
      <c r="BS11" s="192" t="s">
        <v>566</v>
      </c>
      <c r="BT11" s="193" t="s">
        <v>570</v>
      </c>
      <c r="BU11" s="193" t="s">
        <v>120</v>
      </c>
      <c r="BV11" s="192" t="s">
        <v>354</v>
      </c>
      <c r="BW11" s="194" t="s">
        <v>593</v>
      </c>
      <c r="BY11" s="479">
        <v>9</v>
      </c>
      <c r="BZ11" s="429" t="s">
        <v>1267</v>
      </c>
      <c r="CA11" s="426" t="s">
        <v>1268</v>
      </c>
      <c r="CB11" s="427" t="s">
        <v>1269</v>
      </c>
      <c r="CC11" s="428">
        <v>72</v>
      </c>
      <c r="CD11" s="428" t="s">
        <v>97</v>
      </c>
      <c r="CE11" s="192"/>
      <c r="CF11" s="427" t="s">
        <v>122</v>
      </c>
      <c r="CI11" s="551">
        <v>9</v>
      </c>
      <c r="CJ11" s="557" t="s">
        <v>1310</v>
      </c>
      <c r="CK11" s="555" t="s">
        <v>1311</v>
      </c>
      <c r="CL11" s="555" t="s">
        <v>1312</v>
      </c>
      <c r="CM11" s="352">
        <v>82</v>
      </c>
      <c r="CN11" s="556" t="s">
        <v>98</v>
      </c>
      <c r="CO11" s="247" t="s">
        <v>123</v>
      </c>
      <c r="CP11" s="192" t="s">
        <v>125</v>
      </c>
      <c r="CQ11" s="153"/>
      <c r="CR11" s="154"/>
      <c r="CS11" s="319">
        <v>9</v>
      </c>
      <c r="CT11" s="320" t="s">
        <v>1400</v>
      </c>
      <c r="CU11" s="360" t="s">
        <v>1381</v>
      </c>
      <c r="CV11" s="360" t="s">
        <v>1401</v>
      </c>
      <c r="CW11" s="342">
        <v>77</v>
      </c>
      <c r="CX11" s="352" t="s">
        <v>97</v>
      </c>
      <c r="CY11" s="192" t="s">
        <v>122</v>
      </c>
      <c r="CZ11" s="192" t="s">
        <v>235</v>
      </c>
      <c r="DA11" s="539"/>
      <c r="DC11" s="319">
        <v>9</v>
      </c>
      <c r="DD11" s="588" t="s">
        <v>1474</v>
      </c>
      <c r="DE11" s="573" t="s">
        <v>1475</v>
      </c>
      <c r="DF11" s="573" t="s">
        <v>1476</v>
      </c>
      <c r="DG11" s="342">
        <v>56</v>
      </c>
      <c r="DH11" s="352" t="s">
        <v>97</v>
      </c>
      <c r="DI11" s="192" t="s">
        <v>122</v>
      </c>
      <c r="DJ11" s="193"/>
      <c r="DK11" s="216"/>
      <c r="JE11" s="153"/>
    </row>
    <row r="12" spans="1:265" ht="18.75" customHeight="1" thickBot="1" x14ac:dyDescent="0.3">
      <c r="A12" s="155"/>
      <c r="B12" s="283"/>
      <c r="C12" s="279"/>
      <c r="D12" s="284"/>
      <c r="E12" s="280"/>
      <c r="F12" s="280"/>
      <c r="G12" s="280"/>
      <c r="H12" s="317"/>
      <c r="J12" s="259"/>
      <c r="K12" s="261"/>
      <c r="L12" s="241"/>
      <c r="M12" s="192"/>
      <c r="N12" s="193"/>
      <c r="O12" s="193"/>
      <c r="P12" s="192"/>
      <c r="Q12" s="192"/>
      <c r="R12" s="322"/>
      <c r="S12" s="337"/>
      <c r="T12" s="199"/>
      <c r="U12" s="218"/>
      <c r="V12" s="192"/>
      <c r="W12" s="193"/>
      <c r="X12" s="193"/>
      <c r="Y12" s="192"/>
      <c r="Z12" s="194"/>
      <c r="AC12" s="155">
        <v>9</v>
      </c>
      <c r="AD12" s="199" t="s">
        <v>401</v>
      </c>
      <c r="AE12" s="219" t="s">
        <v>400</v>
      </c>
      <c r="AF12" s="192" t="s">
        <v>402</v>
      </c>
      <c r="AG12" s="193">
        <v>53</v>
      </c>
      <c r="AH12" s="193" t="s">
        <v>97</v>
      </c>
      <c r="AI12" s="192" t="s">
        <v>235</v>
      </c>
      <c r="AJ12" s="194" t="s">
        <v>360</v>
      </c>
      <c r="AL12" s="259">
        <v>9</v>
      </c>
      <c r="AM12" s="261" t="s">
        <v>411</v>
      </c>
      <c r="AN12" s="241" t="s">
        <v>410</v>
      </c>
      <c r="AO12" s="192" t="s">
        <v>412</v>
      </c>
      <c r="AP12" s="193">
        <v>71</v>
      </c>
      <c r="AQ12" s="193" t="s">
        <v>98</v>
      </c>
      <c r="AR12" s="192" t="s">
        <v>234</v>
      </c>
      <c r="AS12" s="192" t="s">
        <v>123</v>
      </c>
      <c r="AU12" s="259">
        <v>9</v>
      </c>
      <c r="AV12" s="261" t="s">
        <v>493</v>
      </c>
      <c r="AW12" s="241" t="s">
        <v>494</v>
      </c>
      <c r="AX12" s="192" t="s">
        <v>495</v>
      </c>
      <c r="AY12" s="193">
        <v>78</v>
      </c>
      <c r="AZ12" s="193" t="s">
        <v>98</v>
      </c>
      <c r="BA12" s="192" t="s">
        <v>234</v>
      </c>
      <c r="BB12" s="194" t="s">
        <v>123</v>
      </c>
      <c r="BD12" s="259">
        <v>10</v>
      </c>
      <c r="BE12" s="249" t="s">
        <v>531</v>
      </c>
      <c r="BF12" s="241" t="s">
        <v>532</v>
      </c>
      <c r="BG12" s="192" t="s">
        <v>533</v>
      </c>
      <c r="BH12" s="193">
        <v>72</v>
      </c>
      <c r="BI12" s="193" t="s">
        <v>97</v>
      </c>
      <c r="BJ12" s="447"/>
      <c r="BK12" s="154"/>
      <c r="BL12" s="154"/>
      <c r="BM12" s="154"/>
      <c r="BN12" s="154"/>
      <c r="BO12" s="247"/>
      <c r="BP12" s="155">
        <v>10</v>
      </c>
      <c r="BQ12" s="199" t="s">
        <v>559</v>
      </c>
      <c r="BR12" s="302" t="s">
        <v>563</v>
      </c>
      <c r="BS12" s="192" t="s">
        <v>567</v>
      </c>
      <c r="BT12" s="193" t="s">
        <v>571</v>
      </c>
      <c r="BU12" s="193" t="s">
        <v>120</v>
      </c>
      <c r="BV12" s="192" t="s">
        <v>354</v>
      </c>
      <c r="BW12" s="194" t="s">
        <v>593</v>
      </c>
      <c r="BY12" s="479">
        <v>10</v>
      </c>
      <c r="BZ12" s="429" t="s">
        <v>1239</v>
      </c>
      <c r="CA12" s="426" t="s">
        <v>1224</v>
      </c>
      <c r="CB12" s="515" t="s">
        <v>1240</v>
      </c>
      <c r="CC12" s="428">
        <v>58</v>
      </c>
      <c r="CD12" s="428" t="s">
        <v>98</v>
      </c>
      <c r="CE12" s="192"/>
      <c r="CF12" s="427" t="s">
        <v>123</v>
      </c>
      <c r="CI12" s="551">
        <v>10</v>
      </c>
      <c r="CJ12" s="557" t="s">
        <v>1313</v>
      </c>
      <c r="CK12" s="555" t="s">
        <v>1295</v>
      </c>
      <c r="CL12" s="342" t="s">
        <v>1314</v>
      </c>
      <c r="CM12" s="352">
        <v>67</v>
      </c>
      <c r="CN12" s="556" t="s">
        <v>98</v>
      </c>
      <c r="CO12" s="247" t="s">
        <v>123</v>
      </c>
      <c r="CP12" s="192" t="s">
        <v>125</v>
      </c>
      <c r="CQ12" s="153"/>
      <c r="CR12" s="154"/>
      <c r="CS12" s="319">
        <v>10</v>
      </c>
      <c r="CT12" s="320" t="s">
        <v>1402</v>
      </c>
      <c r="CU12" s="360" t="s">
        <v>1382</v>
      </c>
      <c r="CV12" s="342" t="s">
        <v>1403</v>
      </c>
      <c r="CW12" s="342">
        <v>48</v>
      </c>
      <c r="CX12" s="352" t="s">
        <v>97</v>
      </c>
      <c r="CY12" s="192" t="s">
        <v>122</v>
      </c>
      <c r="CZ12" s="192" t="s">
        <v>235</v>
      </c>
      <c r="DA12" s="539"/>
      <c r="DC12" s="319">
        <v>10</v>
      </c>
      <c r="DD12" s="588" t="s">
        <v>1477</v>
      </c>
      <c r="DE12" s="573" t="s">
        <v>1478</v>
      </c>
      <c r="DF12" s="583" t="s">
        <v>1479</v>
      </c>
      <c r="DG12" s="342">
        <v>70</v>
      </c>
      <c r="DH12" s="352" t="s">
        <v>97</v>
      </c>
      <c r="DI12" s="192" t="s">
        <v>122</v>
      </c>
      <c r="DJ12" s="193" t="s">
        <v>235</v>
      </c>
      <c r="DK12" s="216"/>
      <c r="JE12" s="153"/>
    </row>
    <row r="13" spans="1:265" ht="18.75" customHeight="1" thickBot="1" x14ac:dyDescent="0.3">
      <c r="A13" s="167">
        <v>4</v>
      </c>
      <c r="B13" s="261" t="s">
        <v>608</v>
      </c>
      <c r="C13" s="241" t="s">
        <v>609</v>
      </c>
      <c r="D13" s="192" t="s">
        <v>611</v>
      </c>
      <c r="E13" s="276">
        <v>64</v>
      </c>
      <c r="F13" s="276" t="s">
        <v>97</v>
      </c>
      <c r="G13" s="276" t="s">
        <v>234</v>
      </c>
      <c r="H13" s="276" t="s">
        <v>161</v>
      </c>
      <c r="J13" s="259">
        <v>4</v>
      </c>
      <c r="K13" s="249" t="s">
        <v>721</v>
      </c>
      <c r="L13" s="323" t="s">
        <v>722</v>
      </c>
      <c r="M13" s="192" t="s">
        <v>804</v>
      </c>
      <c r="N13" s="264">
        <v>30</v>
      </c>
      <c r="O13" s="264" t="s">
        <v>98</v>
      </c>
      <c r="P13" s="192" t="s">
        <v>234</v>
      </c>
      <c r="Q13" s="192" t="s">
        <v>123</v>
      </c>
      <c r="S13" s="319">
        <v>4</v>
      </c>
      <c r="T13" s="351" t="s">
        <v>834</v>
      </c>
      <c r="U13" s="347" t="s">
        <v>835</v>
      </c>
      <c r="V13" s="342" t="s">
        <v>836</v>
      </c>
      <c r="W13" s="352">
        <v>61</v>
      </c>
      <c r="X13" s="352" t="s">
        <v>98</v>
      </c>
      <c r="Y13" s="352" t="s">
        <v>235</v>
      </c>
      <c r="Z13" s="353" t="s">
        <v>688</v>
      </c>
      <c r="AC13" s="373">
        <v>4</v>
      </c>
      <c r="AD13" s="199" t="s">
        <v>889</v>
      </c>
      <c r="AE13" s="387" t="s">
        <v>888</v>
      </c>
      <c r="AF13" s="371" t="s">
        <v>890</v>
      </c>
      <c r="AG13" s="379">
        <v>62</v>
      </c>
      <c r="AH13" s="379" t="s">
        <v>97</v>
      </c>
      <c r="AI13" s="379" t="s">
        <v>234</v>
      </c>
      <c r="AJ13" s="386" t="s">
        <v>360</v>
      </c>
      <c r="AL13" s="401">
        <v>4</v>
      </c>
      <c r="AM13" s="320" t="s">
        <v>971</v>
      </c>
      <c r="AN13" s="339" t="s">
        <v>969</v>
      </c>
      <c r="AO13" s="371" t="s">
        <v>973</v>
      </c>
      <c r="AP13" s="371">
        <v>68</v>
      </c>
      <c r="AQ13" s="379" t="s">
        <v>97</v>
      </c>
      <c r="AR13" s="379" t="s">
        <v>234</v>
      </c>
      <c r="AS13" s="379" t="s">
        <v>122</v>
      </c>
      <c r="AU13" s="416">
        <v>4</v>
      </c>
      <c r="AV13" s="417" t="s">
        <v>1052</v>
      </c>
      <c r="AW13" s="360" t="s">
        <v>1053</v>
      </c>
      <c r="AX13" s="342" t="s">
        <v>1054</v>
      </c>
      <c r="AY13" s="352">
        <v>24</v>
      </c>
      <c r="AZ13" s="352" t="s">
        <v>97</v>
      </c>
      <c r="BA13" s="352" t="s">
        <v>234</v>
      </c>
      <c r="BB13" s="410" t="s">
        <v>122</v>
      </c>
      <c r="BD13" s="259">
        <v>4</v>
      </c>
      <c r="BE13" s="249" t="s">
        <v>1120</v>
      </c>
      <c r="BF13" s="241" t="s">
        <v>1121</v>
      </c>
      <c r="BG13" s="192" t="s">
        <v>1122</v>
      </c>
      <c r="BH13" s="193">
        <v>65</v>
      </c>
      <c r="BI13" s="193" t="s">
        <v>97</v>
      </c>
      <c r="BJ13" s="192" t="s">
        <v>234</v>
      </c>
      <c r="BK13" s="374" t="s">
        <v>122</v>
      </c>
      <c r="BL13" s="375"/>
      <c r="BM13" s="375"/>
      <c r="BN13" s="375"/>
      <c r="BO13" s="442"/>
      <c r="BP13" s="155">
        <v>4</v>
      </c>
      <c r="BQ13" s="476" t="s">
        <v>1168</v>
      </c>
      <c r="BR13" s="302" t="s">
        <v>1167</v>
      </c>
      <c r="BS13" s="192" t="s">
        <v>1169</v>
      </c>
      <c r="BT13" s="192">
        <v>76</v>
      </c>
      <c r="BU13" s="193" t="s">
        <v>120</v>
      </c>
      <c r="BV13" s="192" t="s">
        <v>234</v>
      </c>
      <c r="BW13" s="191" t="s">
        <v>122</v>
      </c>
      <c r="BY13" s="479">
        <v>11</v>
      </c>
      <c r="BZ13" s="429" t="s">
        <v>1241</v>
      </c>
      <c r="CA13" s="426" t="s">
        <v>1227</v>
      </c>
      <c r="CB13" s="427" t="s">
        <v>1242</v>
      </c>
      <c r="CC13" s="428">
        <v>10</v>
      </c>
      <c r="CD13" s="428" t="s">
        <v>98</v>
      </c>
      <c r="CE13" s="193"/>
      <c r="CF13" s="427" t="s">
        <v>134</v>
      </c>
      <c r="CI13" s="551">
        <v>11</v>
      </c>
      <c r="CJ13" s="557" t="s">
        <v>1315</v>
      </c>
      <c r="CK13" s="555" t="s">
        <v>1309</v>
      </c>
      <c r="CL13" s="342" t="s">
        <v>1316</v>
      </c>
      <c r="CM13" s="352">
        <v>32</v>
      </c>
      <c r="CN13" s="556" t="s">
        <v>98</v>
      </c>
      <c r="CO13" s="247" t="s">
        <v>123</v>
      </c>
      <c r="CP13" s="192" t="s">
        <v>125</v>
      </c>
      <c r="CQ13" s="153"/>
      <c r="CR13" s="154"/>
      <c r="CS13" s="319">
        <v>11</v>
      </c>
      <c r="CT13" s="320" t="s">
        <v>1404</v>
      </c>
      <c r="CU13" s="360" t="s">
        <v>1406</v>
      </c>
      <c r="CV13" s="360" t="s">
        <v>1405</v>
      </c>
      <c r="CW13" s="342">
        <v>67</v>
      </c>
      <c r="CX13" s="352" t="s">
        <v>97</v>
      </c>
      <c r="CY13" s="192" t="s">
        <v>122</v>
      </c>
      <c r="CZ13" s="192" t="s">
        <v>234</v>
      </c>
      <c r="DA13" s="539"/>
      <c r="DC13" s="319">
        <v>11</v>
      </c>
      <c r="DD13" s="588" t="s">
        <v>1480</v>
      </c>
      <c r="DE13" s="573" t="s">
        <v>1481</v>
      </c>
      <c r="DF13" s="573" t="s">
        <v>1482</v>
      </c>
      <c r="DG13" s="342">
        <v>50</v>
      </c>
      <c r="DH13" s="352" t="s">
        <v>97</v>
      </c>
      <c r="DI13" s="192" t="s">
        <v>122</v>
      </c>
      <c r="DJ13" s="193"/>
      <c r="DK13" s="216"/>
      <c r="JE13" s="153"/>
    </row>
    <row r="14" spans="1:265" ht="18.75" customHeight="1" thickBot="1" x14ac:dyDescent="0.3">
      <c r="A14" s="167">
        <v>5</v>
      </c>
      <c r="B14" s="261" t="s">
        <v>612</v>
      </c>
      <c r="C14" s="241" t="s">
        <v>613</v>
      </c>
      <c r="D14" s="192" t="s">
        <v>614</v>
      </c>
      <c r="E14" s="276">
        <v>53</v>
      </c>
      <c r="F14" s="276" t="s">
        <v>98</v>
      </c>
      <c r="G14" s="276" t="s">
        <v>234</v>
      </c>
      <c r="H14" s="276" t="s">
        <v>161</v>
      </c>
      <c r="J14" s="259">
        <v>5</v>
      </c>
      <c r="K14" s="249" t="s">
        <v>724</v>
      </c>
      <c r="L14" s="323" t="s">
        <v>725</v>
      </c>
      <c r="M14" s="192" t="s">
        <v>726</v>
      </c>
      <c r="N14" s="264">
        <v>72</v>
      </c>
      <c r="O14" s="264" t="s">
        <v>98</v>
      </c>
      <c r="P14" s="192" t="s">
        <v>234</v>
      </c>
      <c r="Q14" s="192" t="s">
        <v>123</v>
      </c>
      <c r="S14" s="319">
        <v>5</v>
      </c>
      <c r="T14" s="351" t="s">
        <v>837</v>
      </c>
      <c r="U14" s="347" t="s">
        <v>835</v>
      </c>
      <c r="V14" s="342" t="s">
        <v>838</v>
      </c>
      <c r="W14" s="352">
        <v>69</v>
      </c>
      <c r="X14" s="352" t="s">
        <v>98</v>
      </c>
      <c r="Y14" s="352" t="s">
        <v>235</v>
      </c>
      <c r="Z14" s="353" t="s">
        <v>688</v>
      </c>
      <c r="AC14" s="373">
        <v>5</v>
      </c>
      <c r="AD14" s="199" t="s">
        <v>892</v>
      </c>
      <c r="AE14" s="387" t="s">
        <v>891</v>
      </c>
      <c r="AF14" s="371" t="s">
        <v>894</v>
      </c>
      <c r="AG14" s="379">
        <v>47</v>
      </c>
      <c r="AH14" s="379" t="s">
        <v>97</v>
      </c>
      <c r="AI14" s="379" t="s">
        <v>234</v>
      </c>
      <c r="AJ14" s="386" t="s">
        <v>360</v>
      </c>
      <c r="AL14" s="401">
        <v>5</v>
      </c>
      <c r="AM14" s="320" t="s">
        <v>975</v>
      </c>
      <c r="AN14" s="339" t="s">
        <v>974</v>
      </c>
      <c r="AO14" s="371" t="s">
        <v>976</v>
      </c>
      <c r="AP14" s="371">
        <v>78</v>
      </c>
      <c r="AQ14" s="379" t="s">
        <v>97</v>
      </c>
      <c r="AR14" s="379" t="s">
        <v>234</v>
      </c>
      <c r="AS14" s="379" t="s">
        <v>122</v>
      </c>
      <c r="AU14" s="416">
        <v>5</v>
      </c>
      <c r="AV14" s="417" t="s">
        <v>1056</v>
      </c>
      <c r="AW14" s="360" t="s">
        <v>1055</v>
      </c>
      <c r="AX14" s="342" t="s">
        <v>1057</v>
      </c>
      <c r="AY14" s="352">
        <v>71</v>
      </c>
      <c r="AZ14" s="352" t="s">
        <v>97</v>
      </c>
      <c r="BA14" s="352" t="s">
        <v>234</v>
      </c>
      <c r="BB14" s="410" t="s">
        <v>122</v>
      </c>
      <c r="BD14" s="259">
        <v>5</v>
      </c>
      <c r="BE14" s="249" t="s">
        <v>1123</v>
      </c>
      <c r="BF14" s="241" t="s">
        <v>1111</v>
      </c>
      <c r="BG14" s="192" t="s">
        <v>1124</v>
      </c>
      <c r="BH14" s="193">
        <v>74</v>
      </c>
      <c r="BI14" s="193" t="s">
        <v>98</v>
      </c>
      <c r="BJ14" s="192" t="s">
        <v>234</v>
      </c>
      <c r="BK14" s="374" t="s">
        <v>123</v>
      </c>
      <c r="BL14" s="375"/>
      <c r="BM14" s="375"/>
      <c r="BN14" s="375"/>
      <c r="BO14" s="442"/>
      <c r="BP14" s="155">
        <v>5</v>
      </c>
      <c r="BQ14" s="476" t="s">
        <v>1171</v>
      </c>
      <c r="BR14" s="302" t="s">
        <v>1170</v>
      </c>
      <c r="BS14" s="192" t="s">
        <v>1172</v>
      </c>
      <c r="BT14" s="192">
        <v>64</v>
      </c>
      <c r="BU14" s="193" t="s">
        <v>120</v>
      </c>
      <c r="BV14" s="192" t="s">
        <v>235</v>
      </c>
      <c r="BW14" s="191" t="s">
        <v>122</v>
      </c>
      <c r="BY14" s="479">
        <v>12</v>
      </c>
      <c r="BZ14" s="429" t="s">
        <v>1243</v>
      </c>
      <c r="CA14" s="426" t="s">
        <v>1231</v>
      </c>
      <c r="CB14" s="427" t="s">
        <v>1244</v>
      </c>
      <c r="CC14" s="428">
        <v>57</v>
      </c>
      <c r="CD14" s="428" t="s">
        <v>98</v>
      </c>
      <c r="CE14" s="193"/>
      <c r="CF14" s="427" t="s">
        <v>688</v>
      </c>
      <c r="CI14" s="551">
        <v>12</v>
      </c>
      <c r="CJ14" s="557" t="s">
        <v>1317</v>
      </c>
      <c r="CK14" s="555" t="s">
        <v>1318</v>
      </c>
      <c r="CL14" s="342" t="s">
        <v>1319</v>
      </c>
      <c r="CM14" s="352" t="s">
        <v>708</v>
      </c>
      <c r="CN14" s="556" t="s">
        <v>98</v>
      </c>
      <c r="CO14" s="247" t="s">
        <v>134</v>
      </c>
      <c r="CP14" s="192" t="s">
        <v>125</v>
      </c>
      <c r="CQ14" s="153"/>
      <c r="CR14" s="154"/>
      <c r="CS14" s="319">
        <v>12</v>
      </c>
      <c r="CT14" s="320" t="s">
        <v>1407</v>
      </c>
      <c r="CU14" s="360" t="s">
        <v>1379</v>
      </c>
      <c r="CV14" s="342" t="s">
        <v>1408</v>
      </c>
      <c r="CW14" s="342">
        <v>52</v>
      </c>
      <c r="CX14" s="352" t="s">
        <v>97</v>
      </c>
      <c r="CY14" s="192" t="s">
        <v>122</v>
      </c>
      <c r="CZ14" s="192" t="s">
        <v>235</v>
      </c>
      <c r="DA14" s="539"/>
      <c r="DC14" s="319">
        <v>12</v>
      </c>
      <c r="DD14" s="588" t="s">
        <v>1483</v>
      </c>
      <c r="DE14" s="573" t="s">
        <v>1484</v>
      </c>
      <c r="DF14" s="583" t="s">
        <v>1485</v>
      </c>
      <c r="DG14" s="342">
        <v>58</v>
      </c>
      <c r="DH14" s="352" t="s">
        <v>97</v>
      </c>
      <c r="DI14" s="192" t="s">
        <v>122</v>
      </c>
      <c r="DJ14" s="193"/>
      <c r="DK14" s="216"/>
      <c r="JE14" s="153"/>
    </row>
    <row r="15" spans="1:265" ht="18.75" customHeight="1" thickBot="1" x14ac:dyDescent="0.3">
      <c r="A15" s="167">
        <v>6</v>
      </c>
      <c r="B15" s="261" t="s">
        <v>615</v>
      </c>
      <c r="C15" s="241" t="s">
        <v>617</v>
      </c>
      <c r="D15" s="192" t="s">
        <v>616</v>
      </c>
      <c r="E15" s="276">
        <v>0</v>
      </c>
      <c r="F15" s="276" t="s">
        <v>98</v>
      </c>
      <c r="G15" s="276" t="s">
        <v>234</v>
      </c>
      <c r="H15" s="276" t="s">
        <v>161</v>
      </c>
      <c r="J15" s="259">
        <v>6</v>
      </c>
      <c r="K15" s="249" t="s">
        <v>727</v>
      </c>
      <c r="L15" s="323" t="s">
        <v>728</v>
      </c>
      <c r="M15" s="192" t="s">
        <v>729</v>
      </c>
      <c r="N15" s="264">
        <v>84</v>
      </c>
      <c r="O15" s="264" t="s">
        <v>98</v>
      </c>
      <c r="P15" s="192" t="s">
        <v>234</v>
      </c>
      <c r="Q15" s="192" t="s">
        <v>123</v>
      </c>
      <c r="S15" s="319">
        <v>6</v>
      </c>
      <c r="T15" s="351" t="s">
        <v>839</v>
      </c>
      <c r="U15" s="347" t="s">
        <v>840</v>
      </c>
      <c r="V15" s="342" t="s">
        <v>841</v>
      </c>
      <c r="W15" s="352">
        <v>83</v>
      </c>
      <c r="X15" s="352" t="s">
        <v>98</v>
      </c>
      <c r="Y15" s="352" t="s">
        <v>234</v>
      </c>
      <c r="Z15" s="353" t="s">
        <v>688</v>
      </c>
      <c r="AC15" s="373">
        <v>6</v>
      </c>
      <c r="AD15" s="199" t="s">
        <v>893</v>
      </c>
      <c r="AE15" s="387" t="s">
        <v>891</v>
      </c>
      <c r="AF15" s="371" t="s">
        <v>895</v>
      </c>
      <c r="AG15" s="379">
        <v>87</v>
      </c>
      <c r="AH15" s="379" t="s">
        <v>97</v>
      </c>
      <c r="AI15" s="379" t="s">
        <v>234</v>
      </c>
      <c r="AJ15" s="386" t="s">
        <v>360</v>
      </c>
      <c r="AL15" s="401">
        <v>6</v>
      </c>
      <c r="AM15" s="320" t="s">
        <v>978</v>
      </c>
      <c r="AN15" s="339" t="s">
        <v>977</v>
      </c>
      <c r="AO15" s="371" t="s">
        <v>979</v>
      </c>
      <c r="AP15" s="371">
        <v>41</v>
      </c>
      <c r="AQ15" s="379" t="s">
        <v>97</v>
      </c>
      <c r="AR15" s="379" t="s">
        <v>235</v>
      </c>
      <c r="AS15" s="379" t="s">
        <v>122</v>
      </c>
      <c r="AU15" s="416">
        <v>6</v>
      </c>
      <c r="AV15" s="342" t="s">
        <v>1058</v>
      </c>
      <c r="AW15" s="360" t="s">
        <v>1059</v>
      </c>
      <c r="AX15" s="342" t="s">
        <v>1060</v>
      </c>
      <c r="AY15" s="342">
        <v>58</v>
      </c>
      <c r="AZ15" s="352" t="s">
        <v>97</v>
      </c>
      <c r="BA15" s="352" t="s">
        <v>234</v>
      </c>
      <c r="BB15" s="410" t="s">
        <v>122</v>
      </c>
      <c r="BD15" s="259">
        <v>6</v>
      </c>
      <c r="BE15" s="249" t="s">
        <v>1125</v>
      </c>
      <c r="BF15" s="241" t="s">
        <v>1112</v>
      </c>
      <c r="BG15" s="192" t="s">
        <v>1126</v>
      </c>
      <c r="BH15" s="193">
        <v>75</v>
      </c>
      <c r="BI15" s="193" t="s">
        <v>98</v>
      </c>
      <c r="BJ15" s="192" t="s">
        <v>234</v>
      </c>
      <c r="BK15" s="374" t="s">
        <v>123</v>
      </c>
      <c r="BL15" s="375"/>
      <c r="BM15" s="375"/>
      <c r="BN15" s="375"/>
      <c r="BO15" s="442"/>
      <c r="BP15" s="155">
        <v>6</v>
      </c>
      <c r="BQ15" s="476" t="s">
        <v>1174</v>
      </c>
      <c r="BR15" s="302" t="s">
        <v>1173</v>
      </c>
      <c r="BS15" s="192" t="s">
        <v>1175</v>
      </c>
      <c r="BT15" s="192">
        <v>52</v>
      </c>
      <c r="BU15" s="193" t="s">
        <v>120</v>
      </c>
      <c r="BV15" s="192" t="s">
        <v>235</v>
      </c>
      <c r="BW15" s="191" t="s">
        <v>122</v>
      </c>
      <c r="BY15" s="479">
        <v>13</v>
      </c>
      <c r="BZ15" s="429" t="s">
        <v>1245</v>
      </c>
      <c r="CA15" s="426" t="s">
        <v>1246</v>
      </c>
      <c r="CB15" s="427" t="s">
        <v>1247</v>
      </c>
      <c r="CC15" s="428">
        <v>53</v>
      </c>
      <c r="CD15" s="428" t="s">
        <v>97</v>
      </c>
      <c r="CE15" s="193"/>
      <c r="CF15" s="427" t="s">
        <v>688</v>
      </c>
      <c r="CI15" s="551">
        <v>13</v>
      </c>
      <c r="CJ15" s="557" t="s">
        <v>1320</v>
      </c>
      <c r="CK15" s="555" t="s">
        <v>1321</v>
      </c>
      <c r="CL15" s="342" t="s">
        <v>1322</v>
      </c>
      <c r="CM15" s="352" t="s">
        <v>706</v>
      </c>
      <c r="CN15" s="556" t="s">
        <v>1323</v>
      </c>
      <c r="CO15" s="247" t="s">
        <v>134</v>
      </c>
      <c r="CP15" s="192" t="s">
        <v>125</v>
      </c>
      <c r="CQ15" s="153"/>
      <c r="CR15" s="154"/>
      <c r="CS15" s="319">
        <v>13</v>
      </c>
      <c r="CT15" s="320" t="s">
        <v>1410</v>
      </c>
      <c r="CU15" s="360" t="s">
        <v>1409</v>
      </c>
      <c r="CV15" s="342" t="s">
        <v>1411</v>
      </c>
      <c r="CW15" s="342">
        <v>75</v>
      </c>
      <c r="CX15" s="352" t="s">
        <v>98</v>
      </c>
      <c r="CY15" s="192" t="s">
        <v>123</v>
      </c>
      <c r="CZ15" s="192" t="s">
        <v>234</v>
      </c>
      <c r="DA15" s="539"/>
      <c r="DC15" s="319">
        <v>13</v>
      </c>
      <c r="DD15" s="588" t="s">
        <v>1486</v>
      </c>
      <c r="DE15" s="573" t="s">
        <v>1487</v>
      </c>
      <c r="DF15" s="583" t="s">
        <v>1488</v>
      </c>
      <c r="DG15" s="342">
        <v>42</v>
      </c>
      <c r="DH15" s="352" t="s">
        <v>98</v>
      </c>
      <c r="DI15" s="192" t="s">
        <v>123</v>
      </c>
      <c r="DJ15" s="193"/>
      <c r="DK15" s="216"/>
      <c r="JE15" s="153"/>
    </row>
    <row r="16" spans="1:265" ht="18.75" customHeight="1" thickBot="1" x14ac:dyDescent="0.3">
      <c r="A16" s="155"/>
      <c r="B16" s="199"/>
      <c r="C16" s="219"/>
      <c r="D16" s="192"/>
      <c r="E16" s="276"/>
      <c r="F16" s="276"/>
      <c r="G16" s="276"/>
      <c r="H16" s="277"/>
      <c r="J16" s="259">
        <v>11</v>
      </c>
      <c r="K16" s="261" t="s">
        <v>279</v>
      </c>
      <c r="L16" s="241" t="s">
        <v>256</v>
      </c>
      <c r="M16" s="192" t="s">
        <v>257</v>
      </c>
      <c r="N16" s="193">
        <v>32</v>
      </c>
      <c r="O16" s="193" t="s">
        <v>98</v>
      </c>
      <c r="P16" s="192" t="s">
        <v>234</v>
      </c>
      <c r="Q16" s="192" t="s">
        <v>123</v>
      </c>
      <c r="R16" s="335"/>
      <c r="S16" s="292"/>
      <c r="T16" s="199" t="s">
        <v>314</v>
      </c>
      <c r="U16" s="218" t="s">
        <v>315</v>
      </c>
      <c r="V16" s="192" t="s">
        <v>316</v>
      </c>
      <c r="W16" s="193">
        <v>64</v>
      </c>
      <c r="X16" s="193" t="s">
        <v>98</v>
      </c>
      <c r="Y16" s="192" t="s">
        <v>354</v>
      </c>
      <c r="Z16" s="194" t="s">
        <v>123</v>
      </c>
      <c r="AC16" s="155">
        <v>13</v>
      </c>
      <c r="AD16" s="199" t="s">
        <v>396</v>
      </c>
      <c r="AE16" s="219" t="s">
        <v>397</v>
      </c>
      <c r="AF16" s="192" t="s">
        <v>398</v>
      </c>
      <c r="AG16" s="193">
        <v>36</v>
      </c>
      <c r="AH16" s="193" t="s">
        <v>98</v>
      </c>
      <c r="AI16" s="192" t="s">
        <v>235</v>
      </c>
      <c r="AJ16" s="194" t="s">
        <v>123</v>
      </c>
      <c r="AL16" s="259">
        <v>13</v>
      </c>
      <c r="AM16" s="261" t="s">
        <v>451</v>
      </c>
      <c r="AN16" s="241" t="s">
        <v>452</v>
      </c>
      <c r="AO16" s="192" t="s">
        <v>453</v>
      </c>
      <c r="AP16" s="193">
        <v>34</v>
      </c>
      <c r="AQ16" s="193" t="s">
        <v>98</v>
      </c>
      <c r="AR16" s="192" t="s">
        <v>234</v>
      </c>
      <c r="AS16" s="192" t="s">
        <v>123</v>
      </c>
      <c r="AU16" s="259">
        <v>13</v>
      </c>
      <c r="AV16" s="261" t="s">
        <v>470</v>
      </c>
      <c r="AW16" s="241" t="s">
        <v>471</v>
      </c>
      <c r="AX16" s="192" t="s">
        <v>472</v>
      </c>
      <c r="AY16" s="193">
        <v>3</v>
      </c>
      <c r="AZ16" s="193" t="s">
        <v>97</v>
      </c>
      <c r="BA16" s="192" t="s">
        <v>234</v>
      </c>
      <c r="BB16" s="194" t="s">
        <v>134</v>
      </c>
      <c r="BD16" s="259">
        <v>14</v>
      </c>
      <c r="BE16" s="249" t="s">
        <v>535</v>
      </c>
      <c r="BF16" s="241" t="s">
        <v>521</v>
      </c>
      <c r="BG16" s="192" t="s">
        <v>536</v>
      </c>
      <c r="BH16" s="193">
        <v>2</v>
      </c>
      <c r="BI16" s="193" t="s">
        <v>97</v>
      </c>
      <c r="BJ16" s="223"/>
      <c r="BK16" s="154"/>
      <c r="BL16" s="154"/>
      <c r="BM16" s="154"/>
      <c r="BN16" s="154"/>
      <c r="BO16" s="247"/>
      <c r="BP16" s="155">
        <v>14</v>
      </c>
      <c r="BQ16" s="199" t="s">
        <v>560</v>
      </c>
      <c r="BR16" s="302" t="s">
        <v>565</v>
      </c>
      <c r="BS16" s="192" t="s">
        <v>568</v>
      </c>
      <c r="BT16" s="193" t="s">
        <v>574</v>
      </c>
      <c r="BU16" s="193" t="s">
        <v>120</v>
      </c>
      <c r="BV16" s="192" t="s">
        <v>353</v>
      </c>
      <c r="BW16" s="194" t="s">
        <v>593</v>
      </c>
      <c r="BY16" s="425">
        <v>14</v>
      </c>
      <c r="BZ16" s="429" t="s">
        <v>1270</v>
      </c>
      <c r="CA16" s="426" t="s">
        <v>1268</v>
      </c>
      <c r="CB16" s="427" t="s">
        <v>1271</v>
      </c>
      <c r="CC16" s="428" t="s">
        <v>698</v>
      </c>
      <c r="CD16" s="428" t="s">
        <v>97</v>
      </c>
      <c r="CE16" s="192"/>
      <c r="CF16" s="427" t="s">
        <v>79</v>
      </c>
      <c r="CI16" s="551">
        <v>14</v>
      </c>
      <c r="CJ16" s="557" t="s">
        <v>1324</v>
      </c>
      <c r="CK16" s="555" t="s">
        <v>1325</v>
      </c>
      <c r="CL16" s="342" t="s">
        <v>1326</v>
      </c>
      <c r="CM16" s="352" t="s">
        <v>172</v>
      </c>
      <c r="CN16" s="556" t="s">
        <v>98</v>
      </c>
      <c r="CO16" s="247" t="s">
        <v>1327</v>
      </c>
      <c r="CP16" s="192" t="s">
        <v>125</v>
      </c>
      <c r="CQ16" s="153"/>
      <c r="CR16" s="154"/>
      <c r="CS16" s="319">
        <v>14</v>
      </c>
      <c r="CT16" s="320" t="s">
        <v>1412</v>
      </c>
      <c r="CU16" s="360" t="s">
        <v>1413</v>
      </c>
      <c r="CV16" s="342" t="s">
        <v>1414</v>
      </c>
      <c r="CW16" s="342">
        <v>43</v>
      </c>
      <c r="CX16" s="352" t="s">
        <v>98</v>
      </c>
      <c r="CY16" s="192" t="s">
        <v>123</v>
      </c>
      <c r="CZ16" s="192" t="s">
        <v>235</v>
      </c>
      <c r="DA16" s="539"/>
      <c r="DC16" s="319">
        <v>14</v>
      </c>
      <c r="DD16" s="588" t="s">
        <v>1489</v>
      </c>
      <c r="DE16" s="573" t="s">
        <v>1449</v>
      </c>
      <c r="DF16" s="583" t="s">
        <v>1490</v>
      </c>
      <c r="DG16" s="342">
        <v>56</v>
      </c>
      <c r="DH16" s="352" t="s">
        <v>98</v>
      </c>
      <c r="DI16" s="192" t="s">
        <v>123</v>
      </c>
      <c r="DJ16" s="193"/>
      <c r="DK16" s="216"/>
      <c r="JE16" s="153"/>
    </row>
    <row r="17" spans="1:265" ht="18.75" customHeight="1" thickBot="1" x14ac:dyDescent="0.3">
      <c r="A17" s="155"/>
      <c r="B17" s="199"/>
      <c r="C17" s="219"/>
      <c r="D17" s="192"/>
      <c r="E17" s="276"/>
      <c r="F17" s="276"/>
      <c r="G17" s="276"/>
      <c r="H17" s="277"/>
      <c r="J17" s="259"/>
      <c r="K17" s="261"/>
      <c r="L17" s="241"/>
      <c r="M17" s="192"/>
      <c r="N17" s="193"/>
      <c r="O17" s="193"/>
      <c r="P17" s="192"/>
      <c r="Q17" s="192"/>
      <c r="R17" s="225"/>
      <c r="S17" s="292"/>
      <c r="T17" s="199" t="s">
        <v>289</v>
      </c>
      <c r="U17" s="218" t="s">
        <v>290</v>
      </c>
      <c r="V17" s="192" t="s">
        <v>291</v>
      </c>
      <c r="W17" s="193" t="s">
        <v>292</v>
      </c>
      <c r="X17" s="193" t="s">
        <v>97</v>
      </c>
      <c r="Y17" s="192" t="s">
        <v>354</v>
      </c>
      <c r="Z17" s="194" t="s">
        <v>134</v>
      </c>
      <c r="AC17" s="155">
        <v>14</v>
      </c>
      <c r="AD17" s="199" t="s">
        <v>403</v>
      </c>
      <c r="AE17" s="219" t="s">
        <v>400</v>
      </c>
      <c r="AF17" s="192" t="s">
        <v>404</v>
      </c>
      <c r="AG17" s="193">
        <v>63</v>
      </c>
      <c r="AH17" s="193" t="s">
        <v>98</v>
      </c>
      <c r="AI17" s="192" t="s">
        <v>234</v>
      </c>
      <c r="AJ17" s="194" t="s">
        <v>123</v>
      </c>
      <c r="AL17" s="259">
        <v>14</v>
      </c>
      <c r="AM17" s="261" t="s">
        <v>457</v>
      </c>
      <c r="AN17" s="241" t="s">
        <v>458</v>
      </c>
      <c r="AO17" s="192" t="s">
        <v>459</v>
      </c>
      <c r="AP17" s="193">
        <v>76</v>
      </c>
      <c r="AQ17" s="193" t="s">
        <v>98</v>
      </c>
      <c r="AR17" s="192" t="s">
        <v>234</v>
      </c>
      <c r="AS17" s="192" t="s">
        <v>123</v>
      </c>
      <c r="AU17" s="259">
        <v>14</v>
      </c>
      <c r="AV17" s="199" t="s">
        <v>508</v>
      </c>
      <c r="AW17" s="219" t="s">
        <v>507</v>
      </c>
      <c r="AX17" s="192" t="s">
        <v>509</v>
      </c>
      <c r="AY17" s="193">
        <v>3</v>
      </c>
      <c r="AZ17" s="193" t="s">
        <v>97</v>
      </c>
      <c r="BA17" s="192" t="s">
        <v>234</v>
      </c>
      <c r="BB17" s="194" t="s">
        <v>134</v>
      </c>
      <c r="BD17" s="259">
        <v>15</v>
      </c>
      <c r="BE17" s="249" t="s">
        <v>537</v>
      </c>
      <c r="BF17" s="241" t="s">
        <v>519</v>
      </c>
      <c r="BG17" s="192" t="s">
        <v>538</v>
      </c>
      <c r="BH17" s="193">
        <v>67</v>
      </c>
      <c r="BI17" s="193" t="s">
        <v>98</v>
      </c>
      <c r="BJ17" s="192"/>
      <c r="BK17" s="154"/>
      <c r="BL17" s="154"/>
      <c r="BM17" s="154"/>
      <c r="BN17" s="154"/>
      <c r="BO17" s="247"/>
      <c r="BP17" s="155">
        <v>15</v>
      </c>
      <c r="BQ17" s="199" t="s">
        <v>561</v>
      </c>
      <c r="BR17" s="302" t="s">
        <v>565</v>
      </c>
      <c r="BS17" s="192" t="s">
        <v>569</v>
      </c>
      <c r="BT17" s="193" t="s">
        <v>575</v>
      </c>
      <c r="BU17" s="193" t="s">
        <v>120</v>
      </c>
      <c r="BV17" s="192" t="s">
        <v>353</v>
      </c>
      <c r="BW17" s="194" t="s">
        <v>593</v>
      </c>
      <c r="BY17" s="154"/>
      <c r="BZ17" s="215"/>
      <c r="CA17" s="224"/>
      <c r="CB17" s="216"/>
      <c r="CC17" s="217"/>
      <c r="CD17" s="217"/>
      <c r="CE17" s="216"/>
      <c r="CF17" s="216"/>
      <c r="CI17" s="551">
        <v>15</v>
      </c>
      <c r="CJ17" s="557" t="s">
        <v>1328</v>
      </c>
      <c r="CK17" s="555" t="s">
        <v>1295</v>
      </c>
      <c r="CL17" s="342" t="s">
        <v>1329</v>
      </c>
      <c r="CM17" s="352" t="s">
        <v>172</v>
      </c>
      <c r="CN17" s="352" t="s">
        <v>97</v>
      </c>
      <c r="CO17" s="247" t="s">
        <v>79</v>
      </c>
      <c r="CP17" s="192" t="s">
        <v>125</v>
      </c>
      <c r="CQ17" s="153"/>
      <c r="CR17" s="154"/>
      <c r="CS17" s="319">
        <v>15</v>
      </c>
      <c r="CT17" s="320" t="s">
        <v>1415</v>
      </c>
      <c r="CU17" s="360" t="s">
        <v>1380</v>
      </c>
      <c r="CV17" s="342" t="s">
        <v>1416</v>
      </c>
      <c r="CW17" s="342">
        <v>83</v>
      </c>
      <c r="CX17" s="352" t="s">
        <v>98</v>
      </c>
      <c r="CY17" s="192" t="s">
        <v>123</v>
      </c>
      <c r="CZ17" s="192" t="s">
        <v>235</v>
      </c>
      <c r="DA17" s="539"/>
      <c r="DC17" s="319">
        <v>15</v>
      </c>
      <c r="DD17" s="588" t="s">
        <v>1491</v>
      </c>
      <c r="DE17" s="573" t="s">
        <v>1466</v>
      </c>
      <c r="DF17" s="583" t="s">
        <v>1492</v>
      </c>
      <c r="DG17" s="342">
        <v>68</v>
      </c>
      <c r="DH17" s="352" t="s">
        <v>98</v>
      </c>
      <c r="DI17" s="192" t="s">
        <v>123</v>
      </c>
      <c r="DJ17" s="193"/>
      <c r="DK17" s="216"/>
      <c r="JE17" s="153"/>
    </row>
    <row r="18" spans="1:265" ht="18.75" customHeight="1" thickBot="1" x14ac:dyDescent="0.3">
      <c r="A18" s="155"/>
      <c r="B18" s="199"/>
      <c r="C18" s="219"/>
      <c r="D18" s="192"/>
      <c r="E18" s="276"/>
      <c r="F18" s="276"/>
      <c r="G18" s="276"/>
      <c r="H18" s="277"/>
      <c r="J18" s="259"/>
      <c r="K18" s="261"/>
      <c r="L18" s="241"/>
      <c r="M18" s="192"/>
      <c r="N18" s="193"/>
      <c r="O18" s="193"/>
      <c r="P18" s="192"/>
      <c r="Q18" s="192"/>
      <c r="R18" s="225"/>
      <c r="S18" s="292"/>
      <c r="T18" s="199" t="s">
        <v>317</v>
      </c>
      <c r="U18" s="218" t="s">
        <v>307</v>
      </c>
      <c r="V18" s="192" t="s">
        <v>318</v>
      </c>
      <c r="W18" s="193">
        <v>21</v>
      </c>
      <c r="X18" s="193" t="s">
        <v>98</v>
      </c>
      <c r="Y18" s="192" t="s">
        <v>354</v>
      </c>
      <c r="Z18" s="194" t="s">
        <v>131</v>
      </c>
      <c r="AC18" s="155">
        <v>15</v>
      </c>
      <c r="AD18" s="199" t="s">
        <v>405</v>
      </c>
      <c r="AE18" s="219" t="s">
        <v>406</v>
      </c>
      <c r="AF18" s="192" t="s">
        <v>407</v>
      </c>
      <c r="AG18" s="193">
        <v>93</v>
      </c>
      <c r="AH18" s="193" t="s">
        <v>98</v>
      </c>
      <c r="AI18" s="192" t="s">
        <v>235</v>
      </c>
      <c r="AJ18" s="194" t="s">
        <v>123</v>
      </c>
      <c r="AL18" s="259">
        <v>15</v>
      </c>
      <c r="AM18" s="261" t="s">
        <v>423</v>
      </c>
      <c r="AN18" s="241" t="s">
        <v>424</v>
      </c>
      <c r="AO18" s="192" t="s">
        <v>425</v>
      </c>
      <c r="AP18" s="193">
        <v>34</v>
      </c>
      <c r="AQ18" s="193" t="s">
        <v>98</v>
      </c>
      <c r="AR18" s="192" t="s">
        <v>234</v>
      </c>
      <c r="AS18" s="192" t="s">
        <v>130</v>
      </c>
      <c r="AU18" s="259">
        <v>15</v>
      </c>
      <c r="AV18" s="261" t="s">
        <v>473</v>
      </c>
      <c r="AW18" s="226" t="s">
        <v>461</v>
      </c>
      <c r="AX18" s="241" t="s">
        <v>474</v>
      </c>
      <c r="AY18" s="193" t="s">
        <v>475</v>
      </c>
      <c r="AZ18" s="193" t="s">
        <v>97</v>
      </c>
      <c r="BA18" s="192" t="s">
        <v>234</v>
      </c>
      <c r="BB18" s="194" t="s">
        <v>79</v>
      </c>
      <c r="BD18" s="259">
        <v>16</v>
      </c>
      <c r="BE18" s="249" t="s">
        <v>539</v>
      </c>
      <c r="BF18" s="241" t="s">
        <v>540</v>
      </c>
      <c r="BG18" s="192" t="s">
        <v>541</v>
      </c>
      <c r="BH18" s="193" t="s">
        <v>542</v>
      </c>
      <c r="BI18" s="193" t="s">
        <v>98</v>
      </c>
      <c r="BJ18" s="192"/>
      <c r="BK18" s="154"/>
      <c r="BL18" s="154"/>
      <c r="BM18" s="154"/>
      <c r="BN18" s="154"/>
      <c r="BO18" s="247"/>
      <c r="BP18" s="155">
        <v>16</v>
      </c>
      <c r="BQ18" s="199" t="s">
        <v>596</v>
      </c>
      <c r="BR18" s="302" t="s">
        <v>597</v>
      </c>
      <c r="BS18" s="192" t="s">
        <v>595</v>
      </c>
      <c r="BT18" s="193" t="s">
        <v>598</v>
      </c>
      <c r="BU18" s="193" t="s">
        <v>242</v>
      </c>
      <c r="BV18" s="192" t="s">
        <v>354</v>
      </c>
      <c r="BW18" s="194" t="s">
        <v>79</v>
      </c>
      <c r="BY18" s="154"/>
      <c r="BZ18" s="215"/>
      <c r="CA18" s="224"/>
      <c r="CB18" s="216"/>
      <c r="CC18" s="217"/>
      <c r="CD18" s="217"/>
      <c r="CE18" s="216"/>
      <c r="CF18" s="216"/>
      <c r="CI18" s="551">
        <v>16</v>
      </c>
      <c r="CJ18" s="557" t="s">
        <v>1334</v>
      </c>
      <c r="CK18" s="555" t="s">
        <v>1335</v>
      </c>
      <c r="CL18" s="342" t="s">
        <v>1336</v>
      </c>
      <c r="CM18" s="352">
        <v>89</v>
      </c>
      <c r="CN18" s="556" t="s">
        <v>98</v>
      </c>
      <c r="CO18" s="560" t="s">
        <v>123</v>
      </c>
      <c r="CP18" s="192" t="s">
        <v>125</v>
      </c>
      <c r="CQ18" s="153"/>
      <c r="CR18" s="154"/>
      <c r="CS18" s="319">
        <v>16</v>
      </c>
      <c r="CT18" s="320" t="s">
        <v>1417</v>
      </c>
      <c r="CU18" s="360" t="s">
        <v>1397</v>
      </c>
      <c r="CV18" s="342" t="s">
        <v>1418</v>
      </c>
      <c r="CW18" s="342">
        <v>37</v>
      </c>
      <c r="CX18" s="352" t="s">
        <v>98</v>
      </c>
      <c r="CY18" s="192" t="s">
        <v>123</v>
      </c>
      <c r="CZ18" s="192" t="s">
        <v>235</v>
      </c>
      <c r="DA18" s="539"/>
      <c r="DC18" s="319">
        <v>16</v>
      </c>
      <c r="DD18" s="588" t="s">
        <v>1493</v>
      </c>
      <c r="DE18" s="573" t="s">
        <v>1494</v>
      </c>
      <c r="DF18" s="583" t="s">
        <v>1495</v>
      </c>
      <c r="DG18" s="342">
        <v>42</v>
      </c>
      <c r="DH18" s="352" t="s">
        <v>98</v>
      </c>
      <c r="DI18" s="192" t="s">
        <v>123</v>
      </c>
      <c r="DJ18" s="193"/>
      <c r="DK18" s="216"/>
      <c r="JE18" s="153"/>
    </row>
    <row r="19" spans="1:265" ht="18.75" customHeight="1" thickBot="1" x14ac:dyDescent="0.3">
      <c r="A19" s="155"/>
      <c r="B19" s="199"/>
      <c r="C19" s="219"/>
      <c r="D19" s="192"/>
      <c r="E19" s="276"/>
      <c r="F19" s="276"/>
      <c r="G19" s="276"/>
      <c r="H19" s="277"/>
      <c r="J19" s="259"/>
      <c r="K19" s="261"/>
      <c r="L19" s="241"/>
      <c r="M19" s="192"/>
      <c r="N19" s="193"/>
      <c r="O19" s="193"/>
      <c r="P19" s="192"/>
      <c r="Q19" s="192"/>
      <c r="R19" s="225"/>
      <c r="S19" s="292"/>
      <c r="T19" s="199" t="s">
        <v>293</v>
      </c>
      <c r="U19" s="218" t="s">
        <v>294</v>
      </c>
      <c r="V19" s="192" t="s">
        <v>295</v>
      </c>
      <c r="W19" s="193" t="s">
        <v>186</v>
      </c>
      <c r="X19" s="193" t="s">
        <v>97</v>
      </c>
      <c r="Y19" s="192" t="s">
        <v>354</v>
      </c>
      <c r="Z19" s="194" t="s">
        <v>79</v>
      </c>
      <c r="AC19" s="155">
        <v>16</v>
      </c>
      <c r="AD19" s="199" t="s">
        <v>371</v>
      </c>
      <c r="AE19" s="219" t="s">
        <v>372</v>
      </c>
      <c r="AF19" s="192" t="s">
        <v>373</v>
      </c>
      <c r="AG19" s="193" t="s">
        <v>151</v>
      </c>
      <c r="AH19" s="193" t="s">
        <v>97</v>
      </c>
      <c r="AI19" s="192" t="s">
        <v>234</v>
      </c>
      <c r="AJ19" s="194" t="s">
        <v>79</v>
      </c>
      <c r="AL19" s="259">
        <v>16</v>
      </c>
      <c r="AM19" s="261" t="s">
        <v>413</v>
      </c>
      <c r="AN19" s="241" t="s">
        <v>414</v>
      </c>
      <c r="AO19" s="192" t="s">
        <v>415</v>
      </c>
      <c r="AP19" s="193" t="s">
        <v>152</v>
      </c>
      <c r="AQ19" s="193" t="s">
        <v>97</v>
      </c>
      <c r="AR19" s="192" t="s">
        <v>234</v>
      </c>
      <c r="AS19" s="192" t="s">
        <v>79</v>
      </c>
      <c r="AU19" s="259">
        <v>16</v>
      </c>
      <c r="AV19" s="261" t="s">
        <v>490</v>
      </c>
      <c r="AW19" s="226" t="s">
        <v>491</v>
      </c>
      <c r="AX19" s="241" t="s">
        <v>492</v>
      </c>
      <c r="AY19" s="193" t="s">
        <v>133</v>
      </c>
      <c r="AZ19" s="193" t="s">
        <v>98</v>
      </c>
      <c r="BA19" s="192" t="s">
        <v>234</v>
      </c>
      <c r="BB19" s="194" t="s">
        <v>79</v>
      </c>
      <c r="BD19" s="259">
        <v>17</v>
      </c>
      <c r="BE19" s="249" t="s">
        <v>543</v>
      </c>
      <c r="BF19" s="241" t="s">
        <v>544</v>
      </c>
      <c r="BG19" s="192" t="s">
        <v>552</v>
      </c>
      <c r="BH19" s="193">
        <v>52</v>
      </c>
      <c r="BI19" s="193" t="s">
        <v>98</v>
      </c>
      <c r="BJ19" s="192"/>
      <c r="BK19" s="154"/>
      <c r="BL19" s="154"/>
      <c r="BM19" s="154"/>
      <c r="BN19" s="154"/>
      <c r="BO19" s="247"/>
      <c r="BP19" s="155">
        <v>17</v>
      </c>
      <c r="BQ19" s="199"/>
      <c r="BR19" s="302"/>
      <c r="BS19" s="192"/>
      <c r="BT19" s="193"/>
      <c r="BU19" s="193"/>
      <c r="BV19" s="192"/>
      <c r="BW19" s="194"/>
      <c r="BY19" s="154"/>
      <c r="BZ19" s="215"/>
      <c r="CA19" s="224"/>
      <c r="CB19" s="558"/>
      <c r="CD19" s="217"/>
      <c r="CE19" s="216"/>
      <c r="CF19" s="216"/>
      <c r="CI19" s="551">
        <v>17</v>
      </c>
      <c r="CJ19" s="320" t="s">
        <v>1337</v>
      </c>
      <c r="CK19" s="360" t="s">
        <v>1338</v>
      </c>
      <c r="CL19" s="342" t="s">
        <v>1339</v>
      </c>
      <c r="CM19" s="352">
        <v>66</v>
      </c>
      <c r="CN19" s="352" t="s">
        <v>98</v>
      </c>
      <c r="CO19" s="560" t="s">
        <v>123</v>
      </c>
      <c r="CP19" s="342" t="s">
        <v>126</v>
      </c>
      <c r="CQ19" s="153"/>
      <c r="CR19" s="154"/>
      <c r="CS19" s="319">
        <v>17</v>
      </c>
      <c r="CT19" s="320" t="s">
        <v>1419</v>
      </c>
      <c r="CU19" s="360" t="s">
        <v>1383</v>
      </c>
      <c r="CV19" s="342" t="s">
        <v>1420</v>
      </c>
      <c r="CW19" s="342">
        <v>71</v>
      </c>
      <c r="CX19" s="352" t="s">
        <v>98</v>
      </c>
      <c r="CY19" s="192" t="s">
        <v>123</v>
      </c>
      <c r="CZ19" s="192" t="s">
        <v>234</v>
      </c>
      <c r="DA19" s="539"/>
      <c r="DC19" s="319">
        <v>17</v>
      </c>
      <c r="DD19" s="588" t="s">
        <v>1496</v>
      </c>
      <c r="DE19" s="573" t="s">
        <v>1497</v>
      </c>
      <c r="DF19" s="583" t="s">
        <v>1498</v>
      </c>
      <c r="DG19" s="342">
        <v>26</v>
      </c>
      <c r="DH19" s="352" t="s">
        <v>98</v>
      </c>
      <c r="DI19" s="192" t="s">
        <v>123</v>
      </c>
      <c r="DJ19" s="193"/>
      <c r="DK19" s="216"/>
      <c r="JE19" s="153"/>
    </row>
    <row r="20" spans="1:265" ht="18.75" customHeight="1" thickBot="1" x14ac:dyDescent="0.3">
      <c r="A20" s="155"/>
      <c r="B20" s="199" t="s">
        <v>211</v>
      </c>
      <c r="C20" s="219" t="s">
        <v>212</v>
      </c>
      <c r="D20" s="192" t="s">
        <v>213</v>
      </c>
      <c r="E20" s="276" t="s">
        <v>153</v>
      </c>
      <c r="F20" s="276" t="s">
        <v>97</v>
      </c>
      <c r="G20" s="276" t="s">
        <v>234</v>
      </c>
      <c r="H20" s="277" t="s">
        <v>79</v>
      </c>
      <c r="J20" s="259">
        <v>12</v>
      </c>
      <c r="K20" s="261" t="s">
        <v>258</v>
      </c>
      <c r="L20" s="241" t="s">
        <v>254</v>
      </c>
      <c r="M20" s="192" t="s">
        <v>259</v>
      </c>
      <c r="N20" s="193">
        <v>54</v>
      </c>
      <c r="O20" s="193" t="s">
        <v>98</v>
      </c>
      <c r="P20" s="192" t="s">
        <v>235</v>
      </c>
      <c r="Q20" s="192" t="s">
        <v>123</v>
      </c>
      <c r="R20" s="225"/>
      <c r="S20" s="292"/>
      <c r="T20" s="199" t="s">
        <v>328</v>
      </c>
      <c r="U20" s="218" t="s">
        <v>329</v>
      </c>
      <c r="V20" s="192" t="s">
        <v>330</v>
      </c>
      <c r="W20" s="193" t="s">
        <v>139</v>
      </c>
      <c r="X20" s="193" t="s">
        <v>97</v>
      </c>
      <c r="Y20" s="192" t="s">
        <v>354</v>
      </c>
      <c r="Z20" s="194" t="s">
        <v>79</v>
      </c>
      <c r="AC20" s="155">
        <v>17</v>
      </c>
      <c r="AD20" s="199" t="s">
        <v>374</v>
      </c>
      <c r="AE20" s="219" t="s">
        <v>372</v>
      </c>
      <c r="AF20" s="192" t="s">
        <v>375</v>
      </c>
      <c r="AG20" s="193" t="s">
        <v>136</v>
      </c>
      <c r="AH20" s="193" t="s">
        <v>97</v>
      </c>
      <c r="AI20" s="192" t="s">
        <v>234</v>
      </c>
      <c r="AJ20" s="194" t="s">
        <v>79</v>
      </c>
      <c r="AL20" s="259">
        <v>17</v>
      </c>
      <c r="AM20" s="261" t="s">
        <v>434</v>
      </c>
      <c r="AN20" s="241" t="s">
        <v>435</v>
      </c>
      <c r="AO20" s="192" t="s">
        <v>436</v>
      </c>
      <c r="AP20" s="193" t="s">
        <v>437</v>
      </c>
      <c r="AQ20" s="193" t="s">
        <v>98</v>
      </c>
      <c r="AR20" s="192" t="s">
        <v>234</v>
      </c>
      <c r="AS20" s="192" t="s">
        <v>79</v>
      </c>
      <c r="AU20" s="259">
        <v>17</v>
      </c>
      <c r="AV20" s="261" t="s">
        <v>476</v>
      </c>
      <c r="AW20" s="241" t="s">
        <v>462</v>
      </c>
      <c r="AX20" s="192" t="s">
        <v>477</v>
      </c>
      <c r="AY20" s="193">
        <v>73</v>
      </c>
      <c r="AZ20" s="193" t="s">
        <v>98</v>
      </c>
      <c r="BA20" s="192" t="s">
        <v>234</v>
      </c>
      <c r="BB20" s="194" t="s">
        <v>119</v>
      </c>
      <c r="BD20" s="259">
        <v>18</v>
      </c>
      <c r="BE20" s="249" t="s">
        <v>545</v>
      </c>
      <c r="BF20" s="241" t="s">
        <v>534</v>
      </c>
      <c r="BG20" s="192" t="s">
        <v>546</v>
      </c>
      <c r="BH20" s="193">
        <v>72</v>
      </c>
      <c r="BI20" s="193" t="s">
        <v>98</v>
      </c>
      <c r="BJ20" s="192"/>
      <c r="BK20" s="154"/>
      <c r="BL20" s="154"/>
      <c r="BM20" s="154"/>
      <c r="BN20" s="154"/>
      <c r="BO20" s="247"/>
      <c r="BP20" s="155">
        <v>18</v>
      </c>
      <c r="BQ20" s="199"/>
      <c r="BR20" s="302"/>
      <c r="BS20" s="192"/>
      <c r="BT20" s="193"/>
      <c r="BU20" s="193"/>
      <c r="BV20" s="192"/>
      <c r="BW20" s="194"/>
      <c r="BY20" s="154"/>
      <c r="BZ20" s="215"/>
      <c r="CA20" s="224"/>
      <c r="CB20" s="558"/>
      <c r="CC20" s="217"/>
      <c r="CD20" s="217"/>
      <c r="CE20" s="216"/>
      <c r="CF20" s="216"/>
      <c r="CI20" s="154"/>
      <c r="CJ20" s="215"/>
      <c r="CK20" s="224"/>
      <c r="CL20" s="216"/>
      <c r="CM20" s="217"/>
      <c r="CN20" s="217"/>
      <c r="CO20" s="216"/>
      <c r="CP20" s="216"/>
      <c r="CQ20" s="216"/>
      <c r="CS20" s="319">
        <v>18</v>
      </c>
      <c r="CT20" s="320" t="s">
        <v>1421</v>
      </c>
      <c r="CU20" s="241" t="s">
        <v>1379</v>
      </c>
      <c r="CV20" s="192" t="s">
        <v>1422</v>
      </c>
      <c r="CW20" s="192">
        <v>10</v>
      </c>
      <c r="CX20" s="193" t="s">
        <v>97</v>
      </c>
      <c r="CY20" s="192" t="s">
        <v>134</v>
      </c>
      <c r="CZ20" s="192" t="s">
        <v>234</v>
      </c>
      <c r="DA20" s="216"/>
      <c r="DB20" s="539"/>
      <c r="DC20" s="319">
        <v>18</v>
      </c>
      <c r="DD20" s="588" t="s">
        <v>1499</v>
      </c>
      <c r="DE20" s="573" t="s">
        <v>1500</v>
      </c>
      <c r="DF20" s="583" t="s">
        <v>1501</v>
      </c>
      <c r="DG20" s="192">
        <v>48</v>
      </c>
      <c r="DH20" s="352" t="s">
        <v>98</v>
      </c>
      <c r="DI20" s="192" t="s">
        <v>123</v>
      </c>
      <c r="DJ20" s="193"/>
      <c r="DK20" s="216"/>
      <c r="DL20" s="216"/>
      <c r="JE20" s="153"/>
    </row>
    <row r="21" spans="1:265" ht="18.75" customHeight="1" thickBot="1" x14ac:dyDescent="0.3">
      <c r="A21" s="155"/>
      <c r="B21" s="199" t="s">
        <v>214</v>
      </c>
      <c r="C21" s="219" t="s">
        <v>208</v>
      </c>
      <c r="D21" s="192" t="s">
        <v>215</v>
      </c>
      <c r="E21" s="276" t="s">
        <v>151</v>
      </c>
      <c r="F21" s="276" t="s">
        <v>97</v>
      </c>
      <c r="G21" s="276" t="s">
        <v>234</v>
      </c>
      <c r="H21" s="277" t="s">
        <v>79</v>
      </c>
      <c r="J21" s="259">
        <v>13</v>
      </c>
      <c r="K21" s="261" t="s">
        <v>263</v>
      </c>
      <c r="L21" s="241" t="s">
        <v>264</v>
      </c>
      <c r="M21" s="192" t="s">
        <v>265</v>
      </c>
      <c r="N21" s="193">
        <v>82</v>
      </c>
      <c r="O21" s="193" t="s">
        <v>98</v>
      </c>
      <c r="P21" s="192" t="s">
        <v>234</v>
      </c>
      <c r="Q21" s="192" t="s">
        <v>123</v>
      </c>
      <c r="R21" s="225"/>
      <c r="S21" s="292"/>
      <c r="T21" s="199" t="s">
        <v>331</v>
      </c>
      <c r="U21" s="218" t="s">
        <v>332</v>
      </c>
      <c r="V21" s="192" t="s">
        <v>333</v>
      </c>
      <c r="W21" s="193" t="s">
        <v>153</v>
      </c>
      <c r="X21" s="193" t="s">
        <v>98</v>
      </c>
      <c r="Y21" s="192" t="s">
        <v>354</v>
      </c>
      <c r="Z21" s="194" t="s">
        <v>79</v>
      </c>
      <c r="AC21" s="155">
        <v>18</v>
      </c>
      <c r="AD21" s="199" t="s">
        <v>376</v>
      </c>
      <c r="AE21" s="219" t="s">
        <v>377</v>
      </c>
      <c r="AF21" s="192" t="s">
        <v>378</v>
      </c>
      <c r="AG21" s="193" t="s">
        <v>379</v>
      </c>
      <c r="AH21" s="193" t="s">
        <v>98</v>
      </c>
      <c r="AI21" s="192" t="s">
        <v>234</v>
      </c>
      <c r="AJ21" s="194" t="s">
        <v>79</v>
      </c>
      <c r="AL21" s="259">
        <v>18</v>
      </c>
      <c r="AM21" s="261" t="s">
        <v>447</v>
      </c>
      <c r="AN21" s="241" t="s">
        <v>442</v>
      </c>
      <c r="AO21" s="192" t="s">
        <v>448</v>
      </c>
      <c r="AP21" s="193" t="s">
        <v>186</v>
      </c>
      <c r="AQ21" s="193" t="s">
        <v>97</v>
      </c>
      <c r="AR21" s="192" t="s">
        <v>234</v>
      </c>
      <c r="AS21" s="192" t="s">
        <v>79</v>
      </c>
      <c r="AU21" s="259">
        <v>18</v>
      </c>
      <c r="AV21" s="261" t="s">
        <v>478</v>
      </c>
      <c r="AW21" s="241" t="s">
        <v>461</v>
      </c>
      <c r="AX21" s="192" t="s">
        <v>479</v>
      </c>
      <c r="AY21" s="193">
        <v>50</v>
      </c>
      <c r="AZ21" s="193" t="s">
        <v>98</v>
      </c>
      <c r="BA21" s="192" t="s">
        <v>234</v>
      </c>
      <c r="BB21" s="194" t="s">
        <v>119</v>
      </c>
      <c r="BD21" s="259">
        <v>19</v>
      </c>
      <c r="BE21" s="249" t="s">
        <v>553</v>
      </c>
      <c r="BF21" s="241" t="s">
        <v>547</v>
      </c>
      <c r="BG21" s="192" t="s">
        <v>554</v>
      </c>
      <c r="BH21" s="193">
        <v>58</v>
      </c>
      <c r="BI21" s="193" t="s">
        <v>97</v>
      </c>
      <c r="BJ21" s="192"/>
      <c r="BK21" s="154"/>
      <c r="BL21" s="154"/>
      <c r="BM21" s="154"/>
      <c r="BN21" s="154"/>
      <c r="BO21" s="247"/>
      <c r="BP21" s="155">
        <v>19</v>
      </c>
      <c r="BQ21" s="199"/>
      <c r="BR21" s="302"/>
      <c r="BS21" s="192"/>
      <c r="BT21" s="193"/>
      <c r="BU21" s="193"/>
      <c r="BV21" s="192"/>
      <c r="BW21" s="194"/>
      <c r="BY21" s="154"/>
      <c r="BZ21" s="215"/>
      <c r="CA21" s="224"/>
      <c r="CB21" s="558"/>
      <c r="CC21" s="217"/>
      <c r="CD21" s="217"/>
      <c r="CE21" s="216"/>
      <c r="CF21" s="216"/>
      <c r="CI21" s="154"/>
      <c r="CJ21" s="215"/>
      <c r="CK21" s="224"/>
      <c r="CL21" s="216"/>
      <c r="CM21" s="217"/>
      <c r="CN21" s="217"/>
      <c r="CO21" s="216"/>
      <c r="CP21" s="216"/>
      <c r="CQ21" s="216"/>
      <c r="CS21" s="319">
        <v>19</v>
      </c>
      <c r="CT21" s="320" t="s">
        <v>1423</v>
      </c>
      <c r="CU21" s="241" t="s">
        <v>1396</v>
      </c>
      <c r="CV21" s="192" t="s">
        <v>1424</v>
      </c>
      <c r="CW21" s="192" t="s">
        <v>645</v>
      </c>
      <c r="CX21" s="193" t="s">
        <v>97</v>
      </c>
      <c r="CY21" s="192" t="s">
        <v>79</v>
      </c>
      <c r="CZ21" s="192" t="s">
        <v>234</v>
      </c>
      <c r="DA21" s="216"/>
      <c r="DB21" s="539"/>
      <c r="DC21" s="319">
        <v>19</v>
      </c>
      <c r="DD21" s="588" t="s">
        <v>1502</v>
      </c>
      <c r="DE21" s="573" t="s">
        <v>1484</v>
      </c>
      <c r="DF21" s="583" t="s">
        <v>1503</v>
      </c>
      <c r="DG21" s="192">
        <v>86</v>
      </c>
      <c r="DH21" s="352" t="s">
        <v>98</v>
      </c>
      <c r="DI21" s="192" t="s">
        <v>123</v>
      </c>
      <c r="DJ21" s="193"/>
      <c r="DK21" s="216"/>
      <c r="DL21" s="216"/>
      <c r="JE21" s="153"/>
    </row>
    <row r="22" spans="1:265" ht="18.75" customHeight="1" thickBot="1" x14ac:dyDescent="0.3">
      <c r="A22" s="155"/>
      <c r="B22" s="199" t="s">
        <v>216</v>
      </c>
      <c r="C22" s="219" t="s">
        <v>208</v>
      </c>
      <c r="D22" s="192" t="s">
        <v>217</v>
      </c>
      <c r="E22" s="276" t="s">
        <v>155</v>
      </c>
      <c r="F22" s="276" t="s">
        <v>98</v>
      </c>
      <c r="G22" s="276" t="s">
        <v>234</v>
      </c>
      <c r="H22" s="277" t="s">
        <v>79</v>
      </c>
      <c r="J22" s="259">
        <v>14</v>
      </c>
      <c r="K22" s="261" t="s">
        <v>266</v>
      </c>
      <c r="L22" s="241" t="s">
        <v>261</v>
      </c>
      <c r="M22" s="192" t="s">
        <v>267</v>
      </c>
      <c r="N22" s="193">
        <v>61</v>
      </c>
      <c r="O22" s="193" t="s">
        <v>98</v>
      </c>
      <c r="P22" s="192" t="s">
        <v>234</v>
      </c>
      <c r="Q22" s="192" t="s">
        <v>123</v>
      </c>
      <c r="R22" s="225"/>
      <c r="S22" s="292"/>
      <c r="T22" s="199" t="s">
        <v>347</v>
      </c>
      <c r="U22" s="218" t="s">
        <v>348</v>
      </c>
      <c r="V22" s="192" t="s">
        <v>349</v>
      </c>
      <c r="W22" s="193" t="s">
        <v>133</v>
      </c>
      <c r="X22" s="193" t="s">
        <v>97</v>
      </c>
      <c r="Y22" s="192" t="s">
        <v>353</v>
      </c>
      <c r="Z22" s="194" t="s">
        <v>79</v>
      </c>
      <c r="AC22" s="155">
        <v>19</v>
      </c>
      <c r="AD22" s="199" t="s">
        <v>380</v>
      </c>
      <c r="AE22" s="219" t="s">
        <v>381</v>
      </c>
      <c r="AF22" s="192" t="s">
        <v>382</v>
      </c>
      <c r="AG22" s="193" t="s">
        <v>186</v>
      </c>
      <c r="AH22" s="193" t="s">
        <v>98</v>
      </c>
      <c r="AI22" s="192" t="s">
        <v>234</v>
      </c>
      <c r="AJ22" s="194" t="s">
        <v>79</v>
      </c>
      <c r="AL22" s="259">
        <v>19</v>
      </c>
      <c r="AM22" s="261" t="s">
        <v>449</v>
      </c>
      <c r="AN22" s="241" t="s">
        <v>446</v>
      </c>
      <c r="AO22" s="192" t="s">
        <v>450</v>
      </c>
      <c r="AP22" s="193" t="s">
        <v>150</v>
      </c>
      <c r="AQ22" s="193" t="s">
        <v>97</v>
      </c>
      <c r="AR22" s="192" t="s">
        <v>234</v>
      </c>
      <c r="AS22" s="192" t="s">
        <v>79</v>
      </c>
      <c r="AU22" s="259">
        <v>19</v>
      </c>
      <c r="AV22" s="261" t="s">
        <v>480</v>
      </c>
      <c r="AW22" s="241" t="s">
        <v>469</v>
      </c>
      <c r="AX22" s="192" t="s">
        <v>481</v>
      </c>
      <c r="AY22" s="193">
        <v>41</v>
      </c>
      <c r="AZ22" s="193" t="s">
        <v>97</v>
      </c>
      <c r="BA22" s="192" t="s">
        <v>234</v>
      </c>
      <c r="BB22" s="194" t="s">
        <v>119</v>
      </c>
      <c r="BD22" s="259">
        <v>20</v>
      </c>
      <c r="BE22" s="249" t="s">
        <v>555</v>
      </c>
      <c r="BF22" s="241" t="s">
        <v>548</v>
      </c>
      <c r="BG22" s="192" t="s">
        <v>556</v>
      </c>
      <c r="BH22" s="193">
        <v>43</v>
      </c>
      <c r="BI22" s="193" t="s">
        <v>97</v>
      </c>
      <c r="BJ22" s="192"/>
      <c r="BK22" s="154"/>
      <c r="BL22" s="154"/>
      <c r="BM22" s="154"/>
      <c r="BN22" s="154"/>
      <c r="BO22" s="247"/>
      <c r="BP22" s="155">
        <v>20</v>
      </c>
      <c r="BQ22" s="199"/>
      <c r="BR22" s="302"/>
      <c r="BS22" s="192"/>
      <c r="BT22" s="193"/>
      <c r="BU22" s="193"/>
      <c r="BV22" s="192"/>
      <c r="BW22" s="194"/>
      <c r="BY22" s="154"/>
      <c r="BZ22" s="215"/>
      <c r="CA22" s="224"/>
      <c r="CB22" s="216"/>
      <c r="CC22" s="217"/>
      <c r="CD22" s="217"/>
      <c r="CE22" s="216"/>
      <c r="CF22" s="216"/>
      <c r="CI22" s="154"/>
      <c r="CJ22" s="215"/>
      <c r="CK22" s="224"/>
      <c r="CL22" s="216"/>
      <c r="CM22" s="217"/>
      <c r="CN22" s="217"/>
      <c r="CO22" s="216"/>
      <c r="CP22" s="216"/>
      <c r="CQ22" s="216"/>
      <c r="CS22" s="319">
        <v>20</v>
      </c>
      <c r="CT22" s="320" t="s">
        <v>1425</v>
      </c>
      <c r="CU22" s="241" t="s">
        <v>1426</v>
      </c>
      <c r="CV22" s="192" t="s">
        <v>1427</v>
      </c>
      <c r="CW22" s="192" t="s">
        <v>833</v>
      </c>
      <c r="CX22" s="193" t="s">
        <v>97</v>
      </c>
      <c r="CY22" s="192" t="s">
        <v>79</v>
      </c>
      <c r="CZ22" s="192" t="s">
        <v>234</v>
      </c>
      <c r="DA22" s="216"/>
      <c r="DB22" s="539"/>
      <c r="DC22" s="319">
        <v>20</v>
      </c>
      <c r="DD22" s="588" t="s">
        <v>1505</v>
      </c>
      <c r="DE22" s="573" t="s">
        <v>1484</v>
      </c>
      <c r="DF22" s="583" t="s">
        <v>1504</v>
      </c>
      <c r="DG22" s="192">
        <v>48</v>
      </c>
      <c r="DH22" s="352" t="s">
        <v>98</v>
      </c>
      <c r="DI22" s="192" t="s">
        <v>123</v>
      </c>
      <c r="DJ22" s="193"/>
      <c r="DK22" s="216"/>
      <c r="DL22" s="216"/>
      <c r="JE22" s="153"/>
    </row>
    <row r="23" spans="1:265" ht="18.75" customHeight="1" thickBot="1" x14ac:dyDescent="0.3">
      <c r="A23" s="155"/>
      <c r="B23" s="199" t="s">
        <v>221</v>
      </c>
      <c r="C23" s="219" t="s">
        <v>222</v>
      </c>
      <c r="D23" s="192" t="s">
        <v>223</v>
      </c>
      <c r="E23" s="276" t="s">
        <v>224</v>
      </c>
      <c r="F23" s="276" t="s">
        <v>97</v>
      </c>
      <c r="G23" s="276" t="s">
        <v>234</v>
      </c>
      <c r="H23" s="277" t="s">
        <v>79</v>
      </c>
      <c r="J23" s="259">
        <v>15</v>
      </c>
      <c r="K23" s="261" t="s">
        <v>269</v>
      </c>
      <c r="L23" s="241" t="s">
        <v>268</v>
      </c>
      <c r="M23" s="192" t="s">
        <v>270</v>
      </c>
      <c r="N23" s="193">
        <v>51</v>
      </c>
      <c r="O23" s="193" t="s">
        <v>98</v>
      </c>
      <c r="P23" s="192" t="s">
        <v>234</v>
      </c>
      <c r="Q23" s="192" t="s">
        <v>123</v>
      </c>
      <c r="R23" s="225"/>
      <c r="S23" s="292"/>
      <c r="T23" s="199" t="s">
        <v>355</v>
      </c>
      <c r="U23" s="218" t="s">
        <v>284</v>
      </c>
      <c r="V23" s="192" t="s">
        <v>296</v>
      </c>
      <c r="W23" s="193">
        <v>97</v>
      </c>
      <c r="X23" s="193" t="s">
        <v>98</v>
      </c>
      <c r="Y23" s="192" t="s">
        <v>354</v>
      </c>
      <c r="Z23" s="194" t="s">
        <v>119</v>
      </c>
      <c r="AC23" s="155">
        <v>20</v>
      </c>
      <c r="AD23" s="199" t="s">
        <v>390</v>
      </c>
      <c r="AE23" s="219" t="s">
        <v>385</v>
      </c>
      <c r="AF23" s="192" t="s">
        <v>386</v>
      </c>
      <c r="AG23" s="193" t="s">
        <v>136</v>
      </c>
      <c r="AH23" s="193" t="s">
        <v>97</v>
      </c>
      <c r="AI23" s="192" t="s">
        <v>234</v>
      </c>
      <c r="AJ23" s="194" t="s">
        <v>79</v>
      </c>
      <c r="AL23" s="259">
        <v>20</v>
      </c>
      <c r="AM23" s="261" t="s">
        <v>416</v>
      </c>
      <c r="AN23" s="241" t="s">
        <v>417</v>
      </c>
      <c r="AO23" s="192" t="s">
        <v>418</v>
      </c>
      <c r="AP23" s="193">
        <v>40</v>
      </c>
      <c r="AQ23" s="193" t="s">
        <v>97</v>
      </c>
      <c r="AR23" s="192" t="s">
        <v>235</v>
      </c>
      <c r="AS23" s="192" t="s">
        <v>119</v>
      </c>
      <c r="AU23" s="259">
        <v>20</v>
      </c>
      <c r="AV23" s="199" t="s">
        <v>482</v>
      </c>
      <c r="AW23" s="219" t="s">
        <v>483</v>
      </c>
      <c r="AX23" s="192" t="s">
        <v>511</v>
      </c>
      <c r="AY23" s="193">
        <v>60</v>
      </c>
      <c r="AZ23" s="193" t="s">
        <v>97</v>
      </c>
      <c r="BA23" s="192" t="s">
        <v>234</v>
      </c>
      <c r="BB23" s="194" t="s">
        <v>119</v>
      </c>
      <c r="BD23" s="259">
        <v>21</v>
      </c>
      <c r="BE23" s="249" t="s">
        <v>549</v>
      </c>
      <c r="BF23" s="241" t="s">
        <v>550</v>
      </c>
      <c r="BG23" s="192" t="s">
        <v>551</v>
      </c>
      <c r="BH23" s="193">
        <v>69</v>
      </c>
      <c r="BI23" s="193" t="s">
        <v>98</v>
      </c>
      <c r="BJ23" s="192"/>
      <c r="BK23" s="154"/>
      <c r="BL23" s="154"/>
      <c r="BM23" s="154"/>
      <c r="BN23" s="154"/>
      <c r="BO23" s="247"/>
      <c r="BP23" s="155"/>
      <c r="BQ23" s="199"/>
      <c r="BR23" s="302"/>
      <c r="BS23" s="192"/>
      <c r="BT23" s="193"/>
      <c r="BU23" s="193"/>
      <c r="BV23" s="192"/>
      <c r="BW23" s="194"/>
      <c r="BY23" s="154"/>
      <c r="BZ23" s="215"/>
      <c r="CA23" s="224"/>
      <c r="CB23" s="224"/>
      <c r="CC23" s="217"/>
      <c r="CD23" s="217"/>
      <c r="CE23" s="216"/>
      <c r="CF23" s="216"/>
      <c r="CI23" s="154"/>
      <c r="CJ23" s="215"/>
      <c r="CK23" s="224"/>
      <c r="CL23" s="216"/>
      <c r="CM23" s="217"/>
      <c r="CN23" s="217"/>
      <c r="CO23" s="216"/>
      <c r="CP23" s="216"/>
      <c r="CQ23" s="216"/>
      <c r="CS23" s="319">
        <v>21</v>
      </c>
      <c r="CT23" s="320" t="s">
        <v>1428</v>
      </c>
      <c r="CU23" s="241" t="s">
        <v>1429</v>
      </c>
      <c r="CV23" s="192" t="s">
        <v>1430</v>
      </c>
      <c r="CW23" s="192">
        <v>44</v>
      </c>
      <c r="CX23" s="193" t="s">
        <v>98</v>
      </c>
      <c r="CY23" s="192" t="s">
        <v>688</v>
      </c>
      <c r="CZ23" s="192" t="s">
        <v>234</v>
      </c>
      <c r="DA23" s="216"/>
      <c r="DB23" s="539"/>
      <c r="DC23" s="319">
        <v>21</v>
      </c>
      <c r="DD23" s="588" t="s">
        <v>1506</v>
      </c>
      <c r="DE23" s="573" t="s">
        <v>1453</v>
      </c>
      <c r="DF23" s="583" t="s">
        <v>1507</v>
      </c>
      <c r="DG23" s="192">
        <v>2</v>
      </c>
      <c r="DH23" s="193" t="s">
        <v>98</v>
      </c>
      <c r="DI23" s="192" t="s">
        <v>134</v>
      </c>
      <c r="DJ23" s="193"/>
      <c r="DK23" s="216"/>
      <c r="DL23" s="216"/>
      <c r="JE23" s="153"/>
    </row>
    <row r="24" spans="1:265" ht="18.75" customHeight="1" thickBot="1" x14ac:dyDescent="0.3">
      <c r="A24" s="155"/>
      <c r="B24" s="199" t="s">
        <v>225</v>
      </c>
      <c r="C24" s="279" t="s">
        <v>226</v>
      </c>
      <c r="D24" s="192" t="s">
        <v>227</v>
      </c>
      <c r="E24" s="276" t="s">
        <v>139</v>
      </c>
      <c r="F24" s="276" t="s">
        <v>97</v>
      </c>
      <c r="G24" s="276" t="s">
        <v>234</v>
      </c>
      <c r="H24" s="277" t="s">
        <v>79</v>
      </c>
      <c r="J24" s="259">
        <v>16</v>
      </c>
      <c r="K24" s="261" t="s">
        <v>271</v>
      </c>
      <c r="L24" s="241" t="s">
        <v>268</v>
      </c>
      <c r="M24" s="192" t="s">
        <v>272</v>
      </c>
      <c r="N24" s="193">
        <v>80</v>
      </c>
      <c r="O24" s="193" t="s">
        <v>98</v>
      </c>
      <c r="P24" s="192" t="s">
        <v>234</v>
      </c>
      <c r="Q24" s="192" t="s">
        <v>123</v>
      </c>
      <c r="R24" s="225"/>
      <c r="S24" s="292"/>
      <c r="T24" s="199" t="s">
        <v>303</v>
      </c>
      <c r="U24" s="218" t="s">
        <v>304</v>
      </c>
      <c r="V24" s="192" t="s">
        <v>305</v>
      </c>
      <c r="W24" s="193">
        <v>87</v>
      </c>
      <c r="X24" s="193" t="s">
        <v>98</v>
      </c>
      <c r="Y24" s="192" t="s">
        <v>354</v>
      </c>
      <c r="Z24" s="194" t="s">
        <v>119</v>
      </c>
      <c r="AC24" s="155">
        <v>21</v>
      </c>
      <c r="AD24" s="199" t="s">
        <v>391</v>
      </c>
      <c r="AE24" s="219" t="s">
        <v>388</v>
      </c>
      <c r="AF24" s="192" t="s">
        <v>392</v>
      </c>
      <c r="AG24" s="193" t="s">
        <v>393</v>
      </c>
      <c r="AH24" s="193" t="s">
        <v>97</v>
      </c>
      <c r="AI24" s="192" t="s">
        <v>234</v>
      </c>
      <c r="AJ24" s="194" t="s">
        <v>79</v>
      </c>
      <c r="AL24" s="259">
        <v>21</v>
      </c>
      <c r="AM24" s="261" t="s">
        <v>419</v>
      </c>
      <c r="AN24" s="241" t="s">
        <v>417</v>
      </c>
      <c r="AO24" s="192" t="s">
        <v>420</v>
      </c>
      <c r="AP24" s="193">
        <v>77</v>
      </c>
      <c r="AQ24" s="193" t="s">
        <v>98</v>
      </c>
      <c r="AR24" s="192" t="s">
        <v>234</v>
      </c>
      <c r="AS24" s="192" t="s">
        <v>119</v>
      </c>
      <c r="AU24" s="259">
        <v>21</v>
      </c>
      <c r="AV24" s="199" t="s">
        <v>484</v>
      </c>
      <c r="AW24" s="219" t="s">
        <v>485</v>
      </c>
      <c r="AX24" s="192" t="s">
        <v>486</v>
      </c>
      <c r="AY24" s="193">
        <v>78</v>
      </c>
      <c r="AZ24" s="193" t="s">
        <v>97</v>
      </c>
      <c r="BA24" s="192" t="s">
        <v>234</v>
      </c>
      <c r="BB24" s="194" t="s">
        <v>119</v>
      </c>
      <c r="BD24" s="259">
        <v>22</v>
      </c>
      <c r="BE24" s="249"/>
      <c r="BF24" s="241"/>
      <c r="BG24" s="192"/>
      <c r="BH24" s="193"/>
      <c r="BI24" s="193"/>
      <c r="BJ24" s="192"/>
      <c r="BK24" s="154"/>
      <c r="BL24" s="154"/>
      <c r="BM24" s="154"/>
      <c r="BN24" s="154"/>
      <c r="BO24" s="247"/>
      <c r="BP24" s="155"/>
      <c r="BQ24" s="199"/>
      <c r="BR24" s="302"/>
      <c r="BS24" s="192"/>
      <c r="BT24" s="193"/>
      <c r="BU24" s="193"/>
      <c r="BV24" s="192"/>
      <c r="BW24" s="194"/>
      <c r="BY24" s="154"/>
      <c r="BZ24" s="215"/>
      <c r="CA24" s="224"/>
      <c r="CB24" s="216"/>
      <c r="CD24" s="217"/>
      <c r="CE24" s="216"/>
      <c r="CF24" s="216"/>
      <c r="CI24" s="154"/>
      <c r="CJ24" s="215"/>
      <c r="CK24" s="224"/>
      <c r="CL24" s="216"/>
      <c r="CM24" s="217"/>
      <c r="CN24" s="217"/>
      <c r="CO24" s="216"/>
      <c r="CP24" s="216"/>
      <c r="CQ24" s="216"/>
      <c r="CS24" s="319">
        <v>22</v>
      </c>
      <c r="CT24" s="320" t="s">
        <v>1431</v>
      </c>
      <c r="CU24" s="241" t="s">
        <v>1432</v>
      </c>
      <c r="CV24" s="192" t="s">
        <v>1433</v>
      </c>
      <c r="CW24" s="192">
        <v>76</v>
      </c>
      <c r="CX24" s="193" t="s">
        <v>97</v>
      </c>
      <c r="CY24" s="192" t="s">
        <v>688</v>
      </c>
      <c r="CZ24" s="192" t="s">
        <v>235</v>
      </c>
      <c r="DA24" s="216"/>
      <c r="DB24" s="539"/>
      <c r="DC24" s="319">
        <v>22</v>
      </c>
      <c r="DD24" s="588" t="s">
        <v>1508</v>
      </c>
      <c r="DE24" s="573" t="s">
        <v>1449</v>
      </c>
      <c r="DF24" s="583" t="s">
        <v>1509</v>
      </c>
      <c r="DG24" s="192" t="s">
        <v>1510</v>
      </c>
      <c r="DH24" s="193" t="s">
        <v>98</v>
      </c>
      <c r="DI24" s="192" t="s">
        <v>79</v>
      </c>
      <c r="DJ24" s="193"/>
      <c r="DK24" s="216"/>
      <c r="DL24" s="216"/>
      <c r="JE24" s="153"/>
    </row>
    <row r="25" spans="1:265" ht="18.75" customHeight="1" thickBot="1" x14ac:dyDescent="0.3">
      <c r="A25" s="155"/>
      <c r="B25" s="288"/>
      <c r="C25" s="289"/>
      <c r="D25" s="290"/>
      <c r="E25" s="291"/>
      <c r="F25" s="291"/>
      <c r="G25" s="291"/>
      <c r="H25" s="291"/>
      <c r="J25" s="259">
        <v>17</v>
      </c>
      <c r="K25" s="261" t="s">
        <v>273</v>
      </c>
      <c r="L25" s="241" t="s">
        <v>274</v>
      </c>
      <c r="M25" s="192" t="s">
        <v>275</v>
      </c>
      <c r="N25" s="193">
        <v>74</v>
      </c>
      <c r="O25" s="193" t="s">
        <v>98</v>
      </c>
      <c r="P25" s="192" t="s">
        <v>234</v>
      </c>
      <c r="Q25" s="192" t="s">
        <v>123</v>
      </c>
      <c r="R25" s="225"/>
      <c r="S25" s="292"/>
      <c r="T25" s="199" t="s">
        <v>356</v>
      </c>
      <c r="U25" s="218" t="s">
        <v>319</v>
      </c>
      <c r="V25" s="192" t="s">
        <v>320</v>
      </c>
      <c r="W25" s="193">
        <v>16</v>
      </c>
      <c r="X25" s="193" t="s">
        <v>97</v>
      </c>
      <c r="Y25" s="192" t="s">
        <v>354</v>
      </c>
      <c r="Z25" s="194" t="s">
        <v>119</v>
      </c>
      <c r="AC25" s="155">
        <v>22</v>
      </c>
      <c r="AD25" s="199" t="s">
        <v>394</v>
      </c>
      <c r="AE25" s="219" t="s">
        <v>388</v>
      </c>
      <c r="AF25" s="192" t="s">
        <v>395</v>
      </c>
      <c r="AG25" s="193" t="s">
        <v>150</v>
      </c>
      <c r="AH25" s="193" t="s">
        <v>97</v>
      </c>
      <c r="AI25" s="192" t="s">
        <v>234</v>
      </c>
      <c r="AJ25" s="194" t="s">
        <v>79</v>
      </c>
      <c r="AL25" s="259">
        <v>22</v>
      </c>
      <c r="AM25" s="261" t="s">
        <v>426</v>
      </c>
      <c r="AN25" s="241" t="s">
        <v>421</v>
      </c>
      <c r="AO25" s="192" t="s">
        <v>427</v>
      </c>
      <c r="AP25" s="193">
        <v>50</v>
      </c>
      <c r="AQ25" s="193" t="s">
        <v>98</v>
      </c>
      <c r="AR25" s="192" t="s">
        <v>234</v>
      </c>
      <c r="AS25" s="192" t="s">
        <v>119</v>
      </c>
      <c r="AU25" s="259">
        <v>22</v>
      </c>
      <c r="AV25" s="199" t="s">
        <v>496</v>
      </c>
      <c r="AW25" s="219" t="s">
        <v>497</v>
      </c>
      <c r="AX25" s="192" t="s">
        <v>498</v>
      </c>
      <c r="AY25" s="193">
        <v>55</v>
      </c>
      <c r="AZ25" s="193" t="s">
        <v>98</v>
      </c>
      <c r="BA25" s="192" t="s">
        <v>235</v>
      </c>
      <c r="BB25" s="194" t="s">
        <v>119</v>
      </c>
      <c r="BD25" s="259">
        <v>23</v>
      </c>
      <c r="BE25" s="249"/>
      <c r="BF25" s="241"/>
      <c r="BG25" s="192"/>
      <c r="BH25" s="193"/>
      <c r="BI25" s="193"/>
      <c r="BJ25" s="192"/>
      <c r="BK25" s="154"/>
      <c r="BL25" s="154"/>
      <c r="BM25" s="154"/>
      <c r="BN25" s="154"/>
      <c r="BO25" s="247"/>
      <c r="BP25" s="155"/>
      <c r="BQ25" s="199"/>
      <c r="BR25" s="302"/>
      <c r="BS25" s="192"/>
      <c r="BT25" s="193"/>
      <c r="BU25" s="193"/>
      <c r="BV25" s="192"/>
      <c r="BW25" s="194"/>
      <c r="BY25" s="154"/>
      <c r="BZ25" s="215"/>
      <c r="CA25" s="224"/>
      <c r="CB25" s="216"/>
      <c r="CC25" s="217"/>
      <c r="CD25" s="217"/>
      <c r="CE25" s="216"/>
      <c r="CF25" s="216"/>
      <c r="CI25" s="154"/>
      <c r="CJ25" s="215"/>
      <c r="CK25" s="224"/>
      <c r="CL25" s="216"/>
      <c r="CM25" s="217"/>
      <c r="CN25" s="217"/>
      <c r="CO25" s="216"/>
      <c r="CP25" s="216"/>
      <c r="CQ25" s="216"/>
      <c r="CS25" s="319">
        <v>23</v>
      </c>
      <c r="CT25" s="320" t="s">
        <v>1434</v>
      </c>
      <c r="CU25" s="241" t="s">
        <v>1435</v>
      </c>
      <c r="CV25" s="192" t="s">
        <v>1436</v>
      </c>
      <c r="CW25" s="192">
        <v>60</v>
      </c>
      <c r="CX25" s="193" t="s">
        <v>98</v>
      </c>
      <c r="CY25" s="192" t="s">
        <v>688</v>
      </c>
      <c r="CZ25" s="192" t="s">
        <v>234</v>
      </c>
      <c r="DA25" s="216"/>
      <c r="DB25" s="216"/>
      <c r="DC25" s="319">
        <v>23</v>
      </c>
      <c r="DD25" s="588" t="s">
        <v>1511</v>
      </c>
      <c r="DE25" s="573" t="s">
        <v>1454</v>
      </c>
      <c r="DF25" s="583" t="s">
        <v>1512</v>
      </c>
      <c r="DG25" s="192" t="s">
        <v>1513</v>
      </c>
      <c r="DH25" s="193" t="s">
        <v>98</v>
      </c>
      <c r="DI25" s="192" t="s">
        <v>79</v>
      </c>
      <c r="DJ25" s="193"/>
      <c r="DK25" s="216"/>
      <c r="DL25" s="216"/>
      <c r="JE25" s="153"/>
    </row>
    <row r="26" spans="1:265" ht="18.75" customHeight="1" thickBot="1" x14ac:dyDescent="0.3">
      <c r="A26" s="155"/>
      <c r="B26" s="288"/>
      <c r="C26" s="289"/>
      <c r="D26" s="290"/>
      <c r="E26" s="291"/>
      <c r="F26" s="291"/>
      <c r="G26" s="291"/>
      <c r="H26" s="291"/>
      <c r="J26" s="259">
        <v>18</v>
      </c>
      <c r="K26" s="261" t="s">
        <v>276</v>
      </c>
      <c r="L26" s="241" t="s">
        <v>277</v>
      </c>
      <c r="M26" s="192" t="s">
        <v>278</v>
      </c>
      <c r="N26" s="193">
        <v>29</v>
      </c>
      <c r="O26" s="193" t="s">
        <v>98</v>
      </c>
      <c r="P26" s="192" t="s">
        <v>234</v>
      </c>
      <c r="Q26" s="192" t="s">
        <v>123</v>
      </c>
      <c r="R26" s="322"/>
      <c r="S26" s="337"/>
      <c r="T26" s="199" t="s">
        <v>321</v>
      </c>
      <c r="U26" s="218" t="s">
        <v>322</v>
      </c>
      <c r="V26" s="192" t="s">
        <v>323</v>
      </c>
      <c r="W26" s="193">
        <v>67</v>
      </c>
      <c r="X26" s="193" t="s">
        <v>98</v>
      </c>
      <c r="Y26" s="192" t="s">
        <v>354</v>
      </c>
      <c r="Z26" s="194" t="s">
        <v>119</v>
      </c>
      <c r="AC26" s="155">
        <v>23</v>
      </c>
      <c r="AD26" s="199" t="s">
        <v>383</v>
      </c>
      <c r="AE26" s="219" t="s">
        <v>359</v>
      </c>
      <c r="AF26" s="192" t="s">
        <v>384</v>
      </c>
      <c r="AG26" s="193">
        <v>73</v>
      </c>
      <c r="AH26" s="193" t="s">
        <v>97</v>
      </c>
      <c r="AI26" s="192" t="s">
        <v>234</v>
      </c>
      <c r="AJ26" s="194" t="s">
        <v>119</v>
      </c>
      <c r="AL26" s="259">
        <v>23</v>
      </c>
      <c r="AM26" s="261" t="s">
        <v>438</v>
      </c>
      <c r="AN26" s="241" t="s">
        <v>439</v>
      </c>
      <c r="AO26" s="192" t="s">
        <v>440</v>
      </c>
      <c r="AP26" s="193">
        <v>57</v>
      </c>
      <c r="AQ26" s="193" t="s">
        <v>98</v>
      </c>
      <c r="AR26" s="192" t="s">
        <v>234</v>
      </c>
      <c r="AS26" s="192" t="s">
        <v>119</v>
      </c>
      <c r="AU26" s="259">
        <v>23</v>
      </c>
      <c r="AV26" s="199" t="s">
        <v>499</v>
      </c>
      <c r="AW26" s="219" t="s">
        <v>494</v>
      </c>
      <c r="AX26" s="192" t="s">
        <v>500</v>
      </c>
      <c r="AY26" s="193">
        <v>39</v>
      </c>
      <c r="AZ26" s="193" t="s">
        <v>98</v>
      </c>
      <c r="BA26" s="192" t="s">
        <v>235</v>
      </c>
      <c r="BB26" s="194" t="s">
        <v>119</v>
      </c>
      <c r="BD26" s="259">
        <v>24</v>
      </c>
      <c r="BE26" s="249"/>
      <c r="BF26" s="241"/>
      <c r="BG26" s="192"/>
      <c r="BH26" s="193"/>
      <c r="BI26" s="193"/>
      <c r="BJ26" s="284"/>
      <c r="BK26" s="154"/>
      <c r="BL26" s="154"/>
      <c r="BM26" s="154"/>
      <c r="BN26" s="154"/>
      <c r="BO26" s="247"/>
      <c r="BP26" s="155"/>
      <c r="BQ26" s="199"/>
      <c r="BR26" s="302"/>
      <c r="BS26" s="192"/>
      <c r="BT26" s="193"/>
      <c r="BU26" s="193"/>
      <c r="BV26" s="192"/>
      <c r="BW26" s="194"/>
      <c r="BY26" s="154"/>
      <c r="BZ26" s="215"/>
      <c r="CA26" s="224"/>
      <c r="CB26" s="216"/>
      <c r="CC26" s="217"/>
      <c r="CD26" s="217"/>
      <c r="CE26" s="216"/>
      <c r="CF26" s="216"/>
      <c r="CI26" s="154"/>
      <c r="CJ26" s="215"/>
      <c r="CK26" s="224"/>
      <c r="CL26" s="216"/>
      <c r="CM26" s="217"/>
      <c r="CN26" s="217"/>
      <c r="CO26" s="216"/>
      <c r="CP26" s="216"/>
      <c r="CQ26" s="216"/>
      <c r="CS26" s="319">
        <v>24</v>
      </c>
      <c r="CT26" s="320" t="s">
        <v>1437</v>
      </c>
      <c r="CU26" s="241" t="s">
        <v>1438</v>
      </c>
      <c r="CV26" s="192" t="s">
        <v>1439</v>
      </c>
      <c r="CW26" s="192">
        <v>45</v>
      </c>
      <c r="CX26" s="193" t="s">
        <v>98</v>
      </c>
      <c r="CY26" s="192" t="s">
        <v>688</v>
      </c>
      <c r="CZ26" s="192" t="s">
        <v>235</v>
      </c>
      <c r="DA26" s="216"/>
      <c r="DB26" s="216"/>
      <c r="DC26" s="319">
        <v>24</v>
      </c>
      <c r="DD26" s="588" t="s">
        <v>1514</v>
      </c>
      <c r="DE26" s="573" t="s">
        <v>1457</v>
      </c>
      <c r="DF26" s="583" t="s">
        <v>1515</v>
      </c>
      <c r="DG26" s="192" t="s">
        <v>1516</v>
      </c>
      <c r="DH26" s="193" t="s">
        <v>97</v>
      </c>
      <c r="DI26" s="192" t="s">
        <v>79</v>
      </c>
      <c r="DJ26" s="193"/>
      <c r="DK26" s="216"/>
      <c r="DL26" s="216"/>
      <c r="JE26" s="153"/>
    </row>
    <row r="27" spans="1:265" ht="18.75" customHeight="1" thickBot="1" x14ac:dyDescent="0.3">
      <c r="A27" s="167">
        <v>7</v>
      </c>
      <c r="B27" s="261" t="s">
        <v>618</v>
      </c>
      <c r="C27" s="241" t="s">
        <v>619</v>
      </c>
      <c r="D27" s="192" t="s">
        <v>620</v>
      </c>
      <c r="E27" s="276">
        <v>7</v>
      </c>
      <c r="F27" s="276" t="s">
        <v>97</v>
      </c>
      <c r="G27" s="276" t="s">
        <v>235</v>
      </c>
      <c r="H27" s="276" t="s">
        <v>161</v>
      </c>
      <c r="J27" s="259">
        <v>7</v>
      </c>
      <c r="K27" s="249" t="s">
        <v>730</v>
      </c>
      <c r="L27" s="323" t="s">
        <v>731</v>
      </c>
      <c r="M27" s="192" t="s">
        <v>732</v>
      </c>
      <c r="N27" s="264">
        <v>98</v>
      </c>
      <c r="O27" s="264" t="s">
        <v>98</v>
      </c>
      <c r="P27" s="192" t="s">
        <v>234</v>
      </c>
      <c r="Q27" s="192" t="s">
        <v>123</v>
      </c>
      <c r="S27" s="319">
        <v>7</v>
      </c>
      <c r="T27" s="351" t="s">
        <v>828</v>
      </c>
      <c r="U27" s="347" t="s">
        <v>818</v>
      </c>
      <c r="V27" s="342" t="s">
        <v>829</v>
      </c>
      <c r="W27" s="352">
        <v>11</v>
      </c>
      <c r="X27" s="352" t="s">
        <v>97</v>
      </c>
      <c r="Y27" s="352" t="s">
        <v>234</v>
      </c>
      <c r="Z27" s="353" t="s">
        <v>134</v>
      </c>
      <c r="AC27" s="373">
        <v>7</v>
      </c>
      <c r="AD27" s="199" t="s">
        <v>898</v>
      </c>
      <c r="AE27" s="387" t="s">
        <v>896</v>
      </c>
      <c r="AF27" s="371" t="s">
        <v>897</v>
      </c>
      <c r="AG27" s="379">
        <v>92</v>
      </c>
      <c r="AH27" s="379" t="s">
        <v>97</v>
      </c>
      <c r="AI27" s="379" t="s">
        <v>234</v>
      </c>
      <c r="AJ27" s="386" t="s">
        <v>360</v>
      </c>
      <c r="AL27" s="401">
        <v>7</v>
      </c>
      <c r="AM27" s="320" t="s">
        <v>981</v>
      </c>
      <c r="AN27" s="339" t="s">
        <v>980</v>
      </c>
      <c r="AO27" s="371" t="s">
        <v>984</v>
      </c>
      <c r="AP27" s="371">
        <v>54</v>
      </c>
      <c r="AQ27" s="379" t="s">
        <v>97</v>
      </c>
      <c r="AR27" s="379" t="s">
        <v>235</v>
      </c>
      <c r="AS27" s="379" t="s">
        <v>122</v>
      </c>
      <c r="AU27" s="416">
        <v>7</v>
      </c>
      <c r="AV27" s="342" t="s">
        <v>1061</v>
      </c>
      <c r="AW27" s="360" t="s">
        <v>1046</v>
      </c>
      <c r="AX27" s="342" t="s">
        <v>1062</v>
      </c>
      <c r="AY27" s="342">
        <v>50</v>
      </c>
      <c r="AZ27" s="352" t="s">
        <v>98</v>
      </c>
      <c r="BA27" s="352" t="s">
        <v>234</v>
      </c>
      <c r="BB27" s="352" t="s">
        <v>123</v>
      </c>
      <c r="BD27" s="245">
        <v>7</v>
      </c>
      <c r="BE27" s="249" t="s">
        <v>1152</v>
      </c>
      <c r="BF27" s="241" t="s">
        <v>1128</v>
      </c>
      <c r="BG27" s="192" t="s">
        <v>1129</v>
      </c>
      <c r="BH27" s="193">
        <v>40</v>
      </c>
      <c r="BI27" s="193" t="s">
        <v>98</v>
      </c>
      <c r="BJ27" s="192" t="s">
        <v>235</v>
      </c>
      <c r="BK27" s="374" t="s">
        <v>123</v>
      </c>
      <c r="BL27" s="375"/>
      <c r="BM27" s="375"/>
      <c r="BN27" s="375"/>
      <c r="BO27" s="442"/>
      <c r="BP27" s="155">
        <v>7</v>
      </c>
      <c r="BQ27" s="476" t="s">
        <v>1177</v>
      </c>
      <c r="BR27" s="302" t="s">
        <v>1176</v>
      </c>
      <c r="BS27" s="192" t="s">
        <v>1178</v>
      </c>
      <c r="BT27" s="192">
        <v>71</v>
      </c>
      <c r="BU27" s="193" t="s">
        <v>120</v>
      </c>
      <c r="BV27" s="192" t="s">
        <v>234</v>
      </c>
      <c r="BW27" s="191" t="s">
        <v>122</v>
      </c>
      <c r="BY27" s="154"/>
      <c r="BZ27" s="215"/>
      <c r="CA27" s="224"/>
      <c r="CB27" s="216"/>
      <c r="CC27" s="216"/>
      <c r="CD27" s="217"/>
      <c r="CE27" s="217"/>
      <c r="CF27" s="216"/>
      <c r="CI27" s="154"/>
      <c r="CJ27" s="215"/>
      <c r="CK27" s="224"/>
      <c r="CL27" s="216"/>
      <c r="CM27" s="217"/>
      <c r="CN27" s="217"/>
      <c r="CO27" s="216"/>
      <c r="CP27" s="216"/>
      <c r="CQ27" s="216"/>
      <c r="CS27" s="319">
        <v>25</v>
      </c>
      <c r="CT27" s="320" t="s">
        <v>1440</v>
      </c>
      <c r="CU27" s="241" t="s">
        <v>1426</v>
      </c>
      <c r="CV27" s="192" t="s">
        <v>1441</v>
      </c>
      <c r="CW27" s="192">
        <v>72</v>
      </c>
      <c r="CX27" s="193" t="s">
        <v>97</v>
      </c>
      <c r="CY27" s="192" t="s">
        <v>688</v>
      </c>
      <c r="CZ27" s="192" t="s">
        <v>234</v>
      </c>
      <c r="DA27" s="216"/>
      <c r="DB27" s="216"/>
      <c r="DC27" s="319">
        <v>25</v>
      </c>
      <c r="DD27" s="588" t="s">
        <v>1517</v>
      </c>
      <c r="DE27" s="575" t="s">
        <v>1518</v>
      </c>
      <c r="DF27" s="583" t="s">
        <v>1519</v>
      </c>
      <c r="DG27" s="192" t="s">
        <v>1520</v>
      </c>
      <c r="DH27" s="193" t="s">
        <v>97</v>
      </c>
      <c r="DI27" s="192" t="s">
        <v>79</v>
      </c>
      <c r="DJ27" s="193"/>
      <c r="DK27" s="216"/>
      <c r="DL27" s="216"/>
      <c r="JE27" s="153"/>
    </row>
    <row r="28" spans="1:265" ht="18.75" customHeight="1" thickBot="1" x14ac:dyDescent="0.3">
      <c r="A28" s="167">
        <v>8</v>
      </c>
      <c r="B28" s="261" t="s">
        <v>621</v>
      </c>
      <c r="C28" s="241" t="s">
        <v>622</v>
      </c>
      <c r="D28" s="192" t="s">
        <v>623</v>
      </c>
      <c r="E28" s="276">
        <v>55</v>
      </c>
      <c r="F28" s="276" t="s">
        <v>98</v>
      </c>
      <c r="G28" s="276" t="s">
        <v>234</v>
      </c>
      <c r="H28" s="276" t="s">
        <v>161</v>
      </c>
      <c r="J28" s="259">
        <v>8</v>
      </c>
      <c r="K28" s="249" t="s">
        <v>733</v>
      </c>
      <c r="L28" s="323" t="s">
        <v>734</v>
      </c>
      <c r="M28" s="192" t="s">
        <v>735</v>
      </c>
      <c r="N28" s="264">
        <v>66</v>
      </c>
      <c r="O28" s="264" t="s">
        <v>98</v>
      </c>
      <c r="P28" s="192" t="s">
        <v>234</v>
      </c>
      <c r="Q28" s="192" t="s">
        <v>123</v>
      </c>
      <c r="S28" s="319">
        <v>8</v>
      </c>
      <c r="T28" s="351" t="s">
        <v>832</v>
      </c>
      <c r="U28" s="347" t="s">
        <v>830</v>
      </c>
      <c r="V28" s="342" t="s">
        <v>831</v>
      </c>
      <c r="W28" s="352" t="s">
        <v>833</v>
      </c>
      <c r="X28" s="352" t="s">
        <v>97</v>
      </c>
      <c r="Y28" s="352" t="s">
        <v>234</v>
      </c>
      <c r="Z28" s="353" t="s">
        <v>79</v>
      </c>
      <c r="AC28" s="373">
        <v>8</v>
      </c>
      <c r="AD28" s="199" t="s">
        <v>899</v>
      </c>
      <c r="AE28" s="387" t="s">
        <v>900</v>
      </c>
      <c r="AF28" s="371" t="s">
        <v>901</v>
      </c>
      <c r="AG28" s="379">
        <v>55</v>
      </c>
      <c r="AH28" s="379" t="s">
        <v>97</v>
      </c>
      <c r="AI28" s="379" t="s">
        <v>235</v>
      </c>
      <c r="AJ28" s="386" t="s">
        <v>360</v>
      </c>
      <c r="AL28" s="401">
        <v>8</v>
      </c>
      <c r="AM28" s="320" t="s">
        <v>982</v>
      </c>
      <c r="AN28" s="339" t="s">
        <v>980</v>
      </c>
      <c r="AO28" s="371" t="s">
        <v>985</v>
      </c>
      <c r="AP28" s="371">
        <v>72</v>
      </c>
      <c r="AQ28" s="379" t="s">
        <v>97</v>
      </c>
      <c r="AR28" s="379" t="s">
        <v>234</v>
      </c>
      <c r="AS28" s="379" t="s">
        <v>122</v>
      </c>
      <c r="AU28" s="416">
        <v>8</v>
      </c>
      <c r="AV28" s="417" t="s">
        <v>1063</v>
      </c>
      <c r="AW28" s="360" t="s">
        <v>1064</v>
      </c>
      <c r="AX28" s="360" t="s">
        <v>1065</v>
      </c>
      <c r="AY28" s="352">
        <v>81</v>
      </c>
      <c r="AZ28" s="352" t="s">
        <v>98</v>
      </c>
      <c r="BA28" s="352" t="s">
        <v>234</v>
      </c>
      <c r="BB28" s="352" t="s">
        <v>123</v>
      </c>
      <c r="BD28" s="245">
        <v>8</v>
      </c>
      <c r="BE28" s="249" t="s">
        <v>1127</v>
      </c>
      <c r="BF28" s="241" t="s">
        <v>1128</v>
      </c>
      <c r="BG28" s="192" t="s">
        <v>1130</v>
      </c>
      <c r="BH28" s="193">
        <v>64</v>
      </c>
      <c r="BI28" s="193" t="s">
        <v>98</v>
      </c>
      <c r="BJ28" s="192" t="s">
        <v>234</v>
      </c>
      <c r="BK28" s="374" t="s">
        <v>123</v>
      </c>
      <c r="BL28" s="375"/>
      <c r="BM28" s="375"/>
      <c r="BN28" s="375"/>
      <c r="BO28" s="442"/>
      <c r="BP28" s="155">
        <v>8</v>
      </c>
      <c r="BQ28" s="476" t="s">
        <v>1180</v>
      </c>
      <c r="BR28" s="302" t="s">
        <v>1179</v>
      </c>
      <c r="BS28" s="192" t="s">
        <v>1181</v>
      </c>
      <c r="BT28" s="192">
        <v>68</v>
      </c>
      <c r="BU28" s="193" t="s">
        <v>242</v>
      </c>
      <c r="BV28" s="192" t="s">
        <v>234</v>
      </c>
      <c r="BW28" s="194" t="s">
        <v>123</v>
      </c>
      <c r="BY28" s="154"/>
      <c r="BZ28" s="215"/>
      <c r="CA28" s="224"/>
      <c r="CB28" s="216"/>
      <c r="CC28" s="216"/>
      <c r="CD28" s="217"/>
      <c r="CE28" s="217"/>
      <c r="CF28" s="216"/>
      <c r="CI28" s="154"/>
      <c r="CJ28" s="215"/>
      <c r="CK28" s="224"/>
      <c r="CL28" s="216"/>
      <c r="CM28" s="217"/>
      <c r="CN28" s="217"/>
      <c r="CO28" s="216"/>
      <c r="CP28" s="216"/>
      <c r="CQ28" s="216"/>
      <c r="CS28" s="319">
        <v>26</v>
      </c>
      <c r="CT28" s="261" t="s">
        <v>1444</v>
      </c>
      <c r="CU28" s="241" t="s">
        <v>1397</v>
      </c>
      <c r="CV28" s="192" t="s">
        <v>1445</v>
      </c>
      <c r="CW28" s="193">
        <v>65</v>
      </c>
      <c r="CX28" s="193" t="s">
        <v>97</v>
      </c>
      <c r="CY28" s="192" t="s">
        <v>688</v>
      </c>
      <c r="CZ28" s="192" t="s">
        <v>234</v>
      </c>
      <c r="DA28" s="216"/>
      <c r="DB28" s="216"/>
      <c r="DC28" s="319">
        <v>26</v>
      </c>
      <c r="DD28" s="589" t="s">
        <v>1521</v>
      </c>
      <c r="DE28" s="573" t="s">
        <v>1500</v>
      </c>
      <c r="DF28" s="584" t="s">
        <v>1522</v>
      </c>
      <c r="DG28" s="192" t="s">
        <v>704</v>
      </c>
      <c r="DH28" s="193" t="s">
        <v>98</v>
      </c>
      <c r="DI28" s="192" t="s">
        <v>79</v>
      </c>
      <c r="DJ28" s="193"/>
      <c r="DK28" s="216"/>
      <c r="DL28" s="216"/>
      <c r="JE28" s="153"/>
    </row>
    <row r="29" spans="1:265" ht="18.75" customHeight="1" thickBot="1" x14ac:dyDescent="0.3">
      <c r="A29" s="167">
        <v>9</v>
      </c>
      <c r="B29" s="318" t="s">
        <v>624</v>
      </c>
      <c r="C29" s="241" t="s">
        <v>625</v>
      </c>
      <c r="D29" s="192" t="s">
        <v>626</v>
      </c>
      <c r="E29" s="276">
        <v>75</v>
      </c>
      <c r="F29" s="276" t="s">
        <v>97</v>
      </c>
      <c r="G29" s="276" t="s">
        <v>234</v>
      </c>
      <c r="H29" s="276" t="s">
        <v>161</v>
      </c>
      <c r="J29" s="259">
        <v>9</v>
      </c>
      <c r="K29" s="249" t="s">
        <v>736</v>
      </c>
      <c r="L29" s="323" t="s">
        <v>737</v>
      </c>
      <c r="M29" s="192" t="s">
        <v>738</v>
      </c>
      <c r="N29" s="264">
        <v>79</v>
      </c>
      <c r="O29" s="264" t="s">
        <v>98</v>
      </c>
      <c r="P29" s="192" t="s">
        <v>234</v>
      </c>
      <c r="Q29" s="192" t="s">
        <v>123</v>
      </c>
      <c r="S29" s="319">
        <v>9</v>
      </c>
      <c r="T29" s="351" t="s">
        <v>874</v>
      </c>
      <c r="U29" s="347" t="s">
        <v>875</v>
      </c>
      <c r="V29" s="342" t="s">
        <v>876</v>
      </c>
      <c r="W29" s="352" t="s">
        <v>742</v>
      </c>
      <c r="X29" s="352" t="s">
        <v>98</v>
      </c>
      <c r="Y29" s="352" t="s">
        <v>234</v>
      </c>
      <c r="Z29" s="353" t="s">
        <v>79</v>
      </c>
      <c r="AC29" s="373">
        <v>9</v>
      </c>
      <c r="AD29" s="199" t="s">
        <v>902</v>
      </c>
      <c r="AE29" s="387" t="s">
        <v>903</v>
      </c>
      <c r="AF29" s="371" t="s">
        <v>904</v>
      </c>
      <c r="AG29" s="379">
        <v>58</v>
      </c>
      <c r="AH29" s="379" t="s">
        <v>97</v>
      </c>
      <c r="AI29" s="379" t="s">
        <v>234</v>
      </c>
      <c r="AJ29" s="386" t="s">
        <v>360</v>
      </c>
      <c r="AL29" s="401">
        <v>9</v>
      </c>
      <c r="AM29" s="320" t="s">
        <v>983</v>
      </c>
      <c r="AN29" s="339" t="s">
        <v>980</v>
      </c>
      <c r="AO29" s="371" t="s">
        <v>986</v>
      </c>
      <c r="AP29" s="371">
        <v>68</v>
      </c>
      <c r="AQ29" s="379" t="s">
        <v>97</v>
      </c>
      <c r="AR29" s="379" t="s">
        <v>234</v>
      </c>
      <c r="AS29" s="379" t="s">
        <v>122</v>
      </c>
      <c r="AU29" s="416">
        <v>9</v>
      </c>
      <c r="AV29" s="417" t="s">
        <v>1067</v>
      </c>
      <c r="AW29" s="360" t="s">
        <v>1066</v>
      </c>
      <c r="AX29" s="360" t="s">
        <v>1068</v>
      </c>
      <c r="AY29" s="352">
        <v>33</v>
      </c>
      <c r="AZ29" s="352" t="s">
        <v>98</v>
      </c>
      <c r="BA29" s="352" t="s">
        <v>235</v>
      </c>
      <c r="BB29" s="410" t="s">
        <v>38</v>
      </c>
      <c r="BD29" s="245">
        <v>9</v>
      </c>
      <c r="BE29" s="249" t="s">
        <v>1131</v>
      </c>
      <c r="BF29" s="241" t="s">
        <v>1132</v>
      </c>
      <c r="BG29" s="192" t="s">
        <v>1133</v>
      </c>
      <c r="BH29" s="193">
        <v>53</v>
      </c>
      <c r="BI29" s="193" t="s">
        <v>98</v>
      </c>
      <c r="BJ29" s="192" t="s">
        <v>234</v>
      </c>
      <c r="BK29" s="374" t="s">
        <v>123</v>
      </c>
      <c r="BL29" s="375"/>
      <c r="BM29" s="375"/>
      <c r="BN29" s="375"/>
      <c r="BO29" s="442"/>
      <c r="BP29" s="155">
        <v>9</v>
      </c>
      <c r="BQ29" s="476" t="s">
        <v>1182</v>
      </c>
      <c r="BR29" s="302" t="s">
        <v>1183</v>
      </c>
      <c r="BS29" s="192" t="s">
        <v>1184</v>
      </c>
      <c r="BT29" s="192">
        <v>89</v>
      </c>
      <c r="BU29" s="193" t="s">
        <v>242</v>
      </c>
      <c r="BV29" s="192" t="s">
        <v>234</v>
      </c>
      <c r="BW29" s="194" t="s">
        <v>123</v>
      </c>
      <c r="BY29" s="154"/>
      <c r="BZ29" s="215"/>
      <c r="CA29" s="224"/>
      <c r="CB29" s="216"/>
      <c r="CC29" s="216"/>
      <c r="CD29" s="217"/>
      <c r="CE29" s="217"/>
      <c r="CF29" s="216"/>
      <c r="CI29" s="154"/>
      <c r="CJ29" s="215"/>
      <c r="CK29" s="224"/>
      <c r="CL29" s="224"/>
      <c r="CM29" s="217"/>
      <c r="CN29" s="217"/>
      <c r="CO29" s="216"/>
      <c r="CP29" s="216"/>
      <c r="CQ29" s="216"/>
      <c r="CS29" s="154"/>
      <c r="CT29" s="215"/>
      <c r="CU29" s="224"/>
      <c r="CV29" s="224"/>
      <c r="CW29" s="217"/>
      <c r="CX29" s="217"/>
      <c r="CY29" s="216"/>
      <c r="CZ29" s="216"/>
      <c r="DA29" s="216"/>
      <c r="DB29" s="216"/>
      <c r="DC29" s="319">
        <v>27</v>
      </c>
      <c r="DD29" s="340" t="s">
        <v>1523</v>
      </c>
      <c r="DE29" s="576" t="s">
        <v>1453</v>
      </c>
      <c r="DF29" s="576" t="s">
        <v>1524</v>
      </c>
      <c r="DG29" s="192">
        <v>52</v>
      </c>
      <c r="DH29" s="193" t="s">
        <v>97</v>
      </c>
      <c r="DI29" s="193" t="s">
        <v>688</v>
      </c>
      <c r="DJ29" s="193"/>
      <c r="DK29" s="216"/>
      <c r="DL29" s="216"/>
      <c r="JE29" s="153"/>
    </row>
    <row r="30" spans="1:265" ht="18.75" customHeight="1" thickBot="1" x14ac:dyDescent="0.3">
      <c r="A30" s="167">
        <v>10</v>
      </c>
      <c r="B30" s="261" t="s">
        <v>639</v>
      </c>
      <c r="C30" s="241" t="s">
        <v>640</v>
      </c>
      <c r="D30" s="192" t="s">
        <v>641</v>
      </c>
      <c r="E30" s="276">
        <v>65</v>
      </c>
      <c r="F30" s="276" t="s">
        <v>97</v>
      </c>
      <c r="G30" s="276" t="s">
        <v>235</v>
      </c>
      <c r="H30" s="276" t="s">
        <v>161</v>
      </c>
      <c r="J30" s="259">
        <v>10</v>
      </c>
      <c r="K30" s="249" t="s">
        <v>740</v>
      </c>
      <c r="L30" s="323" t="s">
        <v>731</v>
      </c>
      <c r="M30" s="192" t="s">
        <v>741</v>
      </c>
      <c r="N30" s="264" t="s">
        <v>742</v>
      </c>
      <c r="O30" s="264" t="s">
        <v>98</v>
      </c>
      <c r="P30" s="192" t="s">
        <v>234</v>
      </c>
      <c r="Q30" s="192" t="s">
        <v>79</v>
      </c>
      <c r="S30" s="319">
        <v>10</v>
      </c>
      <c r="T30" s="351" t="s">
        <v>842</v>
      </c>
      <c r="U30" s="347" t="s">
        <v>843</v>
      </c>
      <c r="V30" s="342" t="s">
        <v>844</v>
      </c>
      <c r="W30" s="352" t="s">
        <v>845</v>
      </c>
      <c r="X30" s="352" t="s">
        <v>98</v>
      </c>
      <c r="Y30" s="352" t="s">
        <v>234</v>
      </c>
      <c r="Z30" s="353" t="s">
        <v>79</v>
      </c>
      <c r="AC30" s="373">
        <v>10</v>
      </c>
      <c r="AD30" s="378" t="s">
        <v>937</v>
      </c>
      <c r="AE30" s="339" t="s">
        <v>935</v>
      </c>
      <c r="AF30" s="371" t="s">
        <v>936</v>
      </c>
      <c r="AG30" s="371">
        <v>38</v>
      </c>
      <c r="AH30" s="379" t="s">
        <v>97</v>
      </c>
      <c r="AI30" s="379" t="s">
        <v>235</v>
      </c>
      <c r="AJ30" s="379" t="s">
        <v>360</v>
      </c>
      <c r="AL30" s="401">
        <v>10</v>
      </c>
      <c r="AM30" s="320" t="s">
        <v>987</v>
      </c>
      <c r="AN30" s="339" t="s">
        <v>988</v>
      </c>
      <c r="AO30" s="371" t="s">
        <v>989</v>
      </c>
      <c r="AP30" s="371">
        <v>79</v>
      </c>
      <c r="AQ30" s="379" t="s">
        <v>97</v>
      </c>
      <c r="AR30" s="379" t="s">
        <v>234</v>
      </c>
      <c r="AS30" s="379" t="s">
        <v>122</v>
      </c>
      <c r="AU30" s="416">
        <v>10</v>
      </c>
      <c r="AV30" s="417" t="s">
        <v>1070</v>
      </c>
      <c r="AW30" s="360" t="s">
        <v>1069</v>
      </c>
      <c r="AX30" s="360" t="s">
        <v>1071</v>
      </c>
      <c r="AY30" s="352" t="s">
        <v>177</v>
      </c>
      <c r="AZ30" s="352" t="s">
        <v>97</v>
      </c>
      <c r="BA30" s="352" t="s">
        <v>234</v>
      </c>
      <c r="BB30" s="410" t="s">
        <v>79</v>
      </c>
      <c r="BD30" s="245">
        <v>10</v>
      </c>
      <c r="BE30" s="249" t="s">
        <v>1134</v>
      </c>
      <c r="BF30" s="241" t="s">
        <v>1135</v>
      </c>
      <c r="BG30" s="192" t="s">
        <v>1136</v>
      </c>
      <c r="BH30" s="193" t="s">
        <v>1137</v>
      </c>
      <c r="BI30" s="193" t="s">
        <v>97</v>
      </c>
      <c r="BJ30" s="192" t="s">
        <v>234</v>
      </c>
      <c r="BK30" s="374" t="s">
        <v>134</v>
      </c>
      <c r="BL30" s="375"/>
      <c r="BM30" s="375"/>
      <c r="BN30" s="375"/>
      <c r="BO30" s="442"/>
      <c r="BP30" s="155">
        <v>10</v>
      </c>
      <c r="BQ30" s="476" t="s">
        <v>1186</v>
      </c>
      <c r="BR30" s="302" t="s">
        <v>1185</v>
      </c>
      <c r="BS30" s="192" t="s">
        <v>1187</v>
      </c>
      <c r="BT30" s="192">
        <v>60</v>
      </c>
      <c r="BU30" s="193" t="s">
        <v>242</v>
      </c>
      <c r="BV30" s="192" t="s">
        <v>234</v>
      </c>
      <c r="BW30" s="194" t="s">
        <v>123</v>
      </c>
      <c r="BY30" s="154"/>
      <c r="BZ30" s="215"/>
      <c r="CA30" s="224"/>
      <c r="CB30" s="558"/>
      <c r="CC30" s="216"/>
      <c r="CD30" s="217"/>
      <c r="CE30" s="217"/>
      <c r="CF30" s="216"/>
      <c r="CI30" s="154"/>
      <c r="CJ30" s="215"/>
      <c r="CK30" s="224"/>
      <c r="CL30" s="216"/>
      <c r="CM30" s="217"/>
      <c r="CN30" s="217"/>
      <c r="CO30" s="216"/>
      <c r="CP30" s="216"/>
      <c r="CQ30" s="216"/>
      <c r="CS30" s="154"/>
      <c r="CT30" s="215"/>
      <c r="CU30" s="224"/>
      <c r="CV30" s="216"/>
      <c r="CW30" s="217"/>
      <c r="CX30" s="217"/>
      <c r="CY30" s="216"/>
      <c r="CZ30" s="216"/>
      <c r="DA30" s="216"/>
      <c r="DB30" s="216"/>
      <c r="DC30" s="319">
        <v>28</v>
      </c>
      <c r="DD30" s="340" t="s">
        <v>1525</v>
      </c>
      <c r="DE30" s="576" t="s">
        <v>1456</v>
      </c>
      <c r="DF30" s="576" t="s">
        <v>1526</v>
      </c>
      <c r="DG30" s="192">
        <v>39</v>
      </c>
      <c r="DH30" s="193" t="s">
        <v>98</v>
      </c>
      <c r="DI30" s="193" t="s">
        <v>688</v>
      </c>
      <c r="DJ30" s="193"/>
      <c r="DK30" s="216"/>
      <c r="DL30" s="216"/>
      <c r="JE30" s="153"/>
    </row>
    <row r="31" spans="1:265" ht="18.75" customHeight="1" thickBot="1" x14ac:dyDescent="0.3">
      <c r="A31" s="167">
        <v>11</v>
      </c>
      <c r="B31" s="259" t="s">
        <v>642</v>
      </c>
      <c r="C31" s="226" t="s">
        <v>643</v>
      </c>
      <c r="D31" s="225" t="s">
        <v>644</v>
      </c>
      <c r="E31" s="286" t="s">
        <v>645</v>
      </c>
      <c r="F31" s="286" t="s">
        <v>97</v>
      </c>
      <c r="G31" s="286" t="s">
        <v>234</v>
      </c>
      <c r="H31" s="286" t="s">
        <v>79</v>
      </c>
      <c r="J31" s="259">
        <v>11</v>
      </c>
      <c r="K31" s="249" t="s">
        <v>743</v>
      </c>
      <c r="L31" s="323" t="s">
        <v>744</v>
      </c>
      <c r="M31" s="192" t="s">
        <v>745</v>
      </c>
      <c r="N31" s="264" t="s">
        <v>173</v>
      </c>
      <c r="O31" s="264" t="s">
        <v>97</v>
      </c>
      <c r="P31" s="192" t="s">
        <v>234</v>
      </c>
      <c r="Q31" s="192" t="s">
        <v>79</v>
      </c>
      <c r="S31" s="319">
        <v>11</v>
      </c>
      <c r="T31" s="351" t="s">
        <v>846</v>
      </c>
      <c r="U31" s="347" t="s">
        <v>835</v>
      </c>
      <c r="V31" s="342" t="s">
        <v>847</v>
      </c>
      <c r="W31" s="352">
        <v>51</v>
      </c>
      <c r="X31" s="352" t="s">
        <v>97</v>
      </c>
      <c r="Y31" s="352" t="s">
        <v>235</v>
      </c>
      <c r="Z31" s="353" t="s">
        <v>122</v>
      </c>
      <c r="AC31" s="373">
        <v>11</v>
      </c>
      <c r="AD31" s="261" t="s">
        <v>918</v>
      </c>
      <c r="AE31" s="381" t="s">
        <v>885</v>
      </c>
      <c r="AF31" s="380" t="s">
        <v>920</v>
      </c>
      <c r="AG31" s="379">
        <v>65</v>
      </c>
      <c r="AH31" s="379" t="s">
        <v>98</v>
      </c>
      <c r="AI31" s="379" t="s">
        <v>235</v>
      </c>
      <c r="AJ31" s="379" t="s">
        <v>688</v>
      </c>
      <c r="AL31" s="401">
        <v>11</v>
      </c>
      <c r="AM31" s="320" t="s">
        <v>990</v>
      </c>
      <c r="AN31" s="339" t="s">
        <v>967</v>
      </c>
      <c r="AO31" s="371" t="s">
        <v>991</v>
      </c>
      <c r="AP31" s="371">
        <v>52</v>
      </c>
      <c r="AQ31" s="379" t="s">
        <v>98</v>
      </c>
      <c r="AR31" s="379" t="s">
        <v>234</v>
      </c>
      <c r="AS31" s="379" t="s">
        <v>123</v>
      </c>
      <c r="AU31" s="416">
        <v>11</v>
      </c>
      <c r="AV31" s="417" t="s">
        <v>1072</v>
      </c>
      <c r="AW31" s="360" t="s">
        <v>1073</v>
      </c>
      <c r="AX31" s="360" t="s">
        <v>1074</v>
      </c>
      <c r="AY31" s="352">
        <v>44</v>
      </c>
      <c r="AZ31" s="352" t="s">
        <v>98</v>
      </c>
      <c r="BA31" s="352" t="s">
        <v>234</v>
      </c>
      <c r="BB31" s="410" t="s">
        <v>688</v>
      </c>
      <c r="BD31" s="245">
        <v>11</v>
      </c>
      <c r="BE31" s="249" t="s">
        <v>1138</v>
      </c>
      <c r="BF31" s="241" t="s">
        <v>1139</v>
      </c>
      <c r="BG31" s="192" t="s">
        <v>1140</v>
      </c>
      <c r="BH31" s="193" t="s">
        <v>645</v>
      </c>
      <c r="BI31" s="193" t="s">
        <v>98</v>
      </c>
      <c r="BJ31" s="192" t="s">
        <v>234</v>
      </c>
      <c r="BK31" s="374" t="s">
        <v>79</v>
      </c>
      <c r="BL31" s="375"/>
      <c r="BM31" s="375"/>
      <c r="BN31" s="375"/>
      <c r="BO31" s="442"/>
      <c r="BP31" s="155">
        <v>11</v>
      </c>
      <c r="BQ31" s="476" t="s">
        <v>1190</v>
      </c>
      <c r="BR31" s="302" t="s">
        <v>1188</v>
      </c>
      <c r="BS31" s="192" t="s">
        <v>1189</v>
      </c>
      <c r="BT31" s="192">
        <v>68</v>
      </c>
      <c r="BU31" s="193" t="s">
        <v>242</v>
      </c>
      <c r="BV31" s="192" t="s">
        <v>234</v>
      </c>
      <c r="BW31" s="194" t="s">
        <v>123</v>
      </c>
      <c r="BY31" s="154"/>
      <c r="BZ31" s="215"/>
      <c r="CA31" s="224"/>
      <c r="CB31" s="216"/>
      <c r="CC31" s="216"/>
      <c r="CD31" s="217"/>
      <c r="CE31" s="217"/>
      <c r="CF31" s="216"/>
      <c r="CI31" s="154"/>
      <c r="CJ31" s="215"/>
      <c r="CK31" s="224"/>
      <c r="CL31" s="216"/>
      <c r="CM31" s="217"/>
      <c r="CN31" s="217"/>
      <c r="CO31" s="216"/>
      <c r="CP31" s="216"/>
      <c r="CQ31" s="216"/>
      <c r="CS31" s="154"/>
      <c r="CT31" s="215"/>
      <c r="CU31" s="224"/>
      <c r="CV31" s="216"/>
      <c r="CW31" s="217"/>
      <c r="CX31" s="217"/>
      <c r="CY31" s="216"/>
      <c r="CZ31" s="216"/>
      <c r="DA31" s="216"/>
      <c r="DB31" s="216"/>
      <c r="DC31" s="319">
        <v>29</v>
      </c>
      <c r="DD31" s="340" t="s">
        <v>1527</v>
      </c>
      <c r="DE31" s="576" t="s">
        <v>1457</v>
      </c>
      <c r="DF31" s="576" t="s">
        <v>1528</v>
      </c>
      <c r="DG31" s="192">
        <v>16</v>
      </c>
      <c r="DH31" s="193" t="s">
        <v>97</v>
      </c>
      <c r="DI31" s="193" t="s">
        <v>688</v>
      </c>
      <c r="DJ31" s="193"/>
      <c r="DK31" s="216"/>
      <c r="DL31" s="216"/>
      <c r="JE31" s="153"/>
    </row>
    <row r="32" spans="1:265" ht="18.75" customHeight="1" thickBot="1" x14ac:dyDescent="0.3">
      <c r="A32" s="167">
        <v>12</v>
      </c>
      <c r="B32" s="261" t="s">
        <v>646</v>
      </c>
      <c r="C32" s="241" t="s">
        <v>647</v>
      </c>
      <c r="D32" s="192" t="s">
        <v>648</v>
      </c>
      <c r="E32" s="276">
        <v>54</v>
      </c>
      <c r="F32" s="276" t="s">
        <v>97</v>
      </c>
      <c r="G32" s="276" t="s">
        <v>234</v>
      </c>
      <c r="H32" s="276" t="s">
        <v>530</v>
      </c>
      <c r="J32" s="259">
        <v>12</v>
      </c>
      <c r="K32" s="249" t="s">
        <v>746</v>
      </c>
      <c r="L32" s="323" t="s">
        <v>715</v>
      </c>
      <c r="M32" s="192" t="s">
        <v>747</v>
      </c>
      <c r="N32" s="264" t="s">
        <v>742</v>
      </c>
      <c r="O32" s="264" t="s">
        <v>97</v>
      </c>
      <c r="P32" s="192" t="s">
        <v>234</v>
      </c>
      <c r="Q32" s="192" t="s">
        <v>79</v>
      </c>
      <c r="S32" s="319">
        <v>12</v>
      </c>
      <c r="T32" s="351" t="s">
        <v>858</v>
      </c>
      <c r="U32" s="347" t="s">
        <v>848</v>
      </c>
      <c r="V32" s="342" t="s">
        <v>849</v>
      </c>
      <c r="W32" s="352">
        <v>78</v>
      </c>
      <c r="X32" s="352" t="s">
        <v>97</v>
      </c>
      <c r="Y32" s="352" t="s">
        <v>235</v>
      </c>
      <c r="Z32" s="353" t="s">
        <v>122</v>
      </c>
      <c r="AC32" s="373">
        <v>12</v>
      </c>
      <c r="AD32" s="378" t="s">
        <v>919</v>
      </c>
      <c r="AE32" s="381" t="s">
        <v>885</v>
      </c>
      <c r="AF32" s="380" t="s">
        <v>921</v>
      </c>
      <c r="AG32" s="379">
        <v>27</v>
      </c>
      <c r="AH32" s="379" t="s">
        <v>97</v>
      </c>
      <c r="AI32" s="379" t="s">
        <v>235</v>
      </c>
      <c r="AJ32" s="379" t="s">
        <v>688</v>
      </c>
      <c r="AL32" s="401">
        <v>12</v>
      </c>
      <c r="AM32" s="320" t="s">
        <v>992</v>
      </c>
      <c r="AN32" s="339" t="s">
        <v>966</v>
      </c>
      <c r="AO32" s="371" t="s">
        <v>994</v>
      </c>
      <c r="AP32" s="371">
        <v>80</v>
      </c>
      <c r="AQ32" s="379" t="s">
        <v>98</v>
      </c>
      <c r="AR32" s="379" t="s">
        <v>234</v>
      </c>
      <c r="AS32" s="379" t="s">
        <v>123</v>
      </c>
      <c r="AU32" s="416">
        <v>12</v>
      </c>
      <c r="AV32" s="417" t="s">
        <v>1075</v>
      </c>
      <c r="AW32" s="360" t="s">
        <v>1076</v>
      </c>
      <c r="AX32" s="342" t="s">
        <v>1077</v>
      </c>
      <c r="AY32" s="352">
        <v>60</v>
      </c>
      <c r="AZ32" s="352" t="s">
        <v>97</v>
      </c>
      <c r="BA32" s="352" t="s">
        <v>234</v>
      </c>
      <c r="BB32" s="410" t="s">
        <v>688</v>
      </c>
      <c r="BD32" s="245">
        <v>12</v>
      </c>
      <c r="BE32" s="249" t="s">
        <v>1141</v>
      </c>
      <c r="BF32" s="241" t="s">
        <v>1135</v>
      </c>
      <c r="BG32" s="192" t="s">
        <v>1142</v>
      </c>
      <c r="BH32" s="193" t="s">
        <v>1143</v>
      </c>
      <c r="BI32" s="193" t="s">
        <v>98</v>
      </c>
      <c r="BJ32" s="192" t="s">
        <v>234</v>
      </c>
      <c r="BK32" s="374" t="s">
        <v>79</v>
      </c>
      <c r="BL32" s="375"/>
      <c r="BM32" s="375"/>
      <c r="BN32" s="375"/>
      <c r="BO32" s="442"/>
      <c r="BP32" s="155">
        <v>12</v>
      </c>
      <c r="BQ32" s="476" t="s">
        <v>1191</v>
      </c>
      <c r="BR32" s="302" t="s">
        <v>1192</v>
      </c>
      <c r="BS32" s="192" t="s">
        <v>1193</v>
      </c>
      <c r="BT32" s="192">
        <v>37</v>
      </c>
      <c r="BU32" s="193" t="s">
        <v>242</v>
      </c>
      <c r="BV32" s="192" t="s">
        <v>234</v>
      </c>
      <c r="BW32" s="194" t="s">
        <v>123</v>
      </c>
      <c r="BY32" s="154"/>
      <c r="BZ32" s="215"/>
      <c r="CA32" s="224"/>
      <c r="CB32" s="216"/>
      <c r="CC32" s="216"/>
      <c r="CD32" s="217"/>
      <c r="CE32" s="217"/>
      <c r="CF32" s="216"/>
      <c r="CI32" s="154"/>
      <c r="CJ32" s="215"/>
      <c r="CK32" s="224"/>
      <c r="CL32" s="216"/>
      <c r="CM32" s="217"/>
      <c r="CN32" s="217"/>
      <c r="CO32" s="216"/>
      <c r="CP32" s="216"/>
      <c r="CQ32" s="216"/>
      <c r="CS32" s="154"/>
      <c r="CT32" s="215"/>
      <c r="CU32" s="224"/>
      <c r="CV32" s="216"/>
      <c r="CW32" s="217"/>
      <c r="CX32" s="217"/>
      <c r="CY32" s="216"/>
      <c r="CZ32" s="216"/>
      <c r="DA32" s="216"/>
      <c r="DB32" s="539"/>
      <c r="DC32" s="319">
        <v>30</v>
      </c>
      <c r="DD32" s="340" t="s">
        <v>1529</v>
      </c>
      <c r="DE32" s="576" t="s">
        <v>1466</v>
      </c>
      <c r="DF32" s="576" t="s">
        <v>1530</v>
      </c>
      <c r="DG32" s="192">
        <v>71</v>
      </c>
      <c r="DH32" s="193" t="s">
        <v>97</v>
      </c>
      <c r="DI32" s="193" t="s">
        <v>688</v>
      </c>
      <c r="DJ32" s="193"/>
      <c r="DK32" s="216"/>
      <c r="DL32" s="216"/>
      <c r="JE32" s="153"/>
    </row>
    <row r="33" spans="1:265" ht="18.75" customHeight="1" thickBot="1" x14ac:dyDescent="0.3">
      <c r="A33" s="167">
        <v>13</v>
      </c>
      <c r="B33" s="261" t="s">
        <v>649</v>
      </c>
      <c r="C33" s="241" t="s">
        <v>650</v>
      </c>
      <c r="D33" s="192" t="s">
        <v>651</v>
      </c>
      <c r="E33" s="276">
        <v>64</v>
      </c>
      <c r="F33" s="276" t="s">
        <v>97</v>
      </c>
      <c r="G33" s="276" t="s">
        <v>234</v>
      </c>
      <c r="H33" s="276" t="s">
        <v>530</v>
      </c>
      <c r="J33" s="259">
        <v>13</v>
      </c>
      <c r="K33" s="249" t="s">
        <v>748</v>
      </c>
      <c r="L33" s="323" t="s">
        <v>749</v>
      </c>
      <c r="M33" s="192" t="s">
        <v>750</v>
      </c>
      <c r="N33" s="264">
        <v>54</v>
      </c>
      <c r="O33" s="264" t="s">
        <v>97</v>
      </c>
      <c r="P33" s="192" t="s">
        <v>234</v>
      </c>
      <c r="Q33" s="192" t="s">
        <v>122</v>
      </c>
      <c r="S33" s="319">
        <v>13</v>
      </c>
      <c r="T33" s="351" t="s">
        <v>851</v>
      </c>
      <c r="U33" s="347" t="s">
        <v>850</v>
      </c>
      <c r="V33" s="342" t="s">
        <v>852</v>
      </c>
      <c r="W33" s="352">
        <v>75</v>
      </c>
      <c r="X33" s="352" t="s">
        <v>97</v>
      </c>
      <c r="Y33" s="352" t="s">
        <v>234</v>
      </c>
      <c r="Z33" s="353" t="s">
        <v>122</v>
      </c>
      <c r="AC33" s="373">
        <v>13</v>
      </c>
      <c r="AD33" s="378" t="s">
        <v>923</v>
      </c>
      <c r="AE33" s="381" t="s">
        <v>922</v>
      </c>
      <c r="AF33" s="380" t="s">
        <v>924</v>
      </c>
      <c r="AG33" s="379">
        <v>91</v>
      </c>
      <c r="AH33" s="379" t="s">
        <v>98</v>
      </c>
      <c r="AI33" s="379" t="s">
        <v>234</v>
      </c>
      <c r="AJ33" s="379" t="s">
        <v>688</v>
      </c>
      <c r="AL33" s="401">
        <v>13</v>
      </c>
      <c r="AM33" s="320" t="s">
        <v>993</v>
      </c>
      <c r="AN33" s="339" t="s">
        <v>966</v>
      </c>
      <c r="AO33" s="371" t="s">
        <v>995</v>
      </c>
      <c r="AP33" s="371">
        <v>57</v>
      </c>
      <c r="AQ33" s="379" t="s">
        <v>98</v>
      </c>
      <c r="AR33" s="379" t="s">
        <v>235</v>
      </c>
      <c r="AS33" s="379" t="s">
        <v>123</v>
      </c>
      <c r="AU33" s="416">
        <v>13</v>
      </c>
      <c r="AV33" s="417" t="s">
        <v>1078</v>
      </c>
      <c r="AW33" s="360" t="s">
        <v>1079</v>
      </c>
      <c r="AX33" s="342" t="s">
        <v>1080</v>
      </c>
      <c r="AY33" s="352">
        <v>85</v>
      </c>
      <c r="AZ33" s="352" t="s">
        <v>97</v>
      </c>
      <c r="BA33" s="352" t="s">
        <v>234</v>
      </c>
      <c r="BB33" s="352" t="s">
        <v>688</v>
      </c>
      <c r="BD33" s="245">
        <v>13</v>
      </c>
      <c r="BE33" s="249" t="s">
        <v>1144</v>
      </c>
      <c r="BF33" s="241" t="s">
        <v>1110</v>
      </c>
      <c r="BG33" s="192" t="s">
        <v>1146</v>
      </c>
      <c r="BH33" s="193">
        <v>69</v>
      </c>
      <c r="BI33" s="193" t="s">
        <v>98</v>
      </c>
      <c r="BJ33" s="192" t="s">
        <v>234</v>
      </c>
      <c r="BK33" s="374" t="s">
        <v>688</v>
      </c>
      <c r="BL33" s="375"/>
      <c r="BM33" s="375"/>
      <c r="BN33" s="375"/>
      <c r="BO33" s="442"/>
      <c r="BP33" s="155">
        <v>13</v>
      </c>
      <c r="BQ33" s="476" t="s">
        <v>1194</v>
      </c>
      <c r="BR33" s="302" t="s">
        <v>1173</v>
      </c>
      <c r="BS33" s="192" t="s">
        <v>1195</v>
      </c>
      <c r="BT33" s="192">
        <v>53</v>
      </c>
      <c r="BU33" s="193" t="s">
        <v>242</v>
      </c>
      <c r="BV33" s="192" t="s">
        <v>234</v>
      </c>
      <c r="BW33" s="194" t="s">
        <v>123</v>
      </c>
      <c r="BY33" s="154"/>
      <c r="BZ33" s="215"/>
      <c r="CA33" s="224"/>
      <c r="CB33" s="216"/>
      <c r="CC33" s="216"/>
      <c r="CD33" s="217"/>
      <c r="CE33" s="217"/>
      <c r="CF33" s="216"/>
      <c r="CI33" s="154"/>
      <c r="CJ33" s="215"/>
      <c r="CK33" s="224"/>
      <c r="CL33" s="216"/>
      <c r="CM33" s="217"/>
      <c r="CN33" s="217"/>
      <c r="CO33" s="216"/>
      <c r="CP33" s="216"/>
      <c r="CQ33" s="216"/>
      <c r="CS33" s="154"/>
      <c r="CT33" s="215"/>
      <c r="CU33" s="224"/>
      <c r="CV33" s="216"/>
      <c r="CW33" s="217"/>
      <c r="CX33" s="217"/>
      <c r="CY33" s="216"/>
      <c r="CZ33" s="216"/>
      <c r="DA33" s="216"/>
      <c r="DB33" s="539"/>
      <c r="DC33" s="319">
        <v>31</v>
      </c>
      <c r="DD33" s="340" t="s">
        <v>1531</v>
      </c>
      <c r="DE33" s="576" t="s">
        <v>1497</v>
      </c>
      <c r="DF33" s="576" t="s">
        <v>1532</v>
      </c>
      <c r="DG33" s="192">
        <v>83</v>
      </c>
      <c r="DH33" s="193" t="s">
        <v>97</v>
      </c>
      <c r="DI33" s="193" t="s">
        <v>688</v>
      </c>
      <c r="DJ33" s="193"/>
      <c r="DK33" s="216"/>
      <c r="DL33" s="216"/>
      <c r="JE33" s="153"/>
    </row>
    <row r="34" spans="1:265" ht="18.75" customHeight="1" thickBot="1" x14ac:dyDescent="0.3">
      <c r="A34" s="167">
        <v>14</v>
      </c>
      <c r="B34" s="261" t="s">
        <v>652</v>
      </c>
      <c r="C34" s="241" t="s">
        <v>640</v>
      </c>
      <c r="D34" s="192" t="s">
        <v>654</v>
      </c>
      <c r="E34" s="276">
        <v>59</v>
      </c>
      <c r="F34" s="276" t="s">
        <v>97</v>
      </c>
      <c r="G34" s="276" t="s">
        <v>234</v>
      </c>
      <c r="H34" s="276" t="s">
        <v>530</v>
      </c>
      <c r="J34" s="259">
        <v>14</v>
      </c>
      <c r="K34" s="249" t="s">
        <v>752</v>
      </c>
      <c r="L34" s="323" t="s">
        <v>751</v>
      </c>
      <c r="M34" s="192" t="s">
        <v>754</v>
      </c>
      <c r="N34" s="264">
        <v>56</v>
      </c>
      <c r="O34" s="264" t="s">
        <v>97</v>
      </c>
      <c r="P34" s="192" t="s">
        <v>234</v>
      </c>
      <c r="Q34" s="192" t="s">
        <v>122</v>
      </c>
      <c r="S34" s="319">
        <v>14</v>
      </c>
      <c r="T34" s="351" t="s">
        <v>853</v>
      </c>
      <c r="U34" s="347" t="s">
        <v>854</v>
      </c>
      <c r="V34" s="342" t="s">
        <v>855</v>
      </c>
      <c r="W34" s="352">
        <v>39</v>
      </c>
      <c r="X34" s="352" t="s">
        <v>97</v>
      </c>
      <c r="Y34" s="352" t="s">
        <v>234</v>
      </c>
      <c r="Z34" s="353" t="s">
        <v>122</v>
      </c>
      <c r="AC34" s="373">
        <v>14</v>
      </c>
      <c r="AD34" s="378" t="s">
        <v>925</v>
      </c>
      <c r="AE34" s="381" t="s">
        <v>900</v>
      </c>
      <c r="AF34" s="380" t="s">
        <v>926</v>
      </c>
      <c r="AG34" s="379">
        <v>80</v>
      </c>
      <c r="AH34" s="379" t="s">
        <v>97</v>
      </c>
      <c r="AI34" s="379" t="s">
        <v>234</v>
      </c>
      <c r="AJ34" s="379" t="s">
        <v>688</v>
      </c>
      <c r="AL34" s="401">
        <v>14</v>
      </c>
      <c r="AM34" s="320" t="s">
        <v>996</v>
      </c>
      <c r="AN34" s="339" t="s">
        <v>969</v>
      </c>
      <c r="AO34" s="371" t="s">
        <v>997</v>
      </c>
      <c r="AP34" s="371">
        <v>85</v>
      </c>
      <c r="AQ34" s="379" t="s">
        <v>98</v>
      </c>
      <c r="AR34" s="379" t="s">
        <v>234</v>
      </c>
      <c r="AS34" s="379" t="s">
        <v>123</v>
      </c>
      <c r="AU34" s="416">
        <v>14</v>
      </c>
      <c r="AV34" s="342" t="s">
        <v>1081</v>
      </c>
      <c r="AW34" s="360" t="s">
        <v>1082</v>
      </c>
      <c r="AX34" s="342" t="s">
        <v>1083</v>
      </c>
      <c r="AY34" s="342">
        <v>75</v>
      </c>
      <c r="AZ34" s="352" t="s">
        <v>97</v>
      </c>
      <c r="BA34" s="352" t="s">
        <v>235</v>
      </c>
      <c r="BB34" s="352" t="s">
        <v>688</v>
      </c>
      <c r="BD34" s="245">
        <v>14</v>
      </c>
      <c r="BE34" s="249" t="s">
        <v>1145</v>
      </c>
      <c r="BF34" s="241" t="s">
        <v>1110</v>
      </c>
      <c r="BG34" s="192" t="s">
        <v>1147</v>
      </c>
      <c r="BH34" s="193">
        <v>43</v>
      </c>
      <c r="BI34" s="193" t="s">
        <v>98</v>
      </c>
      <c r="BJ34" s="192" t="s">
        <v>234</v>
      </c>
      <c r="BK34" s="374" t="s">
        <v>688</v>
      </c>
      <c r="BL34" s="375"/>
      <c r="BM34" s="375"/>
      <c r="BN34" s="375"/>
      <c r="BO34" s="442"/>
      <c r="BP34" s="155">
        <v>14</v>
      </c>
      <c r="BQ34" s="476" t="s">
        <v>1197</v>
      </c>
      <c r="BR34" s="302" t="s">
        <v>1196</v>
      </c>
      <c r="BS34" s="192" t="s">
        <v>1198</v>
      </c>
      <c r="BT34" s="192" t="s">
        <v>878</v>
      </c>
      <c r="BU34" s="193" t="s">
        <v>120</v>
      </c>
      <c r="BV34" s="192" t="s">
        <v>234</v>
      </c>
      <c r="BW34" s="194" t="s">
        <v>134</v>
      </c>
      <c r="BY34" s="154"/>
      <c r="BZ34" s="215"/>
      <c r="CA34" s="224"/>
      <c r="CB34" s="216"/>
      <c r="CC34" s="216"/>
      <c r="CD34" s="217"/>
      <c r="CE34" s="217"/>
      <c r="CF34" s="216"/>
      <c r="CI34" s="154"/>
      <c r="CJ34" s="215"/>
      <c r="CK34" s="224"/>
      <c r="CL34" s="216"/>
      <c r="CM34" s="217"/>
      <c r="CN34" s="217"/>
      <c r="CO34" s="216"/>
      <c r="CP34" s="216"/>
      <c r="CQ34" s="216"/>
      <c r="CS34" s="154"/>
      <c r="CT34" s="215"/>
      <c r="CU34" s="224"/>
      <c r="CV34" s="216"/>
      <c r="CW34" s="217"/>
      <c r="CX34" s="217"/>
      <c r="CY34" s="216"/>
      <c r="CZ34" s="216"/>
      <c r="DA34" s="216"/>
      <c r="DB34" s="539"/>
      <c r="DC34" s="319">
        <v>32</v>
      </c>
      <c r="DD34" s="340" t="s">
        <v>1533</v>
      </c>
      <c r="DE34" s="576" t="s">
        <v>1478</v>
      </c>
      <c r="DF34" s="576" t="s">
        <v>1534</v>
      </c>
      <c r="DG34" s="192">
        <v>58</v>
      </c>
      <c r="DH34" s="193" t="s">
        <v>98</v>
      </c>
      <c r="DI34" s="193" t="s">
        <v>688</v>
      </c>
      <c r="DJ34" s="193"/>
      <c r="DK34" s="216"/>
      <c r="DL34" s="216"/>
      <c r="JE34" s="153"/>
    </row>
    <row r="35" spans="1:265" ht="18.75" customHeight="1" thickBot="1" x14ac:dyDescent="0.3">
      <c r="A35" s="167">
        <v>15</v>
      </c>
      <c r="B35" s="261" t="s">
        <v>653</v>
      </c>
      <c r="C35" s="241" t="s">
        <v>640</v>
      </c>
      <c r="D35" s="192" t="s">
        <v>655</v>
      </c>
      <c r="E35" s="276">
        <v>63</v>
      </c>
      <c r="F35" s="276" t="s">
        <v>97</v>
      </c>
      <c r="G35" s="276" t="s">
        <v>235</v>
      </c>
      <c r="H35" s="276" t="s">
        <v>530</v>
      </c>
      <c r="J35" s="155">
        <v>15</v>
      </c>
      <c r="K35" s="329" t="s">
        <v>753</v>
      </c>
      <c r="L35" s="323" t="s">
        <v>751</v>
      </c>
      <c r="M35" s="223" t="s">
        <v>755</v>
      </c>
      <c r="N35" s="325">
        <v>66</v>
      </c>
      <c r="O35" s="325" t="s">
        <v>97</v>
      </c>
      <c r="P35" s="223" t="s">
        <v>234</v>
      </c>
      <c r="Q35" s="192" t="s">
        <v>122</v>
      </c>
      <c r="S35" s="319">
        <v>15</v>
      </c>
      <c r="T35" s="351" t="s">
        <v>856</v>
      </c>
      <c r="U35" s="347" t="s">
        <v>840</v>
      </c>
      <c r="V35" s="342" t="s">
        <v>857</v>
      </c>
      <c r="W35" s="352">
        <v>75</v>
      </c>
      <c r="X35" s="352" t="s">
        <v>97</v>
      </c>
      <c r="Y35" s="352" t="s">
        <v>235</v>
      </c>
      <c r="Z35" s="353" t="s">
        <v>122</v>
      </c>
      <c r="AC35" s="374">
        <v>15</v>
      </c>
      <c r="AD35" s="378" t="s">
        <v>927</v>
      </c>
      <c r="AE35" s="339" t="s">
        <v>882</v>
      </c>
      <c r="AF35" s="371" t="s">
        <v>928</v>
      </c>
      <c r="AG35" s="371" t="s">
        <v>184</v>
      </c>
      <c r="AH35" s="379" t="s">
        <v>98</v>
      </c>
      <c r="AI35" s="379" t="s">
        <v>234</v>
      </c>
      <c r="AJ35" s="379" t="s">
        <v>79</v>
      </c>
      <c r="AL35" s="401">
        <v>15</v>
      </c>
      <c r="AM35" s="320" t="s">
        <v>999</v>
      </c>
      <c r="AN35" s="339" t="s">
        <v>998</v>
      </c>
      <c r="AO35" s="371" t="s">
        <v>1000</v>
      </c>
      <c r="AP35" s="371">
        <v>31</v>
      </c>
      <c r="AQ35" s="379" t="s">
        <v>98</v>
      </c>
      <c r="AR35" s="379" t="s">
        <v>234</v>
      </c>
      <c r="AS35" s="379" t="s">
        <v>123</v>
      </c>
      <c r="AU35" s="416">
        <v>15</v>
      </c>
      <c r="AV35" s="342" t="s">
        <v>1084</v>
      </c>
      <c r="AW35" s="360" t="s">
        <v>1069</v>
      </c>
      <c r="AX35" s="342" t="s">
        <v>1085</v>
      </c>
      <c r="AY35" s="342">
        <v>49</v>
      </c>
      <c r="AZ35" s="352" t="s">
        <v>98</v>
      </c>
      <c r="BA35" s="352" t="s">
        <v>235</v>
      </c>
      <c r="BB35" s="352" t="s">
        <v>688</v>
      </c>
      <c r="BD35" s="245">
        <v>15</v>
      </c>
      <c r="BE35" s="249" t="s">
        <v>1148</v>
      </c>
      <c r="BF35" s="241" t="s">
        <v>1139</v>
      </c>
      <c r="BG35" s="192" t="s">
        <v>1150</v>
      </c>
      <c r="BH35" s="193">
        <v>67</v>
      </c>
      <c r="BI35" s="193" t="s">
        <v>97</v>
      </c>
      <c r="BJ35" s="192" t="s">
        <v>234</v>
      </c>
      <c r="BK35" s="374" t="s">
        <v>688</v>
      </c>
      <c r="BL35" s="375"/>
      <c r="BM35" s="375"/>
      <c r="BN35" s="375"/>
      <c r="BO35" s="442"/>
      <c r="BP35" s="155">
        <v>15</v>
      </c>
      <c r="BQ35" s="476" t="s">
        <v>1199</v>
      </c>
      <c r="BR35" s="302" t="s">
        <v>1165</v>
      </c>
      <c r="BS35" s="192" t="s">
        <v>1200</v>
      </c>
      <c r="BT35" s="192" t="s">
        <v>172</v>
      </c>
      <c r="BU35" s="193" t="s">
        <v>120</v>
      </c>
      <c r="BV35" s="192" t="s">
        <v>234</v>
      </c>
      <c r="BW35" s="194" t="s">
        <v>79</v>
      </c>
      <c r="BY35" s="154"/>
      <c r="BZ35" s="215"/>
      <c r="CA35" s="224"/>
      <c r="CB35" s="216"/>
      <c r="CC35" s="216"/>
      <c r="CD35" s="217"/>
      <c r="CE35" s="217"/>
      <c r="CF35" s="216"/>
      <c r="CI35" s="154"/>
      <c r="CJ35" s="215"/>
      <c r="CK35" s="224"/>
      <c r="CL35" s="216"/>
      <c r="CM35" s="217"/>
      <c r="CN35" s="217"/>
      <c r="CO35" s="216"/>
      <c r="CP35" s="216"/>
      <c r="CQ35" s="216"/>
      <c r="CS35" s="154"/>
      <c r="CT35" s="215"/>
      <c r="CU35" s="224"/>
      <c r="CV35" s="216"/>
      <c r="CW35" s="217"/>
      <c r="CX35" s="217"/>
      <c r="CY35" s="216"/>
      <c r="CZ35" s="216"/>
      <c r="DA35" s="216"/>
      <c r="DB35" s="539"/>
      <c r="DC35" s="319">
        <v>33</v>
      </c>
      <c r="DD35" s="590" t="s">
        <v>1535</v>
      </c>
      <c r="DE35" s="577" t="s">
        <v>1536</v>
      </c>
      <c r="DF35" s="577" t="s">
        <v>1537</v>
      </c>
      <c r="DG35" s="192">
        <v>49</v>
      </c>
      <c r="DH35" s="193" t="s">
        <v>97</v>
      </c>
      <c r="DI35" s="193" t="s">
        <v>688</v>
      </c>
      <c r="DJ35" s="193"/>
      <c r="DK35" s="216"/>
      <c r="DL35" s="216"/>
      <c r="JE35" s="153"/>
    </row>
    <row r="36" spans="1:265" ht="18.75" customHeight="1" thickBot="1" x14ac:dyDescent="0.3">
      <c r="A36" s="167">
        <v>16</v>
      </c>
      <c r="B36" s="261" t="s">
        <v>656</v>
      </c>
      <c r="C36" s="241" t="s">
        <v>657</v>
      </c>
      <c r="D36" s="192" t="s">
        <v>658</v>
      </c>
      <c r="E36" s="276">
        <v>68</v>
      </c>
      <c r="F36" s="276" t="s">
        <v>97</v>
      </c>
      <c r="G36" s="276" t="s">
        <v>234</v>
      </c>
      <c r="H36" s="276" t="s">
        <v>530</v>
      </c>
      <c r="J36" s="155">
        <v>16</v>
      </c>
      <c r="K36" s="330" t="s">
        <v>757</v>
      </c>
      <c r="L36" s="324" t="s">
        <v>728</v>
      </c>
      <c r="M36" s="192" t="s">
        <v>756</v>
      </c>
      <c r="N36" s="264">
        <v>51</v>
      </c>
      <c r="O36" s="264" t="s">
        <v>97</v>
      </c>
      <c r="P36" s="192" t="s">
        <v>235</v>
      </c>
      <c r="Q36" s="192" t="s">
        <v>122</v>
      </c>
      <c r="S36" s="354">
        <v>16</v>
      </c>
      <c r="T36" s="351" t="s">
        <v>814</v>
      </c>
      <c r="U36" s="347" t="s">
        <v>815</v>
      </c>
      <c r="V36" s="342" t="s">
        <v>816</v>
      </c>
      <c r="W36" s="352">
        <v>68</v>
      </c>
      <c r="X36" s="352" t="s">
        <v>97</v>
      </c>
      <c r="Y36" s="352" t="s">
        <v>234</v>
      </c>
      <c r="Z36" s="353" t="s">
        <v>122</v>
      </c>
      <c r="AC36" s="374">
        <v>16</v>
      </c>
      <c r="AD36" s="378" t="s">
        <v>929</v>
      </c>
      <c r="AE36" s="339" t="s">
        <v>905</v>
      </c>
      <c r="AF36" s="371" t="s">
        <v>930</v>
      </c>
      <c r="AG36" s="371" t="s">
        <v>694</v>
      </c>
      <c r="AH36" s="379" t="s">
        <v>97</v>
      </c>
      <c r="AI36" s="379" t="s">
        <v>234</v>
      </c>
      <c r="AJ36" s="379" t="s">
        <v>79</v>
      </c>
      <c r="AL36" s="401">
        <v>16</v>
      </c>
      <c r="AM36" s="400" t="s">
        <v>1001</v>
      </c>
      <c r="AN36" s="339" t="s">
        <v>1002</v>
      </c>
      <c r="AO36" s="371" t="s">
        <v>1003</v>
      </c>
      <c r="AP36" s="371">
        <v>65</v>
      </c>
      <c r="AQ36" s="379" t="s">
        <v>98</v>
      </c>
      <c r="AR36" s="379" t="s">
        <v>234</v>
      </c>
      <c r="AS36" s="379" t="s">
        <v>123</v>
      </c>
      <c r="AU36" s="416">
        <v>16</v>
      </c>
      <c r="AV36" s="342" t="s">
        <v>1086</v>
      </c>
      <c r="AW36" s="360" t="s">
        <v>1087</v>
      </c>
      <c r="AX36" s="342" t="s">
        <v>1088</v>
      </c>
      <c r="AY36" s="342">
        <v>105</v>
      </c>
      <c r="AZ36" s="352" t="s">
        <v>98</v>
      </c>
      <c r="BA36" s="352" t="s">
        <v>234</v>
      </c>
      <c r="BB36" s="352" t="s">
        <v>688</v>
      </c>
      <c r="BD36" s="245">
        <v>16</v>
      </c>
      <c r="BE36" s="250" t="s">
        <v>1149</v>
      </c>
      <c r="BF36" s="241" t="s">
        <v>1139</v>
      </c>
      <c r="BG36" s="225" t="s">
        <v>1151</v>
      </c>
      <c r="BH36" s="227">
        <v>86</v>
      </c>
      <c r="BI36" s="227" t="s">
        <v>98</v>
      </c>
      <c r="BJ36" s="225" t="s">
        <v>234</v>
      </c>
      <c r="BK36" s="374" t="s">
        <v>688</v>
      </c>
      <c r="BL36" s="375"/>
      <c r="BM36" s="375"/>
      <c r="BN36" s="375"/>
      <c r="BO36" s="442"/>
      <c r="BP36" s="155">
        <v>16</v>
      </c>
      <c r="BQ36" s="476" t="s">
        <v>1201</v>
      </c>
      <c r="BR36" s="302" t="s">
        <v>1202</v>
      </c>
      <c r="BS36" s="192" t="s">
        <v>1203</v>
      </c>
      <c r="BT36" s="192" t="s">
        <v>1204</v>
      </c>
      <c r="BU36" s="193" t="s">
        <v>120</v>
      </c>
      <c r="BV36" s="192" t="s">
        <v>234</v>
      </c>
      <c r="BW36" s="194" t="s">
        <v>79</v>
      </c>
      <c r="BY36" s="154"/>
      <c r="CI36" s="154"/>
      <c r="CJ36" s="215"/>
      <c r="CK36" s="224"/>
      <c r="CL36" s="216"/>
      <c r="CM36" s="217"/>
      <c r="CN36" s="217"/>
      <c r="CO36" s="216"/>
      <c r="CP36" s="216"/>
      <c r="CQ36" s="216"/>
      <c r="CS36" s="154"/>
      <c r="CT36" s="539"/>
      <c r="CU36" s="539"/>
      <c r="CV36" s="539"/>
      <c r="CW36" s="539"/>
      <c r="CX36" s="540"/>
      <c r="CY36" s="216"/>
      <c r="CZ36" s="216"/>
      <c r="DA36" s="216"/>
      <c r="DB36" s="539"/>
      <c r="DD36" s="591"/>
      <c r="DE36" s="578"/>
      <c r="DF36" s="578"/>
      <c r="DG36" s="224"/>
      <c r="DH36" s="217"/>
      <c r="DI36" s="217"/>
      <c r="DJ36" s="217"/>
      <c r="DK36" s="216"/>
      <c r="DL36" s="216"/>
      <c r="JE36" s="153"/>
    </row>
    <row r="37" spans="1:265" ht="18.75" customHeight="1" x14ac:dyDescent="0.25">
      <c r="A37" s="167">
        <v>17</v>
      </c>
      <c r="B37" s="261" t="s">
        <v>659</v>
      </c>
      <c r="C37" s="241" t="s">
        <v>613</v>
      </c>
      <c r="D37" s="192" t="s">
        <v>660</v>
      </c>
      <c r="E37" s="276">
        <v>52</v>
      </c>
      <c r="F37" s="276" t="s">
        <v>97</v>
      </c>
      <c r="G37" s="276" t="s">
        <v>234</v>
      </c>
      <c r="H37" s="276" t="s">
        <v>530</v>
      </c>
      <c r="J37" s="155">
        <v>17</v>
      </c>
      <c r="K37" s="330" t="s">
        <v>758</v>
      </c>
      <c r="L37" s="324" t="s">
        <v>759</v>
      </c>
      <c r="M37" s="192" t="s">
        <v>760</v>
      </c>
      <c r="N37" s="264">
        <v>57</v>
      </c>
      <c r="O37" s="264" t="s">
        <v>97</v>
      </c>
      <c r="P37" s="192" t="s">
        <v>234</v>
      </c>
      <c r="Q37" s="192" t="s">
        <v>122</v>
      </c>
      <c r="S37" s="319">
        <v>17</v>
      </c>
      <c r="T37" s="355" t="s">
        <v>817</v>
      </c>
      <c r="U37" s="356" t="s">
        <v>818</v>
      </c>
      <c r="V37" s="357" t="s">
        <v>819</v>
      </c>
      <c r="W37" s="358">
        <v>78</v>
      </c>
      <c r="X37" s="358" t="s">
        <v>97</v>
      </c>
      <c r="Y37" s="358" t="s">
        <v>235</v>
      </c>
      <c r="Z37" s="359" t="s">
        <v>122</v>
      </c>
      <c r="AC37" s="374">
        <v>17</v>
      </c>
      <c r="AD37" s="378" t="s">
        <v>938</v>
      </c>
      <c r="AE37" s="339" t="s">
        <v>939</v>
      </c>
      <c r="AF37" s="371" t="s">
        <v>940</v>
      </c>
      <c r="AG37" s="371">
        <v>64</v>
      </c>
      <c r="AH37" s="379" t="s">
        <v>98</v>
      </c>
      <c r="AI37" s="379" t="s">
        <v>234</v>
      </c>
      <c r="AJ37" s="379" t="s">
        <v>123</v>
      </c>
      <c r="AL37" s="401">
        <v>17</v>
      </c>
      <c r="AM37" s="400" t="s">
        <v>1004</v>
      </c>
      <c r="AN37" s="339" t="s">
        <v>974</v>
      </c>
      <c r="AO37" s="371" t="s">
        <v>1007</v>
      </c>
      <c r="AP37" s="371">
        <v>62</v>
      </c>
      <c r="AQ37" s="379" t="s">
        <v>98</v>
      </c>
      <c r="AR37" s="379" t="s">
        <v>234</v>
      </c>
      <c r="AS37" s="379" t="s">
        <v>123</v>
      </c>
      <c r="AU37" s="418"/>
      <c r="BD37" s="154"/>
      <c r="BE37" s="464"/>
      <c r="BF37" s="222"/>
      <c r="BH37" s="298"/>
      <c r="BI37" s="298"/>
      <c r="BK37" s="375"/>
      <c r="BL37" s="375"/>
      <c r="BM37" s="375"/>
      <c r="BN37" s="375"/>
      <c r="BO37" s="443"/>
      <c r="BP37" s="155">
        <v>17</v>
      </c>
      <c r="BQ37" s="476" t="s">
        <v>1205</v>
      </c>
      <c r="BR37" s="302" t="s">
        <v>1207</v>
      </c>
      <c r="BS37" s="192" t="s">
        <v>1208</v>
      </c>
      <c r="BT37" s="192">
        <v>71</v>
      </c>
      <c r="BU37" s="193" t="s">
        <v>242</v>
      </c>
      <c r="BV37" s="192" t="s">
        <v>234</v>
      </c>
      <c r="BW37" s="194" t="s">
        <v>688</v>
      </c>
      <c r="BY37" s="154"/>
      <c r="CI37" s="154"/>
      <c r="CJ37" s="215"/>
      <c r="CK37" s="224"/>
      <c r="CL37" s="216"/>
      <c r="CM37" s="217"/>
      <c r="CN37" s="217"/>
      <c r="CO37" s="216"/>
      <c r="CP37" s="216"/>
      <c r="CQ37" s="216"/>
      <c r="CS37" s="154"/>
      <c r="CT37" s="215"/>
      <c r="CU37" s="224"/>
      <c r="CV37" s="216"/>
      <c r="CW37" s="217"/>
      <c r="CX37" s="217"/>
      <c r="CY37" s="216"/>
      <c r="CZ37" s="216"/>
      <c r="DA37" s="216"/>
      <c r="DB37" s="216"/>
      <c r="DE37" s="579"/>
      <c r="DF37" s="579"/>
      <c r="DG37" s="224"/>
      <c r="DH37" s="217"/>
      <c r="DI37" s="217"/>
      <c r="DJ37" s="217"/>
      <c r="DK37" s="216"/>
      <c r="DL37" s="216"/>
      <c r="JE37" s="153"/>
    </row>
    <row r="38" spans="1:265" ht="18.75" customHeight="1" x14ac:dyDescent="0.25">
      <c r="A38" s="167">
        <v>18</v>
      </c>
      <c r="B38" s="261" t="s">
        <v>661</v>
      </c>
      <c r="C38" s="241" t="s">
        <v>662</v>
      </c>
      <c r="D38" s="192" t="s">
        <v>663</v>
      </c>
      <c r="E38" s="276">
        <v>38</v>
      </c>
      <c r="F38" s="276" t="s">
        <v>97</v>
      </c>
      <c r="G38" s="276" t="s">
        <v>234</v>
      </c>
      <c r="H38" s="276" t="s">
        <v>530</v>
      </c>
      <c r="J38" s="155">
        <v>18</v>
      </c>
      <c r="K38" s="330" t="s">
        <v>761</v>
      </c>
      <c r="L38" s="324" t="s">
        <v>744</v>
      </c>
      <c r="M38" s="192" t="s">
        <v>762</v>
      </c>
      <c r="N38" s="264">
        <v>89</v>
      </c>
      <c r="O38" s="264" t="s">
        <v>97</v>
      </c>
      <c r="P38" s="192" t="s">
        <v>234</v>
      </c>
      <c r="Q38" s="192" t="s">
        <v>122</v>
      </c>
      <c r="S38" s="371">
        <v>18</v>
      </c>
      <c r="T38" s="320" t="s">
        <v>820</v>
      </c>
      <c r="U38" s="360" t="s">
        <v>809</v>
      </c>
      <c r="V38" s="342" t="s">
        <v>821</v>
      </c>
      <c r="W38" s="352">
        <v>44</v>
      </c>
      <c r="X38" s="352" t="s">
        <v>97</v>
      </c>
      <c r="Y38" s="368" t="s">
        <v>234</v>
      </c>
      <c r="Z38" s="342" t="s">
        <v>122</v>
      </c>
      <c r="AC38" s="374">
        <v>18</v>
      </c>
      <c r="AD38" s="378" t="s">
        <v>942</v>
      </c>
      <c r="AE38" s="339" t="s">
        <v>941</v>
      </c>
      <c r="AF38" s="371" t="s">
        <v>944</v>
      </c>
      <c r="AG38" s="371">
        <v>65</v>
      </c>
      <c r="AH38" s="379" t="s">
        <v>98</v>
      </c>
      <c r="AI38" s="379" t="s">
        <v>234</v>
      </c>
      <c r="AJ38" s="379" t="s">
        <v>123</v>
      </c>
      <c r="AL38" s="401">
        <v>18</v>
      </c>
      <c r="AM38" s="400" t="s">
        <v>1010</v>
      </c>
      <c r="AN38" s="339" t="s">
        <v>1006</v>
      </c>
      <c r="AO38" s="371" t="s">
        <v>1012</v>
      </c>
      <c r="AP38" s="371">
        <v>75</v>
      </c>
      <c r="AQ38" s="379" t="s">
        <v>98</v>
      </c>
      <c r="AR38" s="379" t="s">
        <v>234</v>
      </c>
      <c r="AS38" s="379" t="s">
        <v>123</v>
      </c>
      <c r="AU38" s="418"/>
      <c r="BD38" s="154"/>
      <c r="BE38" s="464"/>
      <c r="BF38" s="222"/>
      <c r="BH38" s="298"/>
      <c r="BI38" s="298"/>
      <c r="BK38" s="375"/>
      <c r="BL38" s="375"/>
      <c r="BM38" s="375"/>
      <c r="BN38" s="375"/>
      <c r="BO38" s="443"/>
      <c r="BP38" s="155">
        <v>18</v>
      </c>
      <c r="BQ38" s="153" t="s">
        <v>1206</v>
      </c>
      <c r="BR38" s="302" t="s">
        <v>1207</v>
      </c>
      <c r="BS38" s="192" t="s">
        <v>1209</v>
      </c>
      <c r="BT38" s="192">
        <v>96</v>
      </c>
      <c r="BU38" s="193" t="s">
        <v>242</v>
      </c>
      <c r="BV38" s="192" t="s">
        <v>234</v>
      </c>
      <c r="BW38" s="194" t="s">
        <v>688</v>
      </c>
      <c r="BY38" s="154"/>
      <c r="CI38" s="154"/>
      <c r="CJ38" s="215"/>
      <c r="CK38" s="224"/>
      <c r="CL38" s="216"/>
      <c r="CM38" s="217"/>
      <c r="CN38" s="217"/>
      <c r="CO38" s="216"/>
      <c r="CP38" s="216"/>
      <c r="CQ38" s="216"/>
      <c r="CS38" s="154"/>
      <c r="CT38" s="215"/>
      <c r="CU38" s="224"/>
      <c r="CV38" s="216"/>
      <c r="CW38" s="217"/>
      <c r="CX38" s="217"/>
      <c r="CY38" s="216"/>
      <c r="CZ38" s="216"/>
      <c r="DA38" s="216"/>
      <c r="DB38" s="216"/>
      <c r="DE38" s="579"/>
      <c r="DF38" s="579"/>
      <c r="DG38" s="224"/>
      <c r="DH38" s="217"/>
      <c r="DI38" s="217"/>
      <c r="DJ38" s="217"/>
      <c r="DK38" s="216"/>
      <c r="DL38" s="216"/>
      <c r="JE38" s="153"/>
    </row>
    <row r="39" spans="1:265" ht="18.75" customHeight="1" x14ac:dyDescent="0.25">
      <c r="A39" s="167">
        <v>19</v>
      </c>
      <c r="B39" s="259" t="s">
        <v>664</v>
      </c>
      <c r="C39" s="226" t="s">
        <v>665</v>
      </c>
      <c r="D39" s="287" t="s">
        <v>666</v>
      </c>
      <c r="E39" s="286">
        <v>56</v>
      </c>
      <c r="F39" s="286" t="s">
        <v>98</v>
      </c>
      <c r="G39" s="286" t="s">
        <v>235</v>
      </c>
      <c r="H39" s="286" t="s">
        <v>123</v>
      </c>
      <c r="J39" s="155">
        <v>19</v>
      </c>
      <c r="K39" s="330" t="s">
        <v>765</v>
      </c>
      <c r="L39" s="324" t="s">
        <v>763</v>
      </c>
      <c r="M39" s="192" t="s">
        <v>764</v>
      </c>
      <c r="N39" s="264">
        <v>68</v>
      </c>
      <c r="O39" s="264" t="s">
        <v>97</v>
      </c>
      <c r="P39" s="192" t="s">
        <v>234</v>
      </c>
      <c r="Q39" s="192" t="s">
        <v>122</v>
      </c>
      <c r="S39" s="371">
        <v>19</v>
      </c>
      <c r="T39" s="371" t="s">
        <v>873</v>
      </c>
      <c r="U39" s="285" t="s">
        <v>835</v>
      </c>
      <c r="V39" s="225" t="s">
        <v>862</v>
      </c>
      <c r="W39" s="225">
        <v>75</v>
      </c>
      <c r="X39" s="227" t="s">
        <v>98</v>
      </c>
      <c r="Y39" s="227" t="s">
        <v>234</v>
      </c>
      <c r="Z39" s="225" t="s">
        <v>123</v>
      </c>
      <c r="AC39" s="374">
        <v>19</v>
      </c>
      <c r="AD39" s="378" t="s">
        <v>943</v>
      </c>
      <c r="AE39" s="339" t="s">
        <v>941</v>
      </c>
      <c r="AF39" s="371" t="s">
        <v>945</v>
      </c>
      <c r="AG39" s="371">
        <v>65</v>
      </c>
      <c r="AH39" s="379" t="s">
        <v>98</v>
      </c>
      <c r="AI39" s="379" t="s">
        <v>234</v>
      </c>
      <c r="AJ39" s="379" t="s">
        <v>123</v>
      </c>
      <c r="AL39" s="401">
        <v>19</v>
      </c>
      <c r="AM39" s="400" t="s">
        <v>1011</v>
      </c>
      <c r="AN39" s="339" t="s">
        <v>1006</v>
      </c>
      <c r="AO39" s="371" t="s">
        <v>1013</v>
      </c>
      <c r="AP39" s="371">
        <v>70</v>
      </c>
      <c r="AQ39" s="379" t="s">
        <v>98</v>
      </c>
      <c r="AR39" s="379" t="s">
        <v>235</v>
      </c>
      <c r="AS39" s="379" t="s">
        <v>123</v>
      </c>
      <c r="AU39" s="418"/>
      <c r="BD39" s="154"/>
      <c r="BE39" s="464"/>
      <c r="BF39" s="222"/>
      <c r="BH39" s="298"/>
      <c r="BI39" s="298"/>
      <c r="BK39" s="375"/>
      <c r="BL39" s="375"/>
      <c r="BM39" s="375"/>
      <c r="BN39" s="375"/>
      <c r="BO39" s="443"/>
      <c r="BP39" s="259">
        <v>19</v>
      </c>
      <c r="BQ39" s="478" t="s">
        <v>1216</v>
      </c>
      <c r="BR39" s="472" t="s">
        <v>1158</v>
      </c>
      <c r="BS39" s="192" t="s">
        <v>1210</v>
      </c>
      <c r="BT39" s="192">
        <v>65</v>
      </c>
      <c r="BU39" s="193" t="s">
        <v>120</v>
      </c>
      <c r="BV39" s="192" t="s">
        <v>234</v>
      </c>
      <c r="BW39" s="192" t="s">
        <v>688</v>
      </c>
      <c r="BY39" s="154"/>
      <c r="CI39" s="154"/>
      <c r="CJ39" s="215"/>
      <c r="CK39" s="224"/>
      <c r="CL39" s="216"/>
      <c r="CM39" s="217"/>
      <c r="CN39" s="217"/>
      <c r="CO39" s="216"/>
      <c r="CP39" s="216"/>
      <c r="CQ39" s="216"/>
      <c r="CS39" s="154"/>
      <c r="CT39" s="215"/>
      <c r="CU39" s="224"/>
      <c r="CV39" s="216"/>
      <c r="CW39" s="217"/>
      <c r="CX39" s="217"/>
      <c r="CY39" s="216"/>
      <c r="CZ39" s="216"/>
      <c r="DA39" s="216"/>
      <c r="DB39" s="216"/>
      <c r="DE39" s="579"/>
      <c r="DF39" s="579"/>
      <c r="DG39" s="224"/>
      <c r="DH39" s="217"/>
      <c r="DI39" s="217"/>
      <c r="DJ39" s="217"/>
      <c r="DK39" s="216"/>
      <c r="DL39" s="216"/>
      <c r="JE39" s="153"/>
    </row>
    <row r="40" spans="1:265" ht="18.75" customHeight="1" x14ac:dyDescent="0.25">
      <c r="A40" s="167">
        <v>20</v>
      </c>
      <c r="B40" s="259" t="s">
        <v>667</v>
      </c>
      <c r="C40" s="226" t="s">
        <v>647</v>
      </c>
      <c r="D40" s="287" t="s">
        <v>668</v>
      </c>
      <c r="E40" s="286">
        <v>79</v>
      </c>
      <c r="F40" s="286" t="s">
        <v>98</v>
      </c>
      <c r="G40" s="286" t="s">
        <v>234</v>
      </c>
      <c r="H40" s="286" t="s">
        <v>123</v>
      </c>
      <c r="J40" s="155">
        <v>20</v>
      </c>
      <c r="K40" s="330" t="s">
        <v>769</v>
      </c>
      <c r="L40" s="324" t="s">
        <v>766</v>
      </c>
      <c r="M40" s="192" t="s">
        <v>767</v>
      </c>
      <c r="N40" s="264">
        <v>74</v>
      </c>
      <c r="O40" s="264" t="s">
        <v>97</v>
      </c>
      <c r="P40" s="192" t="s">
        <v>234</v>
      </c>
      <c r="Q40" s="192" t="s">
        <v>122</v>
      </c>
      <c r="S40" s="371">
        <v>20</v>
      </c>
      <c r="T40" s="371" t="s">
        <v>863</v>
      </c>
      <c r="U40" s="226" t="s">
        <v>864</v>
      </c>
      <c r="V40" s="225" t="s">
        <v>865</v>
      </c>
      <c r="W40" s="225">
        <v>35</v>
      </c>
      <c r="X40" s="227" t="s">
        <v>98</v>
      </c>
      <c r="Y40" s="227" t="s">
        <v>234</v>
      </c>
      <c r="Z40" s="225" t="s">
        <v>123</v>
      </c>
      <c r="AC40" s="374">
        <v>20</v>
      </c>
      <c r="AD40" s="378" t="s">
        <v>946</v>
      </c>
      <c r="AE40" s="339" t="s">
        <v>947</v>
      </c>
      <c r="AF40" s="371" t="s">
        <v>948</v>
      </c>
      <c r="AG40" s="371">
        <v>25</v>
      </c>
      <c r="AH40" s="379" t="s">
        <v>98</v>
      </c>
      <c r="AI40" s="379" t="s">
        <v>235</v>
      </c>
      <c r="AJ40" s="379" t="s">
        <v>123</v>
      </c>
      <c r="AL40" s="401">
        <v>20</v>
      </c>
      <c r="AM40" s="400" t="s">
        <v>1015</v>
      </c>
      <c r="AN40" s="339" t="s">
        <v>1014</v>
      </c>
      <c r="AO40" s="371" t="s">
        <v>1016</v>
      </c>
      <c r="AP40" s="371">
        <v>67</v>
      </c>
      <c r="AQ40" s="379" t="s">
        <v>98</v>
      </c>
      <c r="AR40" s="379" t="s">
        <v>234</v>
      </c>
      <c r="AS40" s="379" t="s">
        <v>123</v>
      </c>
      <c r="AU40" s="418"/>
      <c r="BD40" s="154"/>
      <c r="BE40" s="332"/>
      <c r="BF40" s="224"/>
      <c r="BG40" s="216"/>
      <c r="BH40" s="217"/>
      <c r="BI40" s="217"/>
      <c r="BJ40" s="216"/>
      <c r="BK40" s="375"/>
      <c r="BL40" s="375"/>
      <c r="BM40" s="375"/>
      <c r="BN40" s="375"/>
      <c r="BO40" s="442"/>
      <c r="BP40" s="259">
        <v>20</v>
      </c>
      <c r="BQ40" s="478" t="s">
        <v>1211</v>
      </c>
      <c r="BR40" s="472" t="s">
        <v>1183</v>
      </c>
      <c r="BS40" s="192" t="s">
        <v>1212</v>
      </c>
      <c r="BT40" s="192">
        <v>26</v>
      </c>
      <c r="BU40" s="193" t="s">
        <v>242</v>
      </c>
      <c r="BV40" s="192" t="s">
        <v>234</v>
      </c>
      <c r="BW40" s="192" t="s">
        <v>688</v>
      </c>
      <c r="BY40" s="154"/>
      <c r="BZ40" s="215"/>
      <c r="CA40" s="224"/>
      <c r="CB40" s="216"/>
      <c r="CC40" s="216"/>
      <c r="CD40" s="217"/>
      <c r="CE40" s="217"/>
      <c r="CF40" s="216"/>
      <c r="CI40" s="154"/>
      <c r="CJ40" s="215"/>
      <c r="CK40" s="224"/>
      <c r="CL40" s="216"/>
      <c r="CM40" s="217"/>
      <c r="CN40" s="217"/>
      <c r="CO40" s="216"/>
      <c r="CP40" s="216"/>
      <c r="CQ40" s="216"/>
      <c r="CS40" s="154"/>
      <c r="CT40" s="215"/>
      <c r="CU40" s="224"/>
      <c r="CV40" s="216"/>
      <c r="CW40" s="217"/>
      <c r="CX40" s="217"/>
      <c r="CY40" s="216"/>
      <c r="CZ40" s="216"/>
      <c r="DA40" s="216"/>
      <c r="DB40" s="216"/>
      <c r="DE40" s="579"/>
      <c r="DF40" s="579"/>
      <c r="DG40" s="224"/>
      <c r="DH40" s="217"/>
      <c r="DI40" s="217"/>
      <c r="DJ40" s="217"/>
      <c r="DK40" s="216"/>
      <c r="DL40" s="216"/>
      <c r="JE40" s="153"/>
    </row>
    <row r="41" spans="1:265" ht="18.75" customHeight="1" x14ac:dyDescent="0.25">
      <c r="A41" s="259">
        <v>21</v>
      </c>
      <c r="B41" s="259" t="s">
        <v>669</v>
      </c>
      <c r="C41" s="226" t="s">
        <v>670</v>
      </c>
      <c r="D41" s="225" t="s">
        <v>671</v>
      </c>
      <c r="E41" s="225">
        <v>79</v>
      </c>
      <c r="F41" s="286" t="s">
        <v>98</v>
      </c>
      <c r="G41" s="225" t="s">
        <v>234</v>
      </c>
      <c r="H41" s="286" t="s">
        <v>123</v>
      </c>
      <c r="J41" s="259">
        <v>21</v>
      </c>
      <c r="K41" s="249" t="s">
        <v>770</v>
      </c>
      <c r="L41" s="323" t="s">
        <v>766</v>
      </c>
      <c r="M41" s="192" t="s">
        <v>768</v>
      </c>
      <c r="N41" s="264">
        <v>50</v>
      </c>
      <c r="O41" s="264" t="s">
        <v>97</v>
      </c>
      <c r="P41" s="192" t="s">
        <v>234</v>
      </c>
      <c r="Q41" s="192" t="s">
        <v>122</v>
      </c>
      <c r="S41" s="371">
        <v>21</v>
      </c>
      <c r="T41" s="371" t="s">
        <v>866</v>
      </c>
      <c r="U41" s="226" t="s">
        <v>848</v>
      </c>
      <c r="V41" s="225" t="s">
        <v>867</v>
      </c>
      <c r="W41" s="225">
        <v>58</v>
      </c>
      <c r="X41" s="227" t="s">
        <v>98</v>
      </c>
      <c r="Y41" s="227" t="s">
        <v>234</v>
      </c>
      <c r="Z41" s="225" t="s">
        <v>123</v>
      </c>
      <c r="AC41" s="374">
        <v>21</v>
      </c>
      <c r="AD41" s="378" t="s">
        <v>950</v>
      </c>
      <c r="AE41" s="339" t="s">
        <v>947</v>
      </c>
      <c r="AF41" s="371" t="s">
        <v>949</v>
      </c>
      <c r="AG41" s="371">
        <v>42</v>
      </c>
      <c r="AH41" s="379" t="s">
        <v>98</v>
      </c>
      <c r="AI41" s="379" t="s">
        <v>235</v>
      </c>
      <c r="AJ41" s="379" t="s">
        <v>123</v>
      </c>
      <c r="AL41" s="401">
        <v>21</v>
      </c>
      <c r="AM41" s="400" t="s">
        <v>1017</v>
      </c>
      <c r="AN41" s="339" t="s">
        <v>1018</v>
      </c>
      <c r="AO41" s="371" t="s">
        <v>1019</v>
      </c>
      <c r="AP41" s="371">
        <v>40</v>
      </c>
      <c r="AQ41" s="379" t="s">
        <v>98</v>
      </c>
      <c r="AR41" s="379" t="s">
        <v>234</v>
      </c>
      <c r="AS41" s="379" t="s">
        <v>123</v>
      </c>
      <c r="AU41" s="418"/>
      <c r="BD41" s="154"/>
      <c r="BE41" s="332"/>
      <c r="BF41" s="224"/>
      <c r="BG41" s="216"/>
      <c r="BH41" s="217"/>
      <c r="BI41" s="217"/>
      <c r="BJ41" s="216"/>
      <c r="BK41" s="375"/>
      <c r="BL41" s="375"/>
      <c r="BM41" s="375"/>
      <c r="BN41" s="375"/>
      <c r="BO41" s="442"/>
      <c r="BP41" s="259">
        <v>21</v>
      </c>
      <c r="BQ41" s="478" t="s">
        <v>1213</v>
      </c>
      <c r="BR41" s="472" t="s">
        <v>1185</v>
      </c>
      <c r="BS41" s="192" t="s">
        <v>1214</v>
      </c>
      <c r="BT41" s="192">
        <v>85</v>
      </c>
      <c r="BU41" s="193" t="s">
        <v>120</v>
      </c>
      <c r="BV41" s="192" t="s">
        <v>234</v>
      </c>
      <c r="BW41" s="192" t="s">
        <v>688</v>
      </c>
      <c r="BY41" s="154"/>
      <c r="CD41" s="298"/>
      <c r="CI41" s="154"/>
      <c r="CJ41" s="215"/>
      <c r="CK41" s="224"/>
      <c r="CL41" s="224"/>
      <c r="CM41" s="217"/>
      <c r="CN41" s="217"/>
      <c r="CO41" s="216"/>
      <c r="CP41" s="216"/>
      <c r="CQ41" s="216"/>
      <c r="CS41" s="154"/>
      <c r="CT41" s="215"/>
      <c r="CU41" s="224"/>
      <c r="CV41" s="216"/>
      <c r="CW41" s="217"/>
      <c r="CX41" s="217"/>
      <c r="CY41" s="216"/>
      <c r="CZ41" s="216"/>
      <c r="DA41" s="216"/>
      <c r="DB41" s="216"/>
      <c r="DE41" s="580"/>
      <c r="DF41" s="579"/>
      <c r="DG41" s="224"/>
      <c r="DH41" s="217"/>
      <c r="DI41" s="217"/>
      <c r="DJ41" s="217"/>
      <c r="DK41" s="216"/>
      <c r="DL41" s="216"/>
      <c r="JE41" s="153"/>
    </row>
    <row r="42" spans="1:265" ht="18.75" customHeight="1" x14ac:dyDescent="0.25">
      <c r="A42" s="259">
        <v>22</v>
      </c>
      <c r="B42" s="259" t="s">
        <v>672</v>
      </c>
      <c r="C42" s="222" t="s">
        <v>674</v>
      </c>
      <c r="D42" s="226" t="s">
        <v>673</v>
      </c>
      <c r="E42" s="225">
        <v>37</v>
      </c>
      <c r="F42" s="286" t="s">
        <v>98</v>
      </c>
      <c r="G42" s="225" t="s">
        <v>235</v>
      </c>
      <c r="H42" s="286" t="s">
        <v>123</v>
      </c>
      <c r="J42" s="259">
        <v>22</v>
      </c>
      <c r="K42" s="331" t="s">
        <v>771</v>
      </c>
      <c r="L42" s="323" t="s">
        <v>772</v>
      </c>
      <c r="M42" s="225" t="s">
        <v>773</v>
      </c>
      <c r="N42" s="287">
        <v>64</v>
      </c>
      <c r="O42" s="287" t="s">
        <v>97</v>
      </c>
      <c r="P42" s="225" t="s">
        <v>234</v>
      </c>
      <c r="Q42" s="192" t="s">
        <v>122</v>
      </c>
      <c r="S42" s="371">
        <v>22</v>
      </c>
      <c r="T42" s="371" t="s">
        <v>868</v>
      </c>
      <c r="U42" s="369" t="s">
        <v>854</v>
      </c>
      <c r="V42" s="340" t="s">
        <v>869</v>
      </c>
      <c r="W42" s="340">
        <v>59</v>
      </c>
      <c r="X42" s="227" t="s">
        <v>98</v>
      </c>
      <c r="Y42" s="368" t="s">
        <v>234</v>
      </c>
      <c r="Z42" s="225" t="s">
        <v>123</v>
      </c>
      <c r="AC42" s="374">
        <v>22</v>
      </c>
      <c r="AD42" s="378" t="s">
        <v>951</v>
      </c>
      <c r="AE42" s="339" t="s">
        <v>935</v>
      </c>
      <c r="AF42" s="371" t="s">
        <v>952</v>
      </c>
      <c r="AG42" s="371">
        <v>68</v>
      </c>
      <c r="AH42" s="379" t="s">
        <v>98</v>
      </c>
      <c r="AI42" s="379" t="s">
        <v>234</v>
      </c>
      <c r="AJ42" s="379" t="s">
        <v>123</v>
      </c>
      <c r="AL42" s="401">
        <v>22</v>
      </c>
      <c r="AM42" s="400" t="s">
        <v>1020</v>
      </c>
      <c r="AN42" s="339" t="s">
        <v>1021</v>
      </c>
      <c r="AO42" s="371" t="s">
        <v>1022</v>
      </c>
      <c r="AP42" s="371">
        <v>35</v>
      </c>
      <c r="AQ42" s="379" t="s">
        <v>98</v>
      </c>
      <c r="AR42" s="379" t="s">
        <v>235</v>
      </c>
      <c r="AS42" s="379" t="s">
        <v>123</v>
      </c>
      <c r="AU42" s="418"/>
      <c r="BD42" s="154"/>
      <c r="BE42" s="332"/>
      <c r="BF42" s="224"/>
      <c r="BG42" s="216"/>
      <c r="BH42" s="217"/>
      <c r="BI42" s="217"/>
      <c r="BJ42" s="216"/>
      <c r="BK42" s="375"/>
      <c r="BL42" s="375"/>
      <c r="BM42" s="375"/>
      <c r="BN42" s="375"/>
      <c r="BO42" s="442"/>
      <c r="BP42" s="259">
        <v>22</v>
      </c>
      <c r="BQ42" s="478" t="s">
        <v>1217</v>
      </c>
      <c r="BR42" s="472" t="s">
        <v>1192</v>
      </c>
      <c r="BS42" s="192" t="s">
        <v>1215</v>
      </c>
      <c r="BT42" s="192">
        <v>70</v>
      </c>
      <c r="BU42" s="193" t="s">
        <v>242</v>
      </c>
      <c r="BV42" s="192" t="s">
        <v>234</v>
      </c>
      <c r="BW42" s="192" t="s">
        <v>688</v>
      </c>
      <c r="BY42" s="154"/>
      <c r="BZ42" s="215"/>
      <c r="CA42" s="224"/>
      <c r="CB42" s="216"/>
      <c r="CC42" s="216"/>
      <c r="CD42" s="217"/>
      <c r="CE42" s="217"/>
      <c r="CF42" s="216"/>
      <c r="CI42" s="154"/>
      <c r="CJ42" s="215"/>
      <c r="CK42" s="224"/>
      <c r="CL42" s="216"/>
      <c r="CM42" s="217"/>
      <c r="CN42" s="217"/>
      <c r="CO42" s="216"/>
      <c r="CP42" s="216"/>
      <c r="CQ42" s="216"/>
      <c r="CS42" s="154"/>
      <c r="CT42" s="215"/>
      <c r="CU42" s="224"/>
      <c r="CV42" s="216"/>
      <c r="CW42" s="217"/>
      <c r="CX42" s="217"/>
      <c r="CY42" s="216"/>
      <c r="CZ42" s="216"/>
      <c r="DA42" s="216"/>
      <c r="DB42" s="216"/>
      <c r="DE42" s="580"/>
      <c r="DF42" s="579"/>
      <c r="DG42" s="224"/>
      <c r="DH42" s="217"/>
      <c r="DI42" s="217"/>
      <c r="DJ42" s="217"/>
      <c r="DK42" s="216"/>
      <c r="DL42" s="216"/>
      <c r="JE42" s="153"/>
    </row>
    <row r="43" spans="1:265" ht="18.75" customHeight="1" thickBot="1" x14ac:dyDescent="0.3">
      <c r="A43" s="259">
        <v>23</v>
      </c>
      <c r="B43" s="259" t="s">
        <v>675</v>
      </c>
      <c r="C43" s="226" t="s">
        <v>676</v>
      </c>
      <c r="D43" s="225" t="s">
        <v>677</v>
      </c>
      <c r="E43" s="225">
        <v>94</v>
      </c>
      <c r="F43" s="286" t="s">
        <v>98</v>
      </c>
      <c r="G43" s="225" t="s">
        <v>234</v>
      </c>
      <c r="H43" s="286" t="s">
        <v>123</v>
      </c>
      <c r="J43" s="259">
        <v>23</v>
      </c>
      <c r="K43" s="331" t="s">
        <v>775</v>
      </c>
      <c r="L43" s="323" t="s">
        <v>774</v>
      </c>
      <c r="M43" s="225" t="s">
        <v>776</v>
      </c>
      <c r="N43" s="287">
        <v>89</v>
      </c>
      <c r="O43" s="287" t="s">
        <v>97</v>
      </c>
      <c r="P43" s="225" t="s">
        <v>234</v>
      </c>
      <c r="Q43" s="192" t="s">
        <v>122</v>
      </c>
      <c r="S43" s="319">
        <v>23</v>
      </c>
      <c r="T43" s="371" t="s">
        <v>870</v>
      </c>
      <c r="U43" s="369" t="s">
        <v>871</v>
      </c>
      <c r="V43" s="340" t="s">
        <v>872</v>
      </c>
      <c r="W43" s="340">
        <v>61</v>
      </c>
      <c r="X43" s="227" t="s">
        <v>98</v>
      </c>
      <c r="Y43" s="368" t="s">
        <v>235</v>
      </c>
      <c r="Z43" s="225" t="s">
        <v>123</v>
      </c>
      <c r="AC43" s="374">
        <v>23</v>
      </c>
      <c r="AD43" s="199" t="s">
        <v>906</v>
      </c>
      <c r="AE43" s="387" t="s">
        <v>905</v>
      </c>
      <c r="AF43" s="371" t="s">
        <v>907</v>
      </c>
      <c r="AG43" s="379">
        <v>72</v>
      </c>
      <c r="AH43" s="379" t="s">
        <v>98</v>
      </c>
      <c r="AI43" s="379" t="s">
        <v>234</v>
      </c>
      <c r="AJ43" s="386" t="s">
        <v>123</v>
      </c>
      <c r="AL43" s="401">
        <v>23</v>
      </c>
      <c r="AM43" s="400" t="s">
        <v>1023</v>
      </c>
      <c r="AN43" s="339" t="s">
        <v>966</v>
      </c>
      <c r="AO43" s="371" t="s">
        <v>1024</v>
      </c>
      <c r="AP43" s="371" t="s">
        <v>184</v>
      </c>
      <c r="AQ43" s="379" t="s">
        <v>98</v>
      </c>
      <c r="AR43" s="379" t="s">
        <v>234</v>
      </c>
      <c r="AS43" s="379" t="s">
        <v>79</v>
      </c>
      <c r="AU43" s="418"/>
      <c r="BD43" s="154"/>
      <c r="BE43" s="332"/>
      <c r="BF43" s="224"/>
      <c r="BG43" s="216"/>
      <c r="BH43" s="217"/>
      <c r="BI43" s="217"/>
      <c r="BJ43" s="216"/>
      <c r="BK43" s="375"/>
      <c r="BL43" s="375"/>
      <c r="BM43" s="375"/>
      <c r="BN43" s="375"/>
      <c r="BO43" s="442"/>
      <c r="BP43" s="154"/>
      <c r="BV43" s="216"/>
      <c r="BW43" s="216"/>
      <c r="BY43" s="154"/>
      <c r="BZ43" s="215"/>
      <c r="CA43" s="224"/>
      <c r="CB43" s="216"/>
      <c r="CC43" s="216"/>
      <c r="CD43" s="217"/>
      <c r="CE43" s="217"/>
      <c r="CF43" s="216"/>
      <c r="CI43" s="154"/>
      <c r="CJ43" s="215"/>
      <c r="CK43" s="224"/>
      <c r="CL43" s="216"/>
      <c r="CM43" s="217"/>
      <c r="CN43" s="217"/>
      <c r="CO43" s="216"/>
      <c r="CP43" s="216"/>
      <c r="CQ43" s="216"/>
      <c r="CS43" s="154"/>
      <c r="CT43" s="215"/>
      <c r="CU43" s="224"/>
      <c r="CV43" s="216"/>
      <c r="CW43" s="217"/>
      <c r="CX43" s="217"/>
      <c r="CY43" s="216"/>
      <c r="CZ43" s="216"/>
      <c r="DA43" s="216"/>
      <c r="DB43" s="216"/>
      <c r="DE43" s="580"/>
      <c r="DF43" s="579"/>
      <c r="DG43" s="224"/>
      <c r="DH43" s="217"/>
      <c r="DI43" s="217"/>
      <c r="DJ43" s="217"/>
      <c r="DK43" s="216"/>
      <c r="DL43" s="216"/>
      <c r="JE43" s="153"/>
    </row>
    <row r="44" spans="1:265" ht="18.75" customHeight="1" thickBot="1" x14ac:dyDescent="0.3">
      <c r="A44" s="259">
        <v>24</v>
      </c>
      <c r="B44" s="259" t="s">
        <v>678</v>
      </c>
      <c r="C44" s="226" t="s">
        <v>679</v>
      </c>
      <c r="D44" s="225" t="s">
        <v>680</v>
      </c>
      <c r="E44" s="225">
        <v>46</v>
      </c>
      <c r="F44" s="286" t="s">
        <v>98</v>
      </c>
      <c r="G44" s="225" t="s">
        <v>234</v>
      </c>
      <c r="H44" s="286" t="s">
        <v>123</v>
      </c>
      <c r="J44" s="259">
        <v>24</v>
      </c>
      <c r="K44" s="331" t="s">
        <v>777</v>
      </c>
      <c r="L44" s="339" t="s">
        <v>722</v>
      </c>
      <c r="M44" s="340" t="s">
        <v>778</v>
      </c>
      <c r="N44" s="341">
        <v>38</v>
      </c>
      <c r="O44" s="341" t="s">
        <v>97</v>
      </c>
      <c r="P44" s="340" t="s">
        <v>235</v>
      </c>
      <c r="Q44" s="342" t="s">
        <v>122</v>
      </c>
      <c r="S44" s="319">
        <v>24</v>
      </c>
      <c r="T44" s="351" t="s">
        <v>822</v>
      </c>
      <c r="U44" s="347" t="s">
        <v>823</v>
      </c>
      <c r="V44" s="342" t="s">
        <v>824</v>
      </c>
      <c r="W44" s="352">
        <v>90</v>
      </c>
      <c r="X44" s="352" t="s">
        <v>98</v>
      </c>
      <c r="Y44" s="352" t="s">
        <v>234</v>
      </c>
      <c r="Z44" s="353" t="s">
        <v>123</v>
      </c>
      <c r="AC44" s="374">
        <v>24</v>
      </c>
      <c r="AD44" s="199" t="s">
        <v>908</v>
      </c>
      <c r="AE44" s="387" t="s">
        <v>896</v>
      </c>
      <c r="AF44" s="371" t="s">
        <v>909</v>
      </c>
      <c r="AG44" s="379">
        <v>47</v>
      </c>
      <c r="AH44" s="379" t="s">
        <v>98</v>
      </c>
      <c r="AI44" s="379" t="s">
        <v>234</v>
      </c>
      <c r="AJ44" s="386" t="s">
        <v>123</v>
      </c>
      <c r="AL44" s="401">
        <v>24</v>
      </c>
      <c r="AM44" s="400" t="s">
        <v>1025</v>
      </c>
      <c r="AN44" s="339" t="s">
        <v>1027</v>
      </c>
      <c r="AO44" s="371" t="s">
        <v>1028</v>
      </c>
      <c r="AP44" s="371">
        <v>77</v>
      </c>
      <c r="AQ44" s="379" t="s">
        <v>98</v>
      </c>
      <c r="AR44" s="379" t="s">
        <v>234</v>
      </c>
      <c r="AS44" s="379" t="s">
        <v>688</v>
      </c>
      <c r="AU44" s="418"/>
      <c r="BD44" s="154"/>
      <c r="BE44" s="332"/>
      <c r="BF44" s="224"/>
      <c r="BG44" s="216"/>
      <c r="BH44" s="217"/>
      <c r="BI44" s="217"/>
      <c r="BJ44" s="216"/>
      <c r="BK44" s="375"/>
      <c r="BL44" s="375"/>
      <c r="BM44" s="375"/>
      <c r="BN44" s="375"/>
      <c r="BO44" s="442"/>
      <c r="BP44" s="154"/>
      <c r="BQ44" s="376"/>
      <c r="BR44" s="303"/>
      <c r="BS44" s="216"/>
      <c r="BT44" s="216"/>
      <c r="BU44" s="217"/>
      <c r="BV44" s="216"/>
      <c r="BW44" s="216"/>
      <c r="BY44" s="154"/>
      <c r="BZ44" s="215"/>
      <c r="CA44" s="224"/>
      <c r="CB44" s="216"/>
      <c r="CC44" s="216"/>
      <c r="CD44" s="217"/>
      <c r="CE44" s="217"/>
      <c r="CF44" s="216"/>
      <c r="CI44" s="154"/>
      <c r="CJ44" s="215"/>
      <c r="CK44" s="224"/>
      <c r="CL44" s="216"/>
      <c r="CM44" s="217"/>
      <c r="CN44" s="217"/>
      <c r="CO44" s="216"/>
      <c r="CP44" s="216"/>
      <c r="CQ44" s="216"/>
      <c r="CS44" s="154"/>
      <c r="CT44" s="215"/>
      <c r="CU44" s="224"/>
      <c r="CV44" s="216"/>
      <c r="CW44" s="217"/>
      <c r="CX44" s="217"/>
      <c r="CY44" s="216"/>
      <c r="CZ44" s="216"/>
      <c r="DA44" s="216"/>
      <c r="DB44" s="216"/>
      <c r="DE44" s="580"/>
      <c r="DF44" s="579"/>
      <c r="DG44" s="224"/>
      <c r="DH44" s="217"/>
      <c r="DI44" s="217"/>
      <c r="DJ44" s="217"/>
      <c r="DK44" s="216"/>
      <c r="DL44" s="216"/>
      <c r="JE44" s="153"/>
    </row>
    <row r="45" spans="1:265" ht="18.75" customHeight="1" x14ac:dyDescent="0.25">
      <c r="A45" s="259">
        <v>25</v>
      </c>
      <c r="B45" s="259" t="s">
        <v>681</v>
      </c>
      <c r="C45" s="226" t="s">
        <v>682</v>
      </c>
      <c r="D45" s="225" t="s">
        <v>683</v>
      </c>
      <c r="E45" s="225">
        <v>62</v>
      </c>
      <c r="F45" s="286" t="s">
        <v>98</v>
      </c>
      <c r="G45" s="225" t="s">
        <v>234</v>
      </c>
      <c r="H45" s="286" t="s">
        <v>123</v>
      </c>
      <c r="J45" s="259">
        <v>25</v>
      </c>
      <c r="K45" s="331" t="s">
        <v>779</v>
      </c>
      <c r="L45" s="323" t="s">
        <v>717</v>
      </c>
      <c r="M45" s="225" t="s">
        <v>781</v>
      </c>
      <c r="N45" s="287">
        <v>61</v>
      </c>
      <c r="O45" s="287" t="s">
        <v>97</v>
      </c>
      <c r="P45" s="225" t="s">
        <v>234</v>
      </c>
      <c r="Q45" s="192" t="s">
        <v>122</v>
      </c>
      <c r="S45" s="321">
        <v>25</v>
      </c>
      <c r="T45" s="351" t="s">
        <v>825</v>
      </c>
      <c r="U45" s="347" t="s">
        <v>826</v>
      </c>
      <c r="V45" s="342" t="s">
        <v>827</v>
      </c>
      <c r="W45" s="352">
        <v>35</v>
      </c>
      <c r="X45" s="352" t="s">
        <v>98</v>
      </c>
      <c r="Y45" s="352" t="s">
        <v>235</v>
      </c>
      <c r="Z45" s="353" t="s">
        <v>123</v>
      </c>
      <c r="AC45" s="374">
        <v>25</v>
      </c>
      <c r="AD45" s="199" t="s">
        <v>911</v>
      </c>
      <c r="AE45" s="387" t="s">
        <v>910</v>
      </c>
      <c r="AF45" s="371" t="s">
        <v>913</v>
      </c>
      <c r="AG45" s="379">
        <v>68</v>
      </c>
      <c r="AH45" s="379" t="s">
        <v>98</v>
      </c>
      <c r="AI45" s="379" t="s">
        <v>234</v>
      </c>
      <c r="AJ45" s="386" t="s">
        <v>123</v>
      </c>
      <c r="AL45" s="401">
        <v>25</v>
      </c>
      <c r="AM45" s="320" t="s">
        <v>1026</v>
      </c>
      <c r="AN45" s="339" t="s">
        <v>1027</v>
      </c>
      <c r="AO45" s="371" t="s">
        <v>1029</v>
      </c>
      <c r="AP45" s="371">
        <v>92</v>
      </c>
      <c r="AQ45" s="379" t="s">
        <v>98</v>
      </c>
      <c r="AR45" s="379" t="s">
        <v>234</v>
      </c>
      <c r="AS45" s="379" t="s">
        <v>688</v>
      </c>
      <c r="AU45" s="418"/>
      <c r="BD45" s="154"/>
      <c r="BE45" s="332"/>
      <c r="BF45" s="224"/>
      <c r="BG45" s="216"/>
      <c r="BH45" s="217"/>
      <c r="BI45" s="217"/>
      <c r="BJ45" s="216"/>
      <c r="BK45" s="375"/>
      <c r="BL45" s="375"/>
      <c r="BM45" s="375"/>
      <c r="BN45" s="375"/>
      <c r="BO45" s="442"/>
      <c r="BP45" s="154"/>
      <c r="BR45" s="304"/>
      <c r="BY45" s="154"/>
      <c r="CI45" s="154"/>
      <c r="CJ45" s="215"/>
      <c r="CK45" s="224"/>
      <c r="CL45" s="216"/>
      <c r="CM45" s="217"/>
      <c r="CN45" s="217"/>
      <c r="CO45" s="216"/>
      <c r="CP45" s="216"/>
      <c r="CQ45" s="216"/>
      <c r="CS45" s="154"/>
      <c r="CT45" s="215"/>
      <c r="CU45" s="224"/>
      <c r="CV45" s="216"/>
      <c r="CW45" s="217"/>
      <c r="CX45" s="217"/>
      <c r="CY45" s="216"/>
      <c r="CZ45" s="216"/>
      <c r="DA45" s="216"/>
      <c r="DB45" s="216"/>
      <c r="DE45" s="580"/>
      <c r="DF45" s="579"/>
      <c r="DG45" s="224"/>
      <c r="DH45" s="217"/>
      <c r="DI45" s="217"/>
      <c r="DJ45" s="217"/>
      <c r="DK45" s="216"/>
      <c r="DL45" s="216"/>
      <c r="JE45" s="153"/>
    </row>
    <row r="46" spans="1:265" ht="18.75" customHeight="1" thickBot="1" x14ac:dyDescent="0.3">
      <c r="J46" s="259">
        <v>26</v>
      </c>
      <c r="K46" s="331" t="s">
        <v>780</v>
      </c>
      <c r="L46" s="323" t="s">
        <v>717</v>
      </c>
      <c r="M46" s="225" t="s">
        <v>782</v>
      </c>
      <c r="N46" s="287">
        <v>61</v>
      </c>
      <c r="O46" s="287" t="s">
        <v>97</v>
      </c>
      <c r="P46" s="225" t="s">
        <v>234</v>
      </c>
      <c r="Q46" s="192" t="s">
        <v>122</v>
      </c>
      <c r="AC46" s="374">
        <v>26</v>
      </c>
      <c r="AD46" s="199" t="s">
        <v>912</v>
      </c>
      <c r="AE46" s="388" t="s">
        <v>910</v>
      </c>
      <c r="AF46" s="371" t="s">
        <v>914</v>
      </c>
      <c r="AG46" s="379">
        <v>70</v>
      </c>
      <c r="AH46" s="379" t="s">
        <v>98</v>
      </c>
      <c r="AI46" s="379" t="s">
        <v>234</v>
      </c>
      <c r="AJ46" s="386" t="s">
        <v>123</v>
      </c>
      <c r="AL46" s="401">
        <v>26</v>
      </c>
      <c r="AM46" s="320" t="s">
        <v>1030</v>
      </c>
      <c r="AN46" s="339" t="s">
        <v>967</v>
      </c>
      <c r="AO46" s="371" t="s">
        <v>1031</v>
      </c>
      <c r="AP46" s="371">
        <v>66</v>
      </c>
      <c r="AQ46" s="379" t="s">
        <v>98</v>
      </c>
      <c r="AR46" s="379" t="s">
        <v>235</v>
      </c>
      <c r="AS46" s="379" t="s">
        <v>688</v>
      </c>
      <c r="AU46" s="418"/>
      <c r="BD46" s="154"/>
      <c r="BE46" s="332"/>
      <c r="BF46" s="222"/>
      <c r="BG46" s="224"/>
      <c r="BH46" s="217"/>
      <c r="BI46" s="217"/>
      <c r="BJ46" s="216"/>
      <c r="BK46" s="375"/>
      <c r="BL46" s="375"/>
      <c r="BM46" s="375"/>
      <c r="BN46" s="375"/>
      <c r="BO46" s="444"/>
      <c r="BP46" s="154"/>
      <c r="BR46" s="304"/>
      <c r="BY46" s="154"/>
      <c r="BZ46" s="215"/>
      <c r="CA46" s="224"/>
      <c r="CB46" s="216"/>
      <c r="CC46" s="216"/>
      <c r="CD46" s="217"/>
      <c r="CE46" s="217"/>
      <c r="CF46" s="216"/>
      <c r="CI46" s="154"/>
      <c r="CJ46" s="215"/>
      <c r="CK46" s="224"/>
      <c r="CL46" s="216"/>
      <c r="CM46" s="217"/>
      <c r="CN46" s="217"/>
      <c r="CO46" s="216"/>
      <c r="CP46" s="216"/>
      <c r="CQ46" s="216"/>
      <c r="CS46" s="154"/>
      <c r="CT46" s="215"/>
      <c r="CU46" s="224"/>
      <c r="CV46" s="216"/>
      <c r="CW46" s="217"/>
      <c r="CX46" s="217"/>
      <c r="CY46" s="216"/>
      <c r="CZ46" s="216"/>
      <c r="DA46" s="216"/>
      <c r="DB46" s="216"/>
      <c r="DE46" s="580"/>
      <c r="DF46" s="579"/>
      <c r="DG46" s="224"/>
      <c r="DH46" s="217"/>
      <c r="DI46" s="217"/>
      <c r="DJ46" s="217"/>
      <c r="DK46" s="216"/>
      <c r="DL46" s="216"/>
      <c r="JE46" s="153"/>
    </row>
    <row r="47" spans="1:265" ht="18.75" customHeight="1" x14ac:dyDescent="0.25">
      <c r="J47" s="259">
        <v>27</v>
      </c>
      <c r="K47" s="331" t="s">
        <v>783</v>
      </c>
      <c r="L47" s="323" t="s">
        <v>784</v>
      </c>
      <c r="M47" s="225" t="s">
        <v>785</v>
      </c>
      <c r="N47" s="287">
        <v>67</v>
      </c>
      <c r="O47" s="287" t="s">
        <v>97</v>
      </c>
      <c r="P47" s="225" t="s">
        <v>234</v>
      </c>
      <c r="Q47" s="192" t="s">
        <v>688</v>
      </c>
      <c r="AC47" s="374">
        <v>27</v>
      </c>
      <c r="AD47" s="199" t="s">
        <v>916</v>
      </c>
      <c r="AE47" s="388" t="s">
        <v>915</v>
      </c>
      <c r="AF47" s="371" t="s">
        <v>917</v>
      </c>
      <c r="AG47" s="379">
        <v>64</v>
      </c>
      <c r="AH47" s="379" t="s">
        <v>98</v>
      </c>
      <c r="AI47" s="379" t="s">
        <v>234</v>
      </c>
      <c r="AJ47" s="386" t="s">
        <v>123</v>
      </c>
      <c r="AL47" s="401">
        <v>27</v>
      </c>
      <c r="AM47" s="320" t="s">
        <v>1032</v>
      </c>
      <c r="AN47" s="339" t="s">
        <v>1008</v>
      </c>
      <c r="AO47" s="371" t="s">
        <v>1033</v>
      </c>
      <c r="AP47" s="371">
        <v>3</v>
      </c>
      <c r="AQ47" s="379" t="s">
        <v>97</v>
      </c>
      <c r="AR47" s="379" t="s">
        <v>234</v>
      </c>
      <c r="AS47" s="379" t="s">
        <v>688</v>
      </c>
      <c r="AU47" s="418"/>
      <c r="BD47" s="154"/>
      <c r="BE47" s="215"/>
      <c r="BF47" s="224"/>
      <c r="BG47" s="216"/>
      <c r="BH47" s="217"/>
      <c r="BI47" s="217"/>
      <c r="BJ47" s="216"/>
      <c r="BK47" s="375"/>
      <c r="BL47" s="375"/>
      <c r="BM47" s="375"/>
      <c r="BN47" s="375"/>
      <c r="BO47" s="445"/>
      <c r="BP47" s="154"/>
      <c r="BR47" s="304"/>
      <c r="BS47" s="222"/>
      <c r="BY47" s="154"/>
      <c r="BZ47" s="215"/>
      <c r="CA47" s="224"/>
      <c r="CB47" s="216"/>
      <c r="CC47" s="216"/>
      <c r="CD47" s="217"/>
      <c r="CE47" s="217"/>
      <c r="CF47" s="216"/>
      <c r="CI47" s="154"/>
      <c r="CJ47" s="215"/>
      <c r="CK47" s="224"/>
      <c r="CL47" s="216"/>
      <c r="CM47" s="217"/>
      <c r="CN47" s="217"/>
      <c r="CO47" s="216"/>
      <c r="CP47" s="216"/>
      <c r="CQ47" s="216"/>
      <c r="CS47" s="154"/>
      <c r="CT47" s="215"/>
      <c r="CU47" s="224"/>
      <c r="CV47" s="216"/>
      <c r="CW47" s="217"/>
      <c r="CX47" s="217"/>
      <c r="CY47" s="216"/>
      <c r="CZ47" s="216"/>
      <c r="DA47" s="216"/>
      <c r="DB47" s="216"/>
      <c r="DE47" s="580"/>
      <c r="DF47" s="579"/>
      <c r="DG47" s="224"/>
      <c r="DH47" s="217"/>
      <c r="DI47" s="217"/>
      <c r="DJ47" s="217"/>
      <c r="DK47" s="216"/>
      <c r="DL47" s="216"/>
      <c r="JE47" s="153"/>
    </row>
    <row r="48" spans="1:265" ht="18.75" customHeight="1" x14ac:dyDescent="0.25">
      <c r="J48" s="155">
        <v>28</v>
      </c>
      <c r="K48" s="330" t="s">
        <v>787</v>
      </c>
      <c r="L48" s="324" t="s">
        <v>786</v>
      </c>
      <c r="M48" s="192" t="s">
        <v>788</v>
      </c>
      <c r="N48" s="264">
        <v>39</v>
      </c>
      <c r="O48" s="264" t="s">
        <v>97</v>
      </c>
      <c r="P48" s="192" t="s">
        <v>235</v>
      </c>
      <c r="Q48" s="192" t="s">
        <v>688</v>
      </c>
      <c r="S48" s="366"/>
      <c r="T48" s="366"/>
      <c r="U48" s="370"/>
      <c r="V48" s="366"/>
      <c r="W48" s="366"/>
      <c r="X48" s="366"/>
      <c r="Y48" s="366"/>
      <c r="Z48" s="366"/>
      <c r="AC48" s="375"/>
      <c r="AL48" s="401">
        <v>28</v>
      </c>
      <c r="AM48" s="400" t="s">
        <v>1034</v>
      </c>
      <c r="AN48" s="339" t="s">
        <v>969</v>
      </c>
      <c r="AO48" s="371" t="s">
        <v>1035</v>
      </c>
      <c r="AP48" s="371">
        <v>87</v>
      </c>
      <c r="AQ48" s="379" t="s">
        <v>98</v>
      </c>
      <c r="AR48" s="379" t="s">
        <v>234</v>
      </c>
      <c r="AS48" s="379" t="s">
        <v>688</v>
      </c>
      <c r="AU48" s="418"/>
      <c r="BD48" s="154"/>
      <c r="BE48" s="215"/>
      <c r="BF48" s="224"/>
      <c r="BG48" s="216"/>
      <c r="BH48" s="446"/>
      <c r="BI48" s="217"/>
      <c r="BJ48" s="216"/>
      <c r="BK48" s="375"/>
      <c r="BL48" s="375"/>
      <c r="BM48" s="375"/>
      <c r="BN48" s="375"/>
      <c r="BO48" s="442"/>
      <c r="BP48" s="154"/>
      <c r="BY48" s="154"/>
      <c r="BZ48" s="215"/>
      <c r="CA48" s="224"/>
      <c r="CB48" s="216"/>
      <c r="CC48" s="216"/>
      <c r="CD48" s="217"/>
      <c r="CE48" s="217"/>
      <c r="CF48" s="216"/>
      <c r="CI48" s="154"/>
      <c r="CJ48" s="215"/>
      <c r="CK48" s="224"/>
      <c r="CL48" s="224"/>
      <c r="CM48" s="217"/>
      <c r="CN48" s="217"/>
      <c r="CO48" s="216"/>
      <c r="CP48" s="216"/>
      <c r="CQ48" s="216"/>
      <c r="CS48" s="154"/>
      <c r="CT48" s="215"/>
      <c r="CU48" s="224"/>
      <c r="CV48" s="216"/>
      <c r="CW48" s="217"/>
      <c r="CX48" s="217"/>
      <c r="CY48" s="216"/>
      <c r="CZ48" s="216"/>
      <c r="DA48" s="216"/>
      <c r="DB48" s="216"/>
      <c r="DE48" s="580"/>
      <c r="DF48" s="579"/>
      <c r="DG48" s="224"/>
      <c r="DH48" s="217"/>
      <c r="DI48" s="217"/>
      <c r="DJ48" s="217"/>
      <c r="DK48" s="216"/>
      <c r="DL48" s="216"/>
      <c r="JE48" s="153"/>
    </row>
    <row r="49" spans="2:265" ht="18.75" customHeight="1" x14ac:dyDescent="0.25">
      <c r="J49" s="155">
        <v>29</v>
      </c>
      <c r="K49" s="330" t="s">
        <v>789</v>
      </c>
      <c r="L49" s="324" t="s">
        <v>790</v>
      </c>
      <c r="M49" s="192" t="s">
        <v>791</v>
      </c>
      <c r="N49" s="264">
        <v>48</v>
      </c>
      <c r="O49" s="264" t="s">
        <v>97</v>
      </c>
      <c r="P49" s="192" t="s">
        <v>234</v>
      </c>
      <c r="Q49" s="192" t="s">
        <v>688</v>
      </c>
      <c r="S49" s="366"/>
      <c r="T49" s="366"/>
      <c r="U49" s="370"/>
      <c r="V49" s="366"/>
      <c r="W49" s="366"/>
      <c r="X49" s="366"/>
      <c r="Y49" s="366"/>
      <c r="Z49" s="366"/>
      <c r="AC49" s="375"/>
      <c r="AL49" s="401">
        <v>29</v>
      </c>
      <c r="AM49" s="400" t="s">
        <v>1036</v>
      </c>
      <c r="AN49" s="339" t="s">
        <v>1009</v>
      </c>
      <c r="AO49" s="371" t="s">
        <v>1037</v>
      </c>
      <c r="AP49" s="371">
        <v>82</v>
      </c>
      <c r="AQ49" s="379" t="s">
        <v>98</v>
      </c>
      <c r="AR49" s="379" t="s">
        <v>234</v>
      </c>
      <c r="AS49" s="379" t="s">
        <v>688</v>
      </c>
      <c r="AU49" s="418"/>
      <c r="BD49" s="154"/>
      <c r="BE49" s="215"/>
      <c r="BF49" s="224"/>
      <c r="BG49" s="216"/>
      <c r="BH49" s="446"/>
      <c r="BI49" s="217"/>
      <c r="BJ49" s="216"/>
      <c r="BK49" s="375"/>
      <c r="BL49" s="375"/>
      <c r="BM49" s="375"/>
      <c r="BN49" s="375"/>
      <c r="BO49" s="442"/>
      <c r="BP49" s="154"/>
      <c r="BY49" s="154"/>
      <c r="BZ49" s="215"/>
      <c r="CA49" s="224"/>
      <c r="CB49" s="216"/>
      <c r="CC49" s="216"/>
      <c r="CD49" s="217"/>
      <c r="CE49" s="217"/>
      <c r="CF49" s="216"/>
      <c r="CI49" s="154"/>
      <c r="CJ49" s="215"/>
      <c r="CK49" s="224"/>
      <c r="CL49" s="216"/>
      <c r="CM49" s="217"/>
      <c r="CN49" s="217"/>
      <c r="CO49" s="216"/>
      <c r="CP49" s="216"/>
      <c r="CQ49" s="216"/>
      <c r="CS49" s="154"/>
      <c r="CT49" s="215"/>
      <c r="CU49" s="224"/>
      <c r="CV49" s="216"/>
      <c r="CW49" s="217"/>
      <c r="CX49" s="217"/>
      <c r="CY49" s="216"/>
      <c r="CZ49" s="216"/>
      <c r="DA49" s="216"/>
      <c r="DB49" s="216"/>
      <c r="DE49" s="580"/>
      <c r="DF49" s="579"/>
      <c r="DG49" s="224"/>
      <c r="DH49" s="217"/>
      <c r="DI49" s="217"/>
      <c r="DJ49" s="217"/>
      <c r="DK49" s="216"/>
      <c r="DL49" s="216"/>
      <c r="JE49" s="153"/>
    </row>
    <row r="50" spans="2:265" ht="18.75" customHeight="1" x14ac:dyDescent="0.25">
      <c r="J50" s="155">
        <v>30</v>
      </c>
      <c r="K50" s="330" t="s">
        <v>792</v>
      </c>
      <c r="L50" s="324" t="s">
        <v>744</v>
      </c>
      <c r="M50" s="192" t="s">
        <v>793</v>
      </c>
      <c r="N50" s="264">
        <v>62</v>
      </c>
      <c r="O50" s="264" t="s">
        <v>97</v>
      </c>
      <c r="P50" s="192" t="s">
        <v>235</v>
      </c>
      <c r="Q50" s="192" t="s">
        <v>688</v>
      </c>
      <c r="S50" s="366"/>
      <c r="T50" s="366"/>
      <c r="U50" s="370"/>
      <c r="V50" s="366"/>
      <c r="W50" s="366"/>
      <c r="X50" s="366"/>
      <c r="Y50" s="366"/>
      <c r="Z50" s="366"/>
      <c r="AC50" s="375"/>
      <c r="AL50" s="401">
        <v>30</v>
      </c>
      <c r="AM50" s="400" t="s">
        <v>1038</v>
      </c>
      <c r="AN50" s="339" t="s">
        <v>1005</v>
      </c>
      <c r="AO50" s="371" t="s">
        <v>1039</v>
      </c>
      <c r="AP50" s="371">
        <v>67</v>
      </c>
      <c r="AQ50" s="379" t="s">
        <v>98</v>
      </c>
      <c r="AR50" s="379" t="s">
        <v>234</v>
      </c>
      <c r="AS50" s="379" t="s">
        <v>688</v>
      </c>
      <c r="AU50" s="418"/>
      <c r="BD50" s="154"/>
      <c r="BE50" s="215"/>
      <c r="BF50" s="224"/>
      <c r="BG50" s="216"/>
      <c r="BH50" s="446"/>
      <c r="BI50" s="217"/>
      <c r="BJ50" s="216"/>
      <c r="BK50" s="375"/>
      <c r="BL50" s="375"/>
      <c r="BM50" s="375"/>
      <c r="BN50" s="375"/>
      <c r="BO50" s="442"/>
      <c r="BP50" s="154"/>
      <c r="BY50" s="154"/>
      <c r="BZ50" s="215"/>
      <c r="CA50" s="224"/>
      <c r="CB50" s="216"/>
      <c r="CC50" s="216"/>
      <c r="CD50" s="217"/>
      <c r="CE50" s="217"/>
      <c r="CF50" s="216"/>
      <c r="CI50" s="154"/>
      <c r="CJ50" s="215"/>
      <c r="CK50" s="224"/>
      <c r="CL50" s="216"/>
      <c r="CM50" s="217"/>
      <c r="CN50" s="217"/>
      <c r="CO50" s="216"/>
      <c r="CP50" s="216"/>
      <c r="CQ50" s="216"/>
      <c r="CS50" s="154"/>
      <c r="CT50" s="215"/>
      <c r="CU50" s="224"/>
      <c r="CV50" s="216"/>
      <c r="CW50" s="217"/>
      <c r="CX50" s="217"/>
      <c r="CY50" s="216"/>
      <c r="CZ50" s="216"/>
      <c r="DA50" s="216"/>
      <c r="DB50" s="216"/>
      <c r="DE50" s="580"/>
      <c r="DF50" s="579"/>
      <c r="DG50" s="224"/>
      <c r="DH50" s="217"/>
      <c r="DI50" s="217"/>
      <c r="DJ50" s="217"/>
      <c r="DK50" s="216"/>
      <c r="DL50" s="216"/>
      <c r="JE50" s="153"/>
    </row>
    <row r="51" spans="2:265" ht="18.75" customHeight="1" x14ac:dyDescent="0.25">
      <c r="J51" s="155">
        <v>31</v>
      </c>
      <c r="K51" s="338" t="s">
        <v>805</v>
      </c>
      <c r="L51" s="324" t="s">
        <v>766</v>
      </c>
      <c r="M51" s="192" t="s">
        <v>796</v>
      </c>
      <c r="N51" s="264">
        <v>52</v>
      </c>
      <c r="O51" s="264" t="s">
        <v>97</v>
      </c>
      <c r="P51" s="192" t="s">
        <v>234</v>
      </c>
      <c r="Q51" s="192" t="s">
        <v>688</v>
      </c>
      <c r="S51" s="361"/>
      <c r="T51" s="362"/>
      <c r="U51" s="363"/>
      <c r="V51" s="364"/>
      <c r="W51" s="365"/>
      <c r="X51" s="365"/>
      <c r="Y51" s="364"/>
      <c r="Z51" s="364"/>
      <c r="AC51" s="375"/>
      <c r="AL51" s="401">
        <v>31</v>
      </c>
      <c r="AM51" s="400" t="s">
        <v>1040</v>
      </c>
      <c r="AN51" s="339" t="s">
        <v>1006</v>
      </c>
      <c r="AO51" s="371" t="s">
        <v>1041</v>
      </c>
      <c r="AP51" s="371">
        <v>52</v>
      </c>
      <c r="AQ51" s="379" t="s">
        <v>97</v>
      </c>
      <c r="AR51" s="379" t="s">
        <v>234</v>
      </c>
      <c r="AS51" s="379" t="s">
        <v>688</v>
      </c>
      <c r="AU51" s="418"/>
      <c r="BD51" s="154"/>
      <c r="BE51" s="215"/>
      <c r="BF51" s="224"/>
      <c r="BG51" s="216"/>
      <c r="BH51" s="446"/>
      <c r="BI51" s="217"/>
      <c r="BJ51" s="216"/>
      <c r="BK51" s="375"/>
      <c r="BL51" s="375"/>
      <c r="BM51" s="375"/>
      <c r="BN51" s="375"/>
      <c r="BO51" s="442"/>
      <c r="BP51" s="154"/>
      <c r="BR51" s="304"/>
      <c r="BY51" s="154"/>
      <c r="CI51" s="154"/>
      <c r="CJ51" s="215"/>
      <c r="CK51" s="224"/>
      <c r="CL51" s="216"/>
      <c r="CM51" s="217"/>
      <c r="CN51" s="217"/>
      <c r="CO51" s="216"/>
      <c r="CP51" s="216"/>
      <c r="CQ51" s="216"/>
      <c r="CS51" s="154"/>
      <c r="CT51" s="215"/>
      <c r="CU51" s="538"/>
      <c r="CV51" s="216"/>
      <c r="CW51" s="217"/>
      <c r="CX51" s="217"/>
      <c r="CY51" s="216"/>
      <c r="CZ51" s="216"/>
      <c r="DA51" s="216"/>
      <c r="DB51" s="216"/>
      <c r="DE51" s="580"/>
      <c r="DF51" s="579"/>
      <c r="DG51" s="224"/>
      <c r="DH51" s="217"/>
      <c r="DI51" s="217"/>
      <c r="DJ51" s="217"/>
      <c r="DK51" s="216"/>
      <c r="DL51" s="216"/>
      <c r="JE51" s="153"/>
    </row>
    <row r="52" spans="2:265" ht="18.75" customHeight="1" x14ac:dyDescent="0.25">
      <c r="J52" s="155">
        <v>32</v>
      </c>
      <c r="K52" s="330" t="s">
        <v>794</v>
      </c>
      <c r="L52" s="324" t="s">
        <v>766</v>
      </c>
      <c r="M52" s="192" t="s">
        <v>797</v>
      </c>
      <c r="N52" s="264">
        <v>42</v>
      </c>
      <c r="O52" s="264" t="s">
        <v>98</v>
      </c>
      <c r="P52" s="192" t="s">
        <v>234</v>
      </c>
      <c r="Q52" s="192" t="s">
        <v>688</v>
      </c>
      <c r="S52" s="361"/>
      <c r="T52" s="362"/>
      <c r="U52" s="363"/>
      <c r="V52" s="364"/>
      <c r="W52" s="365"/>
      <c r="X52" s="365"/>
      <c r="Y52" s="364"/>
      <c r="Z52" s="364"/>
      <c r="AC52" s="375"/>
      <c r="AL52" s="401">
        <v>32</v>
      </c>
      <c r="AM52" s="400" t="s">
        <v>1042</v>
      </c>
      <c r="AN52" s="339" t="s">
        <v>980</v>
      </c>
      <c r="AO52" s="371" t="s">
        <v>1043</v>
      </c>
      <c r="AP52" s="371">
        <v>92</v>
      </c>
      <c r="AQ52" s="379" t="s">
        <v>98</v>
      </c>
      <c r="AR52" s="379" t="s">
        <v>234</v>
      </c>
      <c r="AS52" s="379" t="s">
        <v>688</v>
      </c>
      <c r="AU52" s="418"/>
      <c r="BD52" s="154"/>
      <c r="BE52" s="332"/>
      <c r="BF52" s="224"/>
      <c r="BG52" s="216"/>
      <c r="BH52" s="217"/>
      <c r="BI52" s="217"/>
      <c r="BJ52" s="216"/>
      <c r="BK52" s="375"/>
      <c r="BL52" s="375"/>
      <c r="BM52" s="375"/>
      <c r="BN52" s="375"/>
      <c r="BO52" s="442"/>
      <c r="BP52" s="154"/>
      <c r="BR52" s="304"/>
      <c r="BY52" s="154"/>
      <c r="CI52" s="154"/>
      <c r="CJ52" s="215"/>
      <c r="CK52" s="224"/>
      <c r="CL52" s="216"/>
      <c r="CM52" s="217"/>
      <c r="CN52" s="217"/>
      <c r="CO52" s="216"/>
      <c r="CP52" s="216"/>
      <c r="CQ52" s="216"/>
      <c r="CS52" s="154"/>
      <c r="CT52" s="215"/>
      <c r="CU52" s="538"/>
      <c r="CV52" s="216"/>
      <c r="CW52" s="217"/>
      <c r="CX52" s="217"/>
      <c r="CY52" s="216"/>
      <c r="CZ52" s="216"/>
      <c r="DA52" s="216"/>
      <c r="DB52" s="216"/>
      <c r="DE52" s="580"/>
      <c r="DF52" s="579"/>
      <c r="DG52" s="224"/>
      <c r="DH52" s="217"/>
      <c r="DI52" s="217"/>
      <c r="DJ52" s="217"/>
      <c r="DK52" s="216"/>
      <c r="DL52" s="216"/>
      <c r="JE52" s="153"/>
    </row>
    <row r="53" spans="2:265" ht="18.75" customHeight="1" x14ac:dyDescent="0.25">
      <c r="B53" s="215"/>
      <c r="C53" s="224"/>
      <c r="D53" s="216"/>
      <c r="E53" s="217"/>
      <c r="F53" s="217"/>
      <c r="G53" s="216"/>
      <c r="H53" s="216"/>
      <c r="J53" s="155">
        <v>33</v>
      </c>
      <c r="K53" s="330" t="s">
        <v>795</v>
      </c>
      <c r="L53" s="324" t="s">
        <v>766</v>
      </c>
      <c r="M53" s="192" t="s">
        <v>798</v>
      </c>
      <c r="N53" s="264">
        <v>74</v>
      </c>
      <c r="O53" s="264" t="s">
        <v>98</v>
      </c>
      <c r="P53" s="192" t="s">
        <v>234</v>
      </c>
      <c r="Q53" s="192" t="s">
        <v>688</v>
      </c>
      <c r="S53" s="361"/>
      <c r="T53" s="362"/>
      <c r="U53" s="363"/>
      <c r="V53" s="364"/>
      <c r="W53" s="365"/>
      <c r="X53" s="365"/>
      <c r="Y53" s="364"/>
      <c r="Z53" s="364"/>
      <c r="AC53" s="375"/>
      <c r="AD53" s="215"/>
      <c r="AE53" s="224"/>
      <c r="AF53" s="216"/>
      <c r="AG53" s="217"/>
      <c r="AH53" s="217"/>
      <c r="AI53" s="217"/>
      <c r="AJ53" s="217"/>
      <c r="AU53" s="418"/>
      <c r="BD53" s="154"/>
      <c r="BE53" s="332"/>
      <c r="BF53" s="224"/>
      <c r="BG53" s="216"/>
      <c r="BH53" s="217"/>
      <c r="BI53" s="217"/>
      <c r="BJ53" s="216"/>
      <c r="BK53" s="375"/>
      <c r="BL53" s="375"/>
      <c r="BM53" s="375"/>
      <c r="BN53" s="375"/>
      <c r="BO53" s="442"/>
      <c r="BP53" s="154"/>
      <c r="BR53" s="304"/>
      <c r="BY53" s="154"/>
      <c r="CI53" s="154"/>
      <c r="CJ53" s="215"/>
      <c r="CK53" s="224"/>
      <c r="CL53" s="216"/>
      <c r="CM53" s="217"/>
      <c r="CN53" s="217"/>
      <c r="CO53" s="216"/>
      <c r="CP53" s="216"/>
      <c r="CQ53" s="216"/>
      <c r="CS53" s="154"/>
      <c r="CT53" s="215"/>
      <c r="CU53" s="538"/>
      <c r="CV53" s="216"/>
      <c r="CW53" s="217"/>
      <c r="CX53" s="217"/>
      <c r="CY53" s="216"/>
      <c r="CZ53" s="216"/>
      <c r="DA53" s="216"/>
      <c r="DB53" s="216"/>
      <c r="DE53" s="580"/>
      <c r="DF53" s="579"/>
      <c r="DG53" s="224"/>
      <c r="DH53" s="217"/>
      <c r="DI53" s="217"/>
      <c r="DJ53" s="217"/>
      <c r="DK53" s="216"/>
      <c r="DL53" s="216"/>
      <c r="JE53" s="153"/>
    </row>
    <row r="54" spans="2:265" ht="18.75" customHeight="1" x14ac:dyDescent="0.25">
      <c r="B54" s="215"/>
      <c r="C54" s="224"/>
      <c r="D54" s="216"/>
      <c r="E54" s="217"/>
      <c r="F54" s="217"/>
      <c r="G54" s="216"/>
      <c r="H54" s="216"/>
      <c r="J54" s="155">
        <v>34</v>
      </c>
      <c r="K54" s="330" t="s">
        <v>799</v>
      </c>
      <c r="L54" s="324" t="s">
        <v>717</v>
      </c>
      <c r="M54" s="192" t="s">
        <v>801</v>
      </c>
      <c r="N54" s="264">
        <v>42</v>
      </c>
      <c r="O54" s="264" t="s">
        <v>98</v>
      </c>
      <c r="P54" s="192" t="s">
        <v>235</v>
      </c>
      <c r="Q54" s="192" t="s">
        <v>688</v>
      </c>
      <c r="S54" s="361"/>
      <c r="T54" s="362"/>
      <c r="U54" s="363"/>
      <c r="V54" s="364"/>
      <c r="W54" s="365"/>
      <c r="X54" s="365"/>
      <c r="Y54" s="364"/>
      <c r="Z54" s="364"/>
      <c r="AC54" s="375"/>
      <c r="AD54" s="215"/>
      <c r="AE54" s="224"/>
      <c r="AF54" s="216"/>
      <c r="AG54" s="217"/>
      <c r="AH54" s="217"/>
      <c r="AI54" s="217"/>
      <c r="AJ54" s="217"/>
      <c r="AL54" s="154"/>
      <c r="AU54" s="418"/>
      <c r="BD54" s="154"/>
      <c r="BE54" s="332"/>
      <c r="BF54" s="224"/>
      <c r="BG54" s="216"/>
      <c r="BH54" s="217"/>
      <c r="BI54" s="217"/>
      <c r="BJ54" s="216"/>
      <c r="BK54" s="375"/>
      <c r="BL54" s="375"/>
      <c r="BM54" s="375"/>
      <c r="BN54" s="375"/>
      <c r="BO54" s="442"/>
      <c r="BP54" s="154"/>
      <c r="BQ54" s="376"/>
      <c r="BR54" s="303"/>
      <c r="BS54" s="216"/>
      <c r="BT54" s="216"/>
      <c r="BU54" s="217"/>
      <c r="BV54" s="216"/>
      <c r="BW54" s="216"/>
      <c r="BY54" s="154"/>
      <c r="BZ54" s="215"/>
      <c r="CA54" s="224"/>
      <c r="CB54" s="216"/>
      <c r="CC54" s="216"/>
      <c r="CD54" s="217"/>
      <c r="CE54" s="217"/>
      <c r="CF54" s="216"/>
      <c r="CI54" s="154"/>
      <c r="CJ54" s="215"/>
      <c r="CK54" s="224"/>
      <c r="CL54" s="216"/>
      <c r="CM54" s="217"/>
      <c r="CN54" s="217"/>
      <c r="CO54" s="216"/>
      <c r="CP54" s="216"/>
      <c r="CQ54" s="216"/>
      <c r="CS54" s="154"/>
      <c r="CT54" s="215"/>
      <c r="CU54" s="538"/>
      <c r="CV54" s="216"/>
      <c r="CW54" s="217"/>
      <c r="CX54" s="217"/>
      <c r="CY54" s="216"/>
      <c r="CZ54" s="216"/>
      <c r="DA54" s="216"/>
      <c r="DB54" s="216"/>
      <c r="DE54" s="580"/>
      <c r="DF54" s="579"/>
      <c r="DG54" s="224"/>
      <c r="DH54" s="217"/>
      <c r="DI54" s="217"/>
      <c r="DJ54" s="217"/>
      <c r="DK54" s="216"/>
      <c r="DL54" s="216"/>
      <c r="JE54" s="153"/>
    </row>
    <row r="55" spans="2:265" ht="18.75" customHeight="1" x14ac:dyDescent="0.25">
      <c r="B55" s="215"/>
      <c r="C55" s="224"/>
      <c r="D55" s="216"/>
      <c r="E55" s="217"/>
      <c r="F55" s="217"/>
      <c r="G55" s="216"/>
      <c r="H55" s="216"/>
      <c r="J55" s="259">
        <v>35</v>
      </c>
      <c r="K55" s="249" t="s">
        <v>800</v>
      </c>
      <c r="L55" s="323" t="s">
        <v>717</v>
      </c>
      <c r="M55" s="192" t="s">
        <v>802</v>
      </c>
      <c r="N55" s="264">
        <v>55</v>
      </c>
      <c r="O55" s="264" t="s">
        <v>98</v>
      </c>
      <c r="P55" s="192" t="s">
        <v>235</v>
      </c>
      <c r="Q55" s="192" t="s">
        <v>688</v>
      </c>
      <c r="S55" s="361"/>
      <c r="T55" s="362"/>
      <c r="U55" s="363"/>
      <c r="V55" s="364"/>
      <c r="W55" s="365"/>
      <c r="X55" s="365"/>
      <c r="Y55" s="364"/>
      <c r="Z55" s="364"/>
      <c r="AL55" s="154"/>
      <c r="AU55" s="418"/>
      <c r="BD55" s="154"/>
      <c r="BP55" s="154"/>
      <c r="BQ55" s="376"/>
      <c r="BR55" s="303"/>
      <c r="BS55" s="216"/>
      <c r="BT55" s="216"/>
      <c r="BU55" s="217"/>
      <c r="BV55" s="216"/>
      <c r="BW55" s="216"/>
      <c r="BY55" s="154"/>
      <c r="BZ55" s="215"/>
      <c r="CA55" s="224"/>
      <c r="CB55" s="216"/>
      <c r="CC55" s="216"/>
      <c r="CD55" s="217"/>
      <c r="CE55" s="217"/>
      <c r="CF55" s="216"/>
      <c r="CI55" s="154"/>
      <c r="CJ55" s="519"/>
      <c r="CO55" s="153"/>
      <c r="CP55" s="153"/>
      <c r="CQ55" s="153"/>
      <c r="CS55" s="154"/>
      <c r="CT55" s="215"/>
      <c r="CU55" s="538"/>
      <c r="CV55" s="216"/>
      <c r="CW55" s="217"/>
      <c r="CX55" s="217"/>
      <c r="CY55" s="216"/>
      <c r="CZ55" s="216"/>
      <c r="DA55" s="216"/>
      <c r="DB55" s="216"/>
      <c r="DE55" s="580"/>
      <c r="DF55" s="579"/>
      <c r="DG55" s="224"/>
      <c r="DH55" s="217"/>
      <c r="DI55" s="217"/>
      <c r="DJ55" s="217"/>
      <c r="DK55" s="216"/>
      <c r="DL55" s="216"/>
      <c r="JE55" s="153"/>
    </row>
    <row r="56" spans="2:265" ht="18.75" customHeight="1" x14ac:dyDescent="0.25">
      <c r="B56" s="215"/>
      <c r="C56" s="224"/>
      <c r="D56" s="216"/>
      <c r="E56" s="217"/>
      <c r="F56" s="217"/>
      <c r="G56" s="216"/>
      <c r="H56" s="216"/>
      <c r="S56" s="361"/>
      <c r="T56" s="362"/>
      <c r="U56" s="363"/>
      <c r="V56" s="364"/>
      <c r="W56" s="365"/>
      <c r="X56" s="365"/>
      <c r="Y56" s="364"/>
      <c r="Z56" s="364"/>
      <c r="AC56" s="375"/>
      <c r="AL56" s="154"/>
      <c r="AU56" s="418"/>
      <c r="BD56" s="154"/>
      <c r="BP56" s="154"/>
      <c r="BR56" s="304"/>
      <c r="BY56" s="154"/>
      <c r="BZ56" s="215"/>
      <c r="CA56" s="224"/>
      <c r="CB56" s="216"/>
      <c r="CC56" s="216"/>
      <c r="CD56" s="217"/>
      <c r="CE56" s="217"/>
      <c r="CF56" s="216"/>
      <c r="CI56" s="154"/>
      <c r="CJ56" s="519"/>
      <c r="CO56" s="153"/>
      <c r="CP56" s="153"/>
      <c r="CQ56" s="153"/>
      <c r="CS56" s="154"/>
      <c r="CT56" s="215"/>
      <c r="CU56" s="538"/>
      <c r="CV56" s="216"/>
      <c r="CW56" s="217"/>
      <c r="CX56" s="217"/>
      <c r="CY56" s="216"/>
      <c r="CZ56" s="216"/>
      <c r="DA56" s="216"/>
      <c r="DB56" s="216"/>
      <c r="DE56" s="580"/>
      <c r="DF56" s="579"/>
      <c r="DG56" s="224"/>
      <c r="DH56" s="217"/>
      <c r="DI56" s="217"/>
      <c r="DJ56" s="217"/>
      <c r="DK56" s="216"/>
      <c r="DL56" s="216"/>
      <c r="JE56" s="153"/>
    </row>
    <row r="57" spans="2:265" ht="18.75" customHeight="1" x14ac:dyDescent="0.25">
      <c r="B57" s="215"/>
      <c r="C57" s="224"/>
      <c r="D57" s="216"/>
      <c r="E57" s="217"/>
      <c r="F57" s="217"/>
      <c r="G57" s="216"/>
      <c r="H57" s="216"/>
      <c r="J57" s="154"/>
      <c r="K57" s="332"/>
      <c r="L57" s="224"/>
      <c r="M57" s="216"/>
      <c r="N57" s="326"/>
      <c r="O57" s="326"/>
      <c r="P57" s="216"/>
      <c r="Q57" s="216"/>
      <c r="S57" s="361"/>
      <c r="T57" s="362"/>
      <c r="U57" s="363"/>
      <c r="V57" s="364"/>
      <c r="W57" s="365"/>
      <c r="X57" s="365"/>
      <c r="Y57" s="364"/>
      <c r="Z57" s="364"/>
      <c r="AC57" s="375"/>
      <c r="AL57" s="154"/>
      <c r="AU57" s="418"/>
      <c r="BD57" s="154"/>
      <c r="BP57" s="154"/>
      <c r="BR57" s="304"/>
      <c r="BY57" s="154"/>
      <c r="BZ57" s="215"/>
      <c r="CA57" s="224"/>
      <c r="CB57" s="216"/>
      <c r="CC57" s="216"/>
      <c r="CD57" s="217"/>
      <c r="CE57" s="217"/>
      <c r="CF57" s="216"/>
      <c r="CI57" s="154"/>
      <c r="CO57" s="153"/>
      <c r="CP57" s="153"/>
      <c r="CQ57" s="153"/>
      <c r="CS57" s="154"/>
      <c r="CT57" s="215"/>
      <c r="CU57" s="538"/>
      <c r="CV57" s="216"/>
      <c r="CW57" s="217"/>
      <c r="CX57" s="217"/>
      <c r="CY57" s="216"/>
      <c r="CZ57" s="216"/>
      <c r="DA57" s="216"/>
      <c r="DB57" s="216"/>
      <c r="DE57" s="580"/>
      <c r="DF57" s="579"/>
      <c r="DG57" s="224"/>
      <c r="DH57" s="217"/>
      <c r="DI57" s="217"/>
      <c r="DJ57" s="217"/>
      <c r="DK57" s="216"/>
      <c r="DL57" s="216"/>
      <c r="JE57" s="153"/>
    </row>
    <row r="58" spans="2:265" ht="18.75" customHeight="1" x14ac:dyDescent="0.25">
      <c r="B58" s="215"/>
      <c r="C58" s="224"/>
      <c r="D58" s="216"/>
      <c r="E58" s="217"/>
      <c r="F58" s="217"/>
      <c r="G58" s="216"/>
      <c r="H58" s="216"/>
      <c r="J58" s="154"/>
      <c r="K58" s="332"/>
      <c r="L58" s="224"/>
      <c r="M58" s="216"/>
      <c r="N58" s="326"/>
      <c r="O58" s="326"/>
      <c r="P58" s="216"/>
      <c r="Q58" s="216"/>
      <c r="S58" s="361"/>
      <c r="T58" s="362"/>
      <c r="U58" s="363"/>
      <c r="V58" s="364"/>
      <c r="W58" s="365"/>
      <c r="X58" s="365"/>
      <c r="Y58" s="364"/>
      <c r="Z58" s="364"/>
      <c r="AC58" s="375"/>
      <c r="AL58" s="154"/>
      <c r="AM58" s="215"/>
      <c r="AN58" s="224"/>
      <c r="AO58" s="216"/>
      <c r="AP58" s="216"/>
      <c r="AQ58" s="217"/>
      <c r="AR58" s="217"/>
      <c r="AS58" s="217"/>
      <c r="AU58" s="418"/>
      <c r="BD58" s="154"/>
      <c r="BP58" s="154"/>
      <c r="BR58" s="304"/>
      <c r="BY58" s="154"/>
      <c r="BZ58" s="215"/>
      <c r="CA58" s="224"/>
      <c r="CB58" s="216"/>
      <c r="CC58" s="216"/>
      <c r="CD58" s="217"/>
      <c r="CE58" s="217"/>
      <c r="CF58" s="216"/>
      <c r="CI58" s="154"/>
      <c r="CO58" s="153"/>
      <c r="CP58" s="153"/>
      <c r="CQ58" s="153"/>
      <c r="CS58" s="154"/>
      <c r="CT58" s="215"/>
      <c r="CU58" s="538"/>
      <c r="CV58" s="216"/>
      <c r="CW58" s="217"/>
      <c r="CX58" s="217"/>
      <c r="CY58" s="216"/>
      <c r="CZ58" s="216"/>
      <c r="DA58" s="216"/>
      <c r="DB58" s="216"/>
      <c r="DE58" s="580"/>
      <c r="DF58" s="579"/>
      <c r="DG58" s="224"/>
      <c r="DH58" s="217"/>
      <c r="DI58" s="217"/>
      <c r="DJ58" s="217"/>
      <c r="DK58" s="216"/>
      <c r="DL58" s="216"/>
      <c r="JE58" s="153"/>
    </row>
    <row r="59" spans="2:265" ht="18.75" customHeight="1" x14ac:dyDescent="0.25">
      <c r="B59" s="215"/>
      <c r="C59" s="224"/>
      <c r="D59" s="216"/>
      <c r="E59" s="217"/>
      <c r="F59" s="217"/>
      <c r="G59" s="216"/>
      <c r="H59" s="216"/>
      <c r="J59" s="154"/>
      <c r="K59" s="332"/>
      <c r="L59" s="224"/>
      <c r="M59" s="216"/>
      <c r="N59" s="326"/>
      <c r="O59" s="326"/>
      <c r="P59" s="216"/>
      <c r="Q59" s="216"/>
      <c r="S59" s="361"/>
      <c r="T59" s="362"/>
      <c r="U59" s="363"/>
      <c r="V59" s="364"/>
      <c r="W59" s="365"/>
      <c r="X59" s="365"/>
      <c r="Y59" s="364"/>
      <c r="Z59" s="364"/>
      <c r="AC59" s="375"/>
      <c r="AL59" s="154"/>
      <c r="AM59" s="215"/>
      <c r="AN59" s="224"/>
      <c r="AO59" s="216"/>
      <c r="AP59" s="216"/>
      <c r="AQ59" s="217"/>
      <c r="AR59" s="217"/>
      <c r="AS59" s="217"/>
      <c r="AU59" s="418"/>
      <c r="AV59" s="419"/>
      <c r="AY59" s="365"/>
      <c r="BD59" s="154"/>
      <c r="BP59" s="154"/>
      <c r="BR59" s="304"/>
      <c r="BY59" s="154"/>
      <c r="BZ59" s="215"/>
      <c r="CA59" s="224"/>
      <c r="CB59" s="216"/>
      <c r="CC59" s="216"/>
      <c r="CD59" s="217"/>
      <c r="CE59" s="217"/>
      <c r="CF59" s="216"/>
      <c r="CI59" s="154"/>
      <c r="CO59" s="153"/>
      <c r="CP59" s="153"/>
      <c r="CQ59" s="153"/>
      <c r="CS59" s="154"/>
      <c r="CT59" s="215"/>
      <c r="CU59" s="538"/>
      <c r="CV59" s="216"/>
      <c r="CW59" s="217"/>
      <c r="CX59" s="217"/>
      <c r="CY59" s="216"/>
      <c r="CZ59" s="216"/>
      <c r="DA59" s="216"/>
      <c r="DB59" s="216"/>
      <c r="DE59" s="580"/>
      <c r="DF59" s="579"/>
      <c r="DG59" s="224"/>
      <c r="DH59" s="217"/>
      <c r="DI59" s="217"/>
      <c r="DJ59" s="217"/>
      <c r="DK59" s="216"/>
      <c r="DL59" s="216"/>
      <c r="JE59" s="153"/>
    </row>
    <row r="60" spans="2:265" ht="18.75" customHeight="1" x14ac:dyDescent="0.25">
      <c r="B60" s="215"/>
      <c r="C60" s="224"/>
      <c r="D60" s="216"/>
      <c r="E60" s="217"/>
      <c r="F60" s="217"/>
      <c r="G60" s="216"/>
      <c r="H60" s="216"/>
      <c r="J60" s="154"/>
      <c r="K60" s="332"/>
      <c r="L60" s="224"/>
      <c r="M60" s="216"/>
      <c r="N60" s="326"/>
      <c r="O60" s="326"/>
      <c r="P60" s="216"/>
      <c r="Q60" s="216"/>
      <c r="S60" s="361"/>
      <c r="T60" s="362"/>
      <c r="U60" s="363"/>
      <c r="V60" s="364"/>
      <c r="W60" s="365"/>
      <c r="X60" s="365"/>
      <c r="Y60" s="364"/>
      <c r="Z60" s="364"/>
      <c r="AC60" s="375"/>
      <c r="AD60" s="215"/>
      <c r="AE60" s="224"/>
      <c r="AF60" s="216"/>
      <c r="AG60" s="217"/>
      <c r="AH60" s="217"/>
      <c r="AI60" s="217"/>
      <c r="AJ60" s="217"/>
      <c r="AL60" s="154"/>
      <c r="AM60" s="215"/>
      <c r="AN60" s="224"/>
      <c r="AO60" s="216"/>
      <c r="AP60" s="216"/>
      <c r="AQ60" s="217"/>
      <c r="AR60" s="217"/>
      <c r="AS60" s="217"/>
      <c r="AU60" s="418"/>
      <c r="AV60" s="419"/>
      <c r="AY60" s="365"/>
      <c r="BD60" s="154"/>
      <c r="BP60" s="154"/>
      <c r="BR60" s="304"/>
      <c r="BY60" s="154"/>
      <c r="CI60" s="154"/>
      <c r="CO60" s="153"/>
      <c r="CP60" s="153"/>
      <c r="CQ60" s="153"/>
      <c r="CS60" s="154"/>
      <c r="CT60" s="215"/>
      <c r="CU60" s="538"/>
      <c r="CV60" s="216"/>
      <c r="CW60" s="217"/>
      <c r="CX60" s="217"/>
      <c r="CY60" s="216"/>
      <c r="CZ60" s="216"/>
      <c r="DA60" s="216"/>
      <c r="DB60" s="216"/>
      <c r="DE60" s="580"/>
      <c r="DF60" s="579"/>
      <c r="DG60" s="224"/>
      <c r="DH60" s="217"/>
      <c r="DI60" s="217"/>
      <c r="DJ60" s="217"/>
      <c r="DK60" s="216"/>
      <c r="DL60" s="216"/>
      <c r="JE60" s="153"/>
    </row>
    <row r="61" spans="2:265" ht="18.75" customHeight="1" x14ac:dyDescent="0.25">
      <c r="B61" s="215"/>
      <c r="C61" s="224"/>
      <c r="D61" s="216"/>
      <c r="E61" s="217"/>
      <c r="F61" s="217"/>
      <c r="G61" s="216"/>
      <c r="H61" s="216"/>
      <c r="J61" s="154"/>
      <c r="K61" s="332"/>
      <c r="L61" s="224"/>
      <c r="M61" s="216"/>
      <c r="N61" s="326"/>
      <c r="O61" s="326"/>
      <c r="P61" s="216"/>
      <c r="Q61" s="216"/>
      <c r="S61" s="361"/>
      <c r="T61" s="362"/>
      <c r="U61" s="363"/>
      <c r="V61" s="364"/>
      <c r="W61" s="365"/>
      <c r="X61" s="365"/>
      <c r="Y61" s="364"/>
      <c r="Z61" s="364"/>
      <c r="AC61" s="375"/>
      <c r="AD61" s="215"/>
      <c r="AE61" s="224"/>
      <c r="AF61" s="216"/>
      <c r="AG61" s="217"/>
      <c r="AH61" s="217"/>
      <c r="AI61" s="217"/>
      <c r="AJ61" s="217"/>
      <c r="AL61" s="154"/>
      <c r="AM61" s="215"/>
      <c r="AN61" s="224"/>
      <c r="AO61" s="216"/>
      <c r="AP61" s="216"/>
      <c r="AQ61" s="217"/>
      <c r="AR61" s="217"/>
      <c r="AS61" s="217"/>
      <c r="AU61" s="418"/>
      <c r="AV61" s="419"/>
      <c r="AY61" s="365"/>
      <c r="BD61" s="154"/>
      <c r="BP61" s="154"/>
      <c r="BR61" s="304"/>
      <c r="BY61" s="154"/>
      <c r="CI61" s="154"/>
      <c r="CJ61" s="215"/>
      <c r="CK61" s="224"/>
      <c r="CL61" s="216"/>
      <c r="CM61" s="217"/>
      <c r="CN61" s="217"/>
      <c r="CO61" s="216"/>
      <c r="CP61" s="216"/>
      <c r="CQ61" s="216"/>
      <c r="CS61" s="154"/>
      <c r="CT61" s="215"/>
      <c r="CU61" s="538"/>
      <c r="CV61" s="216"/>
      <c r="CW61" s="217"/>
      <c r="CX61" s="217"/>
      <c r="CY61" s="216"/>
      <c r="CZ61" s="216"/>
      <c r="DA61" s="216"/>
      <c r="DB61" s="216"/>
      <c r="DE61" s="580"/>
      <c r="DF61" s="579"/>
      <c r="DG61" s="224"/>
      <c r="DH61" s="217"/>
      <c r="DI61" s="217"/>
      <c r="DJ61" s="217"/>
      <c r="DK61" s="216"/>
      <c r="DL61" s="216"/>
      <c r="JE61" s="153"/>
    </row>
    <row r="62" spans="2:265" ht="18.75" customHeight="1" x14ac:dyDescent="0.25">
      <c r="B62" s="215"/>
      <c r="C62" s="224"/>
      <c r="D62" s="216"/>
      <c r="E62" s="217"/>
      <c r="F62" s="217"/>
      <c r="G62" s="216"/>
      <c r="H62" s="216"/>
      <c r="J62" s="154"/>
      <c r="K62" s="332"/>
      <c r="L62" s="224"/>
      <c r="M62" s="216"/>
      <c r="N62" s="326"/>
      <c r="O62" s="326"/>
      <c r="P62" s="216"/>
      <c r="Q62" s="216"/>
      <c r="S62" s="361"/>
      <c r="T62" s="362"/>
      <c r="U62" s="363"/>
      <c r="V62" s="364"/>
      <c r="W62" s="365"/>
      <c r="X62" s="365"/>
      <c r="Y62" s="364"/>
      <c r="Z62" s="364"/>
      <c r="AC62" s="375"/>
      <c r="AD62" s="215"/>
      <c r="AE62" s="224"/>
      <c r="AF62" s="216"/>
      <c r="AG62" s="217"/>
      <c r="AH62" s="217"/>
      <c r="AI62" s="217"/>
      <c r="AJ62" s="217"/>
      <c r="AL62" s="154"/>
      <c r="AM62" s="215"/>
      <c r="AN62" s="224"/>
      <c r="AO62" s="216"/>
      <c r="AP62" s="216"/>
      <c r="AQ62" s="217"/>
      <c r="AR62" s="217"/>
      <c r="AS62" s="217"/>
      <c r="AU62" s="418"/>
      <c r="AV62" s="419"/>
      <c r="AY62" s="365"/>
      <c r="BD62" s="154"/>
      <c r="BP62" s="154"/>
      <c r="BQ62" s="376"/>
      <c r="BR62" s="303"/>
      <c r="BS62" s="216"/>
      <c r="BT62" s="216"/>
      <c r="BU62" s="217"/>
      <c r="BV62" s="216"/>
      <c r="BW62" s="216"/>
      <c r="BY62" s="154"/>
      <c r="CI62" s="154"/>
      <c r="CJ62" s="215"/>
      <c r="CK62" s="224"/>
      <c r="CL62" s="216"/>
      <c r="CM62" s="217"/>
      <c r="CN62" s="217"/>
      <c r="CO62" s="216"/>
      <c r="CP62" s="216"/>
      <c r="CQ62" s="216"/>
      <c r="CS62" s="154"/>
      <c r="CT62" s="215"/>
      <c r="CU62" s="538"/>
      <c r="CV62" s="216"/>
      <c r="CW62" s="217"/>
      <c r="CX62" s="217"/>
      <c r="CY62" s="216"/>
      <c r="CZ62" s="216"/>
      <c r="DA62" s="216"/>
      <c r="DB62" s="216"/>
      <c r="DE62" s="580"/>
      <c r="DF62" s="579"/>
      <c r="DG62" s="538"/>
      <c r="DH62" s="217"/>
      <c r="DI62" s="217"/>
      <c r="DJ62" s="217"/>
      <c r="DK62" s="216"/>
      <c r="DL62" s="216"/>
      <c r="JE62" s="153"/>
    </row>
    <row r="63" spans="2:265" ht="18.75" customHeight="1" x14ac:dyDescent="0.25">
      <c r="B63" s="215"/>
      <c r="C63" s="224"/>
      <c r="D63" s="216"/>
      <c r="E63" s="217"/>
      <c r="F63" s="217"/>
      <c r="G63" s="216"/>
      <c r="H63" s="216"/>
      <c r="J63" s="154"/>
      <c r="K63" s="332"/>
      <c r="L63" s="224"/>
      <c r="M63" s="216"/>
      <c r="N63" s="326"/>
      <c r="O63" s="326"/>
      <c r="P63" s="216"/>
      <c r="Q63" s="216"/>
      <c r="S63" s="361"/>
      <c r="T63" s="362"/>
      <c r="U63" s="363"/>
      <c r="V63" s="364"/>
      <c r="W63" s="365"/>
      <c r="X63" s="365"/>
      <c r="Y63" s="364"/>
      <c r="Z63" s="364"/>
      <c r="AC63" s="375"/>
      <c r="AD63" s="215"/>
      <c r="AE63" s="224"/>
      <c r="AF63" s="216"/>
      <c r="AG63" s="217"/>
      <c r="AH63" s="217"/>
      <c r="AI63" s="217"/>
      <c r="AJ63" s="217"/>
      <c r="AL63" s="154"/>
      <c r="AM63" s="215"/>
      <c r="AN63" s="224"/>
      <c r="AO63" s="216"/>
      <c r="AP63" s="216"/>
      <c r="AQ63" s="217"/>
      <c r="AR63" s="217"/>
      <c r="AS63" s="217"/>
      <c r="AU63" s="418"/>
      <c r="BD63" s="154"/>
      <c r="BE63" s="215"/>
      <c r="BF63" s="224"/>
      <c r="BG63" s="216"/>
      <c r="BH63" s="446"/>
      <c r="BI63" s="217"/>
      <c r="BJ63" s="216"/>
      <c r="BK63" s="216"/>
      <c r="BL63" s="216"/>
      <c r="BM63" s="216"/>
      <c r="BN63" s="216"/>
      <c r="BO63" s="442"/>
      <c r="BP63" s="154"/>
      <c r="BQ63" s="376"/>
      <c r="BR63" s="303"/>
      <c r="BS63" s="216"/>
      <c r="BT63" s="216"/>
      <c r="BU63" s="217"/>
      <c r="BV63" s="216"/>
      <c r="BW63" s="216"/>
      <c r="BY63" s="154"/>
      <c r="CI63" s="154"/>
      <c r="CJ63" s="215"/>
      <c r="CK63" s="224"/>
      <c r="CL63" s="216"/>
      <c r="CM63" s="217"/>
      <c r="CN63" s="217"/>
      <c r="CO63" s="216"/>
      <c r="CP63" s="216"/>
      <c r="CQ63" s="216"/>
      <c r="CS63" s="154"/>
      <c r="CT63" s="215"/>
      <c r="CU63" s="538"/>
      <c r="CV63" s="216"/>
      <c r="CW63" s="217"/>
      <c r="CX63" s="217"/>
      <c r="CY63" s="216"/>
      <c r="CZ63" s="216"/>
      <c r="DA63" s="216"/>
      <c r="DB63" s="216"/>
      <c r="DE63" s="580"/>
      <c r="DF63" s="579"/>
      <c r="DG63" s="538"/>
      <c r="DH63" s="217"/>
      <c r="DI63" s="217"/>
      <c r="DJ63" s="217"/>
      <c r="DK63" s="216"/>
      <c r="DL63" s="216"/>
      <c r="JE63" s="153"/>
    </row>
    <row r="64" spans="2:265" ht="18.75" customHeight="1" x14ac:dyDescent="0.25">
      <c r="B64" s="215"/>
      <c r="C64" s="224"/>
      <c r="D64" s="216"/>
      <c r="E64" s="217"/>
      <c r="F64" s="217"/>
      <c r="G64" s="216"/>
      <c r="H64" s="216"/>
      <c r="J64" s="154"/>
      <c r="K64" s="332"/>
      <c r="L64" s="224"/>
      <c r="M64" s="216"/>
      <c r="N64" s="326"/>
      <c r="O64" s="326"/>
      <c r="P64" s="216"/>
      <c r="Q64" s="216"/>
      <c r="S64" s="361"/>
      <c r="T64" s="362"/>
      <c r="U64" s="363"/>
      <c r="V64" s="364"/>
      <c r="W64" s="365"/>
      <c r="X64" s="365"/>
      <c r="Y64" s="364"/>
      <c r="Z64" s="364"/>
      <c r="AC64" s="375"/>
      <c r="AD64" s="215"/>
      <c r="AE64" s="224"/>
      <c r="AF64" s="216"/>
      <c r="AG64" s="217"/>
      <c r="AH64" s="217"/>
      <c r="AI64" s="217"/>
      <c r="AJ64" s="217"/>
      <c r="AL64" s="154"/>
      <c r="AM64" s="215"/>
      <c r="AN64" s="224"/>
      <c r="AO64" s="216"/>
      <c r="AP64" s="216"/>
      <c r="AQ64" s="217"/>
      <c r="AR64" s="217"/>
      <c r="AS64" s="217"/>
      <c r="AU64" s="418"/>
      <c r="BD64" s="154"/>
      <c r="BE64" s="215"/>
      <c r="BF64" s="224"/>
      <c r="BG64" s="216"/>
      <c r="BH64" s="446"/>
      <c r="BI64" s="217"/>
      <c r="BJ64" s="216"/>
      <c r="BK64" s="216"/>
      <c r="BL64" s="216"/>
      <c r="BM64" s="216"/>
      <c r="BN64" s="216"/>
      <c r="BO64" s="442"/>
      <c r="BP64" s="154"/>
      <c r="BQ64" s="376"/>
      <c r="BR64" s="303"/>
      <c r="BS64" s="216"/>
      <c r="BT64" s="216"/>
      <c r="BU64" s="217"/>
      <c r="BV64" s="216"/>
      <c r="BW64" s="216"/>
      <c r="BY64" s="154"/>
      <c r="CI64" s="154"/>
      <c r="CJ64" s="215"/>
      <c r="CK64" s="224"/>
      <c r="CL64" s="216"/>
      <c r="CM64" s="217"/>
      <c r="CN64" s="217"/>
      <c r="CO64" s="216"/>
      <c r="CP64" s="216"/>
      <c r="CQ64" s="216"/>
      <c r="CS64" s="154"/>
      <c r="CT64" s="215"/>
      <c r="CU64" s="538"/>
      <c r="CV64" s="216"/>
      <c r="CW64" s="217"/>
      <c r="CX64" s="217"/>
      <c r="CY64" s="216"/>
      <c r="CZ64" s="216"/>
      <c r="DA64" s="216"/>
      <c r="DB64" s="216"/>
      <c r="DE64" s="580"/>
      <c r="DF64" s="579"/>
      <c r="DG64" s="538"/>
      <c r="DH64" s="217"/>
      <c r="DI64" s="217"/>
      <c r="DJ64" s="217"/>
      <c r="DK64" s="216"/>
      <c r="DL64" s="216"/>
      <c r="JE64" s="153"/>
    </row>
    <row r="65" spans="2:265" ht="18.75" customHeight="1" x14ac:dyDescent="0.25">
      <c r="B65" s="215"/>
      <c r="C65" s="224"/>
      <c r="D65" s="216"/>
      <c r="E65" s="217"/>
      <c r="F65" s="217"/>
      <c r="G65" s="216"/>
      <c r="H65" s="216"/>
      <c r="J65" s="154"/>
      <c r="K65" s="332"/>
      <c r="L65" s="224"/>
      <c r="M65" s="216"/>
      <c r="N65" s="326"/>
      <c r="O65" s="326"/>
      <c r="P65" s="216"/>
      <c r="Q65" s="216"/>
      <c r="S65" s="361"/>
      <c r="T65" s="362"/>
      <c r="U65" s="363"/>
      <c r="V65" s="364"/>
      <c r="W65" s="365"/>
      <c r="X65" s="365"/>
      <c r="Y65" s="364"/>
      <c r="Z65" s="364"/>
      <c r="AC65" s="375"/>
      <c r="AL65" s="154"/>
      <c r="AM65" s="215"/>
      <c r="AN65" s="224"/>
      <c r="AO65" s="216"/>
      <c r="AP65" s="216"/>
      <c r="AQ65" s="217"/>
      <c r="AR65" s="217"/>
      <c r="AS65" s="217"/>
      <c r="AU65" s="418"/>
      <c r="BD65" s="154"/>
      <c r="BE65" s="215"/>
      <c r="BF65" s="224"/>
      <c r="BG65" s="216"/>
      <c r="BH65" s="446"/>
      <c r="BI65" s="217"/>
      <c r="BJ65" s="216"/>
      <c r="BK65" s="216"/>
      <c r="BL65" s="216"/>
      <c r="BM65" s="216"/>
      <c r="BN65" s="216"/>
      <c r="BO65" s="442"/>
      <c r="BP65" s="154"/>
      <c r="BQ65" s="376"/>
      <c r="BR65" s="303"/>
      <c r="BS65" s="216"/>
      <c r="BT65" s="216"/>
      <c r="BU65" s="217"/>
      <c r="BV65" s="216"/>
      <c r="BW65" s="216"/>
      <c r="BY65" s="154"/>
      <c r="CI65" s="154"/>
      <c r="CJ65" s="215"/>
      <c r="CK65" s="224"/>
      <c r="CL65" s="216"/>
      <c r="CM65" s="217"/>
      <c r="CN65" s="217"/>
      <c r="CO65" s="216"/>
      <c r="CP65" s="216"/>
      <c r="CQ65" s="216"/>
      <c r="CS65" s="154"/>
      <c r="CT65" s="215"/>
      <c r="CU65" s="538"/>
      <c r="CV65" s="216"/>
      <c r="CW65" s="217"/>
      <c r="CX65" s="217"/>
      <c r="CY65" s="216"/>
      <c r="CZ65" s="216"/>
      <c r="DA65" s="216"/>
      <c r="DB65" s="216"/>
      <c r="DE65" s="580"/>
      <c r="DF65" s="579"/>
      <c r="DG65" s="538"/>
      <c r="DH65" s="217"/>
      <c r="DI65" s="217"/>
      <c r="DJ65" s="217"/>
      <c r="DK65" s="216"/>
      <c r="DL65" s="216"/>
      <c r="JE65" s="153"/>
    </row>
    <row r="66" spans="2:265" ht="18.75" customHeight="1" x14ac:dyDescent="0.25">
      <c r="B66" s="215"/>
      <c r="C66" s="224"/>
      <c r="D66" s="216"/>
      <c r="E66" s="217"/>
      <c r="F66" s="217"/>
      <c r="G66" s="216"/>
      <c r="H66" s="216"/>
      <c r="J66" s="154"/>
      <c r="K66" s="332"/>
      <c r="L66" s="224"/>
      <c r="M66" s="216"/>
      <c r="N66" s="326"/>
      <c r="O66" s="326"/>
      <c r="P66" s="216"/>
      <c r="Q66" s="216"/>
      <c r="S66" s="361"/>
      <c r="T66" s="362"/>
      <c r="U66" s="363"/>
      <c r="V66" s="364"/>
      <c r="W66" s="365"/>
      <c r="X66" s="365"/>
      <c r="Y66" s="364"/>
      <c r="Z66" s="364"/>
      <c r="AC66" s="375"/>
      <c r="AL66" s="154"/>
      <c r="AM66" s="215"/>
      <c r="AN66" s="224"/>
      <c r="AO66" s="216"/>
      <c r="AP66" s="216"/>
      <c r="AQ66" s="217"/>
      <c r="AR66" s="217"/>
      <c r="AS66" s="217"/>
      <c r="AU66" s="418"/>
      <c r="BD66" s="154"/>
      <c r="BE66" s="215"/>
      <c r="BF66" s="224"/>
      <c r="BG66" s="216"/>
      <c r="BH66" s="446"/>
      <c r="BI66" s="217"/>
      <c r="BJ66" s="216"/>
      <c r="BK66" s="216"/>
      <c r="BL66" s="216"/>
      <c r="BM66" s="216"/>
      <c r="BN66" s="216"/>
      <c r="BO66" s="442"/>
      <c r="BP66" s="154"/>
      <c r="BQ66" s="376"/>
      <c r="BR66" s="303"/>
      <c r="BS66" s="216"/>
      <c r="BT66" s="216"/>
      <c r="BU66" s="217"/>
      <c r="BV66" s="216"/>
      <c r="BW66" s="216"/>
      <c r="BY66" s="154"/>
      <c r="CI66" s="154"/>
      <c r="CJ66" s="215"/>
      <c r="CK66" s="224"/>
      <c r="CL66" s="216"/>
      <c r="CM66" s="217"/>
      <c r="CN66" s="217"/>
      <c r="CO66" s="216"/>
      <c r="CP66" s="216"/>
      <c r="CQ66" s="216"/>
      <c r="CS66" s="154"/>
      <c r="CT66" s="215"/>
      <c r="CU66" s="538"/>
      <c r="CV66" s="216"/>
      <c r="CW66" s="217"/>
      <c r="CX66" s="217"/>
      <c r="CY66" s="216"/>
      <c r="CZ66" s="216"/>
      <c r="DA66" s="216"/>
      <c r="DB66" s="216"/>
      <c r="DE66" s="580"/>
      <c r="DF66" s="579"/>
      <c r="DG66" s="538"/>
      <c r="DH66" s="217"/>
      <c r="DI66" s="217"/>
      <c r="DJ66" s="217"/>
      <c r="DK66" s="216"/>
      <c r="DL66" s="216"/>
      <c r="JE66" s="153"/>
    </row>
    <row r="67" spans="2:265" ht="18.75" customHeight="1" x14ac:dyDescent="0.25">
      <c r="B67" s="215"/>
      <c r="C67" s="224"/>
      <c r="D67" s="216"/>
      <c r="E67" s="217"/>
      <c r="F67" s="217"/>
      <c r="G67" s="216"/>
      <c r="H67" s="216"/>
      <c r="J67" s="154"/>
      <c r="K67" s="332"/>
      <c r="L67" s="224"/>
      <c r="M67" s="216"/>
      <c r="N67" s="326"/>
      <c r="O67" s="326"/>
      <c r="P67" s="216"/>
      <c r="Q67" s="216"/>
      <c r="S67" s="361"/>
      <c r="T67" s="362"/>
      <c r="U67" s="363"/>
      <c r="V67" s="364"/>
      <c r="W67" s="365"/>
      <c r="X67" s="365"/>
      <c r="Y67" s="364"/>
      <c r="Z67" s="364"/>
      <c r="AC67" s="375"/>
      <c r="AL67" s="154"/>
      <c r="AM67" s="215"/>
      <c r="AN67" s="224"/>
      <c r="AO67" s="216"/>
      <c r="AP67" s="216"/>
      <c r="AQ67" s="217"/>
      <c r="AR67" s="217"/>
      <c r="AS67" s="217"/>
      <c r="AU67" s="418"/>
      <c r="BD67" s="154"/>
      <c r="BE67" s="215"/>
      <c r="BF67" s="224"/>
      <c r="BG67" s="216"/>
      <c r="BH67" s="446"/>
      <c r="BI67" s="217"/>
      <c r="BJ67" s="216"/>
      <c r="BK67" s="216"/>
      <c r="BL67" s="216"/>
      <c r="BM67" s="216"/>
      <c r="BN67" s="216"/>
      <c r="BO67" s="442"/>
      <c r="BP67" s="154"/>
      <c r="BQ67" s="376"/>
      <c r="BR67" s="303"/>
      <c r="BS67" s="216"/>
      <c r="BT67" s="216"/>
      <c r="BU67" s="217"/>
      <c r="BV67" s="216"/>
      <c r="BW67" s="216"/>
      <c r="BY67" s="154"/>
      <c r="CI67" s="154"/>
      <c r="CJ67" s="215"/>
      <c r="CK67" s="224"/>
      <c r="CL67" s="216"/>
      <c r="CM67" s="217"/>
      <c r="CN67" s="217"/>
      <c r="CO67" s="216"/>
      <c r="CP67" s="216"/>
      <c r="CQ67" s="216"/>
      <c r="CS67" s="154"/>
      <c r="CT67" s="215"/>
      <c r="CU67" s="538"/>
      <c r="CV67" s="216"/>
      <c r="CW67" s="217"/>
      <c r="CX67" s="217"/>
      <c r="CY67" s="216"/>
      <c r="CZ67" s="216"/>
      <c r="DA67" s="216"/>
      <c r="DB67" s="216"/>
      <c r="DE67" s="580"/>
      <c r="DF67" s="579"/>
      <c r="DG67" s="538"/>
      <c r="DH67" s="217"/>
      <c r="DI67" s="217"/>
      <c r="DJ67" s="217"/>
      <c r="DK67" s="216"/>
      <c r="DL67" s="216"/>
      <c r="JE67" s="153"/>
    </row>
    <row r="68" spans="2:265" ht="18.75" customHeight="1" x14ac:dyDescent="0.25">
      <c r="B68" s="215"/>
      <c r="C68" s="224"/>
      <c r="D68" s="216"/>
      <c r="E68" s="217"/>
      <c r="F68" s="217"/>
      <c r="G68" s="216"/>
      <c r="H68" s="216"/>
      <c r="S68" s="361"/>
      <c r="T68" s="362"/>
      <c r="U68" s="363"/>
      <c r="V68" s="364"/>
      <c r="W68" s="365"/>
      <c r="X68" s="365"/>
      <c r="Y68" s="364"/>
      <c r="Z68" s="364"/>
      <c r="AC68" s="375"/>
      <c r="AL68" s="154"/>
      <c r="AM68" s="215"/>
      <c r="AN68" s="224"/>
      <c r="AO68" s="216"/>
      <c r="AP68" s="216"/>
      <c r="AQ68" s="217"/>
      <c r="AR68" s="217"/>
      <c r="AS68" s="217"/>
      <c r="AU68" s="418"/>
      <c r="BD68" s="154"/>
      <c r="BE68" s="215"/>
      <c r="BF68" s="224"/>
      <c r="BG68" s="216"/>
      <c r="BH68" s="446"/>
      <c r="BI68" s="217"/>
      <c r="BJ68" s="216"/>
      <c r="BK68" s="216"/>
      <c r="BL68" s="216"/>
      <c r="BM68" s="216"/>
      <c r="BN68" s="216"/>
      <c r="BO68" s="442"/>
      <c r="BP68" s="154"/>
      <c r="BQ68" s="376"/>
      <c r="BR68" s="303"/>
      <c r="BS68" s="216"/>
      <c r="BT68" s="216"/>
      <c r="BU68" s="217"/>
      <c r="BV68" s="216"/>
      <c r="BW68" s="216"/>
      <c r="BY68" s="154"/>
      <c r="BZ68" s="215"/>
      <c r="CA68" s="224"/>
      <c r="CB68" s="216"/>
      <c r="CC68" s="216"/>
      <c r="CD68" s="217"/>
      <c r="CE68" s="217"/>
      <c r="CF68" s="216"/>
      <c r="CI68" s="154"/>
      <c r="CJ68" s="215"/>
      <c r="CK68" s="224"/>
      <c r="CL68" s="216"/>
      <c r="CM68" s="217"/>
      <c r="CN68" s="217"/>
      <c r="CO68" s="216"/>
      <c r="CP68" s="216"/>
      <c r="CQ68" s="216"/>
      <c r="CS68" s="154"/>
      <c r="CT68" s="215"/>
      <c r="CU68" s="538"/>
      <c r="CV68" s="216"/>
      <c r="CW68" s="217"/>
      <c r="CX68" s="217"/>
      <c r="CY68" s="216"/>
      <c r="CZ68" s="216"/>
      <c r="DA68" s="216"/>
      <c r="DB68" s="216"/>
      <c r="DE68" s="580"/>
      <c r="DF68" s="579"/>
      <c r="DG68" s="538"/>
      <c r="DH68" s="217"/>
      <c r="DI68" s="217"/>
      <c r="DJ68" s="217"/>
      <c r="DK68" s="216"/>
      <c r="DL68" s="216"/>
      <c r="JE68" s="153"/>
    </row>
    <row r="69" spans="2:265" ht="18.75" customHeight="1" x14ac:dyDescent="0.25">
      <c r="B69" s="215"/>
      <c r="C69" s="224"/>
      <c r="D69" s="216"/>
      <c r="E69" s="217"/>
      <c r="F69" s="217"/>
      <c r="G69" s="216"/>
      <c r="H69" s="216"/>
      <c r="S69" s="361"/>
      <c r="T69" s="362"/>
      <c r="U69" s="363"/>
      <c r="V69" s="364"/>
      <c r="W69" s="365"/>
      <c r="X69" s="365"/>
      <c r="Y69" s="364"/>
      <c r="Z69" s="364"/>
      <c r="AC69" s="375"/>
      <c r="AD69" s="215"/>
      <c r="AE69" s="224"/>
      <c r="AF69" s="216"/>
      <c r="AG69" s="217"/>
      <c r="AH69" s="217"/>
      <c r="AI69" s="217"/>
      <c r="AJ69" s="217"/>
      <c r="AL69" s="154"/>
      <c r="AM69" s="215"/>
      <c r="AN69" s="224"/>
      <c r="AO69" s="216"/>
      <c r="AP69" s="216"/>
      <c r="AQ69" s="217"/>
      <c r="AR69" s="217"/>
      <c r="AS69" s="217"/>
      <c r="AU69" s="418"/>
      <c r="BD69" s="154"/>
      <c r="BE69" s="215"/>
      <c r="BF69" s="224"/>
      <c r="BG69" s="216"/>
      <c r="BH69" s="446"/>
      <c r="BI69" s="217"/>
      <c r="BJ69" s="216"/>
      <c r="BK69" s="216"/>
      <c r="BL69" s="216"/>
      <c r="BM69" s="216"/>
      <c r="BN69" s="216"/>
      <c r="BO69" s="442"/>
      <c r="BP69" s="154"/>
      <c r="BQ69" s="376"/>
      <c r="BR69" s="303"/>
      <c r="BS69" s="216"/>
      <c r="BT69" s="216"/>
      <c r="BU69" s="217"/>
      <c r="BV69" s="216"/>
      <c r="BW69" s="216"/>
      <c r="BY69" s="154"/>
      <c r="BZ69" s="215"/>
      <c r="CA69" s="224"/>
      <c r="CB69" s="216"/>
      <c r="CC69" s="216"/>
      <c r="CD69" s="217"/>
      <c r="CE69" s="217"/>
      <c r="CF69" s="216"/>
      <c r="CI69" s="154"/>
      <c r="CJ69" s="215"/>
      <c r="CK69" s="224"/>
      <c r="CL69" s="216"/>
      <c r="CM69" s="217"/>
      <c r="CN69" s="217"/>
      <c r="CO69" s="216"/>
      <c r="CP69" s="216"/>
      <c r="CQ69" s="216"/>
      <c r="CS69" s="154"/>
      <c r="CT69" s="215"/>
      <c r="CU69" s="538"/>
      <c r="CV69" s="216"/>
      <c r="CW69" s="217"/>
      <c r="CX69" s="217"/>
      <c r="CY69" s="216"/>
      <c r="CZ69" s="216"/>
      <c r="DA69" s="216"/>
      <c r="DB69" s="216"/>
      <c r="DE69" s="580"/>
      <c r="DF69" s="579"/>
      <c r="DG69" s="538"/>
      <c r="DH69" s="217"/>
      <c r="DI69" s="217"/>
      <c r="DJ69" s="217"/>
      <c r="DK69" s="216"/>
      <c r="DL69" s="216"/>
      <c r="JE69" s="153"/>
    </row>
    <row r="70" spans="2:265" ht="18.75" customHeight="1" x14ac:dyDescent="0.25">
      <c r="B70" s="215"/>
      <c r="C70" s="224"/>
      <c r="D70" s="216"/>
      <c r="E70" s="217"/>
      <c r="F70" s="217"/>
      <c r="G70" s="216"/>
      <c r="H70" s="216"/>
      <c r="AC70" s="375"/>
      <c r="AD70" s="215"/>
      <c r="AE70" s="224"/>
      <c r="AF70" s="216"/>
      <c r="AG70" s="217"/>
      <c r="AH70" s="217"/>
      <c r="AI70" s="217"/>
      <c r="AJ70" s="217"/>
      <c r="AL70" s="154"/>
      <c r="AM70" s="215"/>
      <c r="AN70" s="224"/>
      <c r="AO70" s="216"/>
      <c r="AP70" s="216"/>
      <c r="AQ70" s="217"/>
      <c r="AR70" s="217"/>
      <c r="AS70" s="217"/>
      <c r="AU70" s="418"/>
      <c r="BD70" s="154"/>
      <c r="BE70" s="215"/>
      <c r="BF70" s="224"/>
      <c r="BG70" s="216"/>
      <c r="BH70" s="446"/>
      <c r="BI70" s="217"/>
      <c r="BJ70" s="216"/>
      <c r="BK70" s="216"/>
      <c r="BL70" s="216"/>
      <c r="BM70" s="216"/>
      <c r="BN70" s="216"/>
      <c r="BO70" s="442"/>
      <c r="BP70" s="154"/>
      <c r="BQ70" s="376"/>
      <c r="BR70" s="303"/>
      <c r="BS70" s="216"/>
      <c r="BT70" s="216"/>
      <c r="BU70" s="217"/>
      <c r="BV70" s="216"/>
      <c r="BW70" s="216"/>
      <c r="BY70" s="154"/>
      <c r="BZ70" s="215"/>
      <c r="CA70" s="224"/>
      <c r="CB70" s="216"/>
      <c r="CC70" s="216"/>
      <c r="CD70" s="217"/>
      <c r="CE70" s="217"/>
      <c r="CF70" s="216"/>
      <c r="CI70" s="154"/>
      <c r="CJ70" s="215"/>
      <c r="CK70" s="224"/>
      <c r="CL70" s="216"/>
      <c r="CM70" s="217"/>
      <c r="CN70" s="217"/>
      <c r="CO70" s="216"/>
      <c r="CP70" s="216"/>
      <c r="CQ70" s="216"/>
      <c r="CS70" s="154"/>
      <c r="CT70" s="215"/>
      <c r="CU70" s="538"/>
      <c r="CV70" s="216"/>
      <c r="CW70" s="217"/>
      <c r="CX70" s="217"/>
      <c r="CY70" s="216"/>
      <c r="CZ70" s="216"/>
      <c r="DA70" s="216"/>
      <c r="DB70" s="216"/>
      <c r="DE70" s="580"/>
      <c r="DF70" s="579"/>
      <c r="DG70" s="538"/>
      <c r="DH70" s="217"/>
      <c r="DI70" s="217"/>
      <c r="DJ70" s="217"/>
      <c r="DK70" s="216"/>
      <c r="DL70" s="216"/>
      <c r="JE70" s="153"/>
    </row>
    <row r="71" spans="2:265" ht="18.75" customHeight="1" x14ac:dyDescent="0.25">
      <c r="B71" s="215"/>
      <c r="C71" s="224"/>
      <c r="D71" s="216"/>
      <c r="E71" s="217"/>
      <c r="F71" s="217"/>
      <c r="G71" s="216"/>
      <c r="H71" s="216"/>
      <c r="AC71" s="375"/>
      <c r="AD71" s="215"/>
      <c r="AE71" s="224"/>
      <c r="AF71" s="216"/>
      <c r="AG71" s="217"/>
      <c r="AH71" s="217"/>
      <c r="AI71" s="217"/>
      <c r="AJ71" s="217"/>
      <c r="AL71" s="154"/>
      <c r="AM71" s="215"/>
      <c r="AN71" s="224"/>
      <c r="AO71" s="216"/>
      <c r="AP71" s="216"/>
      <c r="AQ71" s="217"/>
      <c r="AR71" s="217"/>
      <c r="AS71" s="217"/>
      <c r="AU71" s="418"/>
      <c r="BD71" s="154"/>
      <c r="BE71" s="215"/>
      <c r="BF71" s="224"/>
      <c r="BG71" s="216"/>
      <c r="BH71" s="446"/>
      <c r="BI71" s="217"/>
      <c r="BJ71" s="216"/>
      <c r="BK71" s="216"/>
      <c r="BL71" s="216"/>
      <c r="BM71" s="216"/>
      <c r="BN71" s="216"/>
      <c r="BO71" s="442"/>
      <c r="BP71" s="154"/>
      <c r="BQ71" s="376"/>
      <c r="BR71" s="303"/>
      <c r="BS71" s="216"/>
      <c r="BT71" s="216"/>
      <c r="BU71" s="217"/>
      <c r="BV71" s="216"/>
      <c r="BW71" s="216"/>
      <c r="BY71" s="154"/>
      <c r="BZ71" s="215"/>
      <c r="CA71" s="224"/>
      <c r="CB71" s="216"/>
      <c r="CC71" s="216"/>
      <c r="CD71" s="217"/>
      <c r="CE71" s="217"/>
      <c r="CF71" s="216"/>
      <c r="CI71" s="154"/>
      <c r="CJ71" s="215"/>
      <c r="CK71" s="224"/>
      <c r="CL71" s="216"/>
      <c r="CM71" s="217"/>
      <c r="CN71" s="217"/>
      <c r="CO71" s="216"/>
      <c r="CP71" s="216"/>
      <c r="CQ71" s="216"/>
      <c r="CS71" s="154"/>
      <c r="CT71" s="215"/>
      <c r="CU71" s="538"/>
      <c r="CV71" s="216"/>
      <c r="CW71" s="217"/>
      <c r="CX71" s="217"/>
      <c r="CY71" s="216"/>
      <c r="CZ71" s="216"/>
      <c r="DA71" s="216"/>
      <c r="DB71" s="216"/>
      <c r="DE71" s="580"/>
      <c r="DF71" s="579"/>
      <c r="DG71" s="538"/>
      <c r="DH71" s="217"/>
      <c r="DI71" s="217"/>
      <c r="DJ71" s="217"/>
      <c r="DK71" s="216"/>
      <c r="DL71" s="216"/>
      <c r="JE71" s="153"/>
    </row>
    <row r="72" spans="2:265" ht="18.75" customHeight="1" x14ac:dyDescent="0.25">
      <c r="B72" s="215"/>
      <c r="C72" s="224"/>
      <c r="D72" s="216"/>
      <c r="E72" s="217"/>
      <c r="F72" s="217"/>
      <c r="G72" s="216"/>
      <c r="H72" s="216"/>
      <c r="AC72" s="375"/>
      <c r="AD72" s="215"/>
      <c r="AE72" s="224"/>
      <c r="AF72" s="216"/>
      <c r="AG72" s="217"/>
      <c r="AH72" s="217"/>
      <c r="AI72" s="217"/>
      <c r="AJ72" s="217"/>
      <c r="AL72" s="154"/>
      <c r="AM72" s="215"/>
      <c r="AN72" s="224"/>
      <c r="AO72" s="216"/>
      <c r="AP72" s="216"/>
      <c r="AQ72" s="217"/>
      <c r="AR72" s="217"/>
      <c r="AS72" s="217"/>
      <c r="AU72" s="418"/>
      <c r="AV72" s="419"/>
      <c r="AY72" s="365"/>
      <c r="BD72" s="154"/>
      <c r="BE72" s="215"/>
      <c r="BF72" s="224"/>
      <c r="BG72" s="216"/>
      <c r="BH72" s="446"/>
      <c r="BI72" s="217"/>
      <c r="BJ72" s="216"/>
      <c r="BK72" s="216"/>
      <c r="BL72" s="216"/>
      <c r="BM72" s="216"/>
      <c r="BN72" s="216"/>
      <c r="BO72" s="442"/>
      <c r="BP72" s="154"/>
      <c r="BQ72" s="376"/>
      <c r="BR72" s="303"/>
      <c r="BS72" s="216"/>
      <c r="BT72" s="216"/>
      <c r="BU72" s="217"/>
      <c r="BV72" s="216"/>
      <c r="BW72" s="216"/>
      <c r="BY72" s="154"/>
      <c r="BZ72" s="215"/>
      <c r="CA72" s="224"/>
      <c r="CB72" s="216"/>
      <c r="CC72" s="216"/>
      <c r="CD72" s="217"/>
      <c r="CE72" s="217"/>
      <c r="CF72" s="216"/>
      <c r="CI72" s="154"/>
      <c r="CJ72" s="215"/>
      <c r="CK72" s="224"/>
      <c r="CL72" s="216"/>
      <c r="CM72" s="217"/>
      <c r="CN72" s="217"/>
      <c r="CO72" s="216"/>
      <c r="CP72" s="216"/>
      <c r="CQ72" s="216"/>
      <c r="CS72" s="154"/>
      <c r="CT72" s="215"/>
      <c r="CU72" s="538"/>
      <c r="CV72" s="216"/>
      <c r="CW72" s="217"/>
      <c r="CX72" s="217"/>
      <c r="CY72" s="216"/>
      <c r="CZ72" s="216"/>
      <c r="DA72" s="216"/>
      <c r="DB72" s="216"/>
      <c r="DE72" s="580"/>
      <c r="DF72" s="579"/>
      <c r="DG72" s="538"/>
      <c r="DH72" s="217"/>
      <c r="DI72" s="217"/>
      <c r="DJ72" s="217"/>
      <c r="DK72" s="216"/>
      <c r="DL72" s="216"/>
      <c r="JE72" s="153"/>
    </row>
    <row r="73" spans="2:265" ht="18.75" customHeight="1" x14ac:dyDescent="0.25">
      <c r="B73" s="215"/>
      <c r="C73" s="224"/>
      <c r="D73" s="216"/>
      <c r="E73" s="217"/>
      <c r="F73" s="217"/>
      <c r="G73" s="216"/>
      <c r="H73" s="216"/>
      <c r="AC73" s="375"/>
      <c r="AD73" s="215"/>
      <c r="AE73" s="224"/>
      <c r="AF73" s="216"/>
      <c r="AG73" s="217"/>
      <c r="AH73" s="217"/>
      <c r="AI73" s="217"/>
      <c r="AJ73" s="217"/>
      <c r="AL73" s="154"/>
      <c r="AM73" s="215"/>
      <c r="AN73" s="224"/>
      <c r="AO73" s="216"/>
      <c r="AP73" s="216"/>
      <c r="AQ73" s="217"/>
      <c r="AR73" s="217"/>
      <c r="AS73" s="217"/>
      <c r="AU73" s="418"/>
      <c r="AV73" s="419"/>
      <c r="AY73" s="365"/>
      <c r="BD73" s="154"/>
      <c r="BE73" s="215"/>
      <c r="BF73" s="224"/>
      <c r="BG73" s="216"/>
      <c r="BH73" s="446"/>
      <c r="BI73" s="217"/>
      <c r="BJ73" s="216"/>
      <c r="BK73" s="216"/>
      <c r="BL73" s="216"/>
      <c r="BM73" s="216"/>
      <c r="BN73" s="216"/>
      <c r="BO73" s="442"/>
      <c r="BP73" s="154"/>
      <c r="BQ73" s="376"/>
      <c r="BR73" s="303"/>
      <c r="BS73" s="216"/>
      <c r="BT73" s="216"/>
      <c r="BU73" s="217"/>
      <c r="BV73" s="216"/>
      <c r="BW73" s="216"/>
      <c r="BY73" s="154"/>
      <c r="BZ73" s="215"/>
      <c r="CA73" s="224"/>
      <c r="CB73" s="216"/>
      <c r="CC73" s="216"/>
      <c r="CD73" s="217"/>
      <c r="CE73" s="217"/>
      <c r="CF73" s="216"/>
      <c r="CI73" s="154"/>
      <c r="CJ73" s="215"/>
      <c r="CK73" s="224"/>
      <c r="CL73" s="216"/>
      <c r="CM73" s="217"/>
      <c r="CN73" s="217"/>
      <c r="CO73" s="216"/>
      <c r="CP73" s="216"/>
      <c r="CQ73" s="216"/>
      <c r="CS73" s="154"/>
      <c r="CT73" s="215"/>
      <c r="CU73" s="538"/>
      <c r="CV73" s="216"/>
      <c r="CW73" s="217"/>
      <c r="CX73" s="217"/>
      <c r="CY73" s="216"/>
      <c r="CZ73" s="216"/>
      <c r="DA73" s="216"/>
      <c r="DB73" s="216"/>
      <c r="DE73" s="580"/>
      <c r="DF73" s="579"/>
      <c r="DG73" s="538"/>
      <c r="DH73" s="217"/>
      <c r="DI73" s="217"/>
      <c r="DJ73" s="217"/>
      <c r="DK73" s="216"/>
      <c r="DL73" s="216"/>
      <c r="JE73" s="153"/>
    </row>
    <row r="74" spans="2:265" ht="18.75" customHeight="1" x14ac:dyDescent="0.25">
      <c r="B74" s="215"/>
      <c r="C74" s="224"/>
      <c r="D74" s="216"/>
      <c r="E74" s="217"/>
      <c r="F74" s="217"/>
      <c r="G74" s="216"/>
      <c r="H74" s="216"/>
      <c r="AC74" s="375"/>
      <c r="AL74" s="154"/>
      <c r="AM74" s="215"/>
      <c r="AN74" s="224"/>
      <c r="AO74" s="216"/>
      <c r="AP74" s="216"/>
      <c r="AQ74" s="217"/>
      <c r="AR74" s="217"/>
      <c r="AS74" s="217"/>
      <c r="AU74" s="418"/>
      <c r="AV74" s="419"/>
      <c r="AY74" s="365"/>
      <c r="BD74" s="154"/>
      <c r="BE74" s="215"/>
      <c r="BF74" s="224"/>
      <c r="BG74" s="216"/>
      <c r="BH74" s="446"/>
      <c r="BI74" s="217"/>
      <c r="BJ74" s="216"/>
      <c r="BK74" s="216"/>
      <c r="BL74" s="216"/>
      <c r="BM74" s="216"/>
      <c r="BN74" s="216"/>
      <c r="BO74" s="442"/>
      <c r="BP74" s="154"/>
      <c r="BQ74" s="376"/>
      <c r="BR74" s="303"/>
      <c r="BS74" s="216"/>
      <c r="BT74" s="216"/>
      <c r="BU74" s="217"/>
      <c r="BV74" s="216"/>
      <c r="BW74" s="216"/>
      <c r="BY74" s="154"/>
      <c r="BZ74" s="215"/>
      <c r="CA74" s="224"/>
      <c r="CB74" s="216"/>
      <c r="CC74" s="216"/>
      <c r="CD74" s="217"/>
      <c r="CE74" s="217"/>
      <c r="CF74" s="216"/>
      <c r="CI74" s="154"/>
      <c r="CJ74" s="215"/>
      <c r="CK74" s="224"/>
      <c r="CL74" s="216"/>
      <c r="CM74" s="217"/>
      <c r="CN74" s="217"/>
      <c r="CO74" s="216"/>
      <c r="CP74" s="216"/>
      <c r="CQ74" s="216"/>
      <c r="CS74" s="154"/>
      <c r="CT74" s="215"/>
      <c r="CU74" s="538"/>
      <c r="CV74" s="216"/>
      <c r="CW74" s="217"/>
      <c r="CX74" s="217"/>
      <c r="CY74" s="216"/>
      <c r="CZ74" s="216"/>
      <c r="DA74" s="216"/>
      <c r="DB74" s="216"/>
      <c r="DE74" s="580"/>
      <c r="DF74" s="579"/>
      <c r="DG74" s="538"/>
      <c r="DH74" s="217"/>
      <c r="DI74" s="217"/>
      <c r="DJ74" s="217"/>
      <c r="DK74" s="216"/>
      <c r="DL74" s="216"/>
      <c r="JE74" s="153"/>
    </row>
    <row r="75" spans="2:265" ht="18.75" customHeight="1" x14ac:dyDescent="0.25">
      <c r="B75" s="215"/>
      <c r="C75" s="224"/>
      <c r="D75" s="216"/>
      <c r="E75" s="217"/>
      <c r="F75" s="217"/>
      <c r="G75" s="216"/>
      <c r="H75" s="216"/>
      <c r="AC75" s="375"/>
      <c r="AL75" s="154"/>
      <c r="AM75" s="215"/>
      <c r="AN75" s="224"/>
      <c r="AO75" s="216"/>
      <c r="AP75" s="216"/>
      <c r="AQ75" s="217"/>
      <c r="AR75" s="217"/>
      <c r="AS75" s="217"/>
      <c r="AU75" s="418"/>
      <c r="AV75" s="419"/>
      <c r="AY75" s="365"/>
      <c r="BD75" s="154"/>
      <c r="BE75" s="215"/>
      <c r="BF75" s="224"/>
      <c r="BG75" s="216"/>
      <c r="BH75" s="446"/>
      <c r="BI75" s="217"/>
      <c r="BJ75" s="216"/>
      <c r="BK75" s="216"/>
      <c r="BL75" s="216"/>
      <c r="BM75" s="216"/>
      <c r="BN75" s="216"/>
      <c r="BO75" s="442"/>
      <c r="BP75" s="154"/>
      <c r="BQ75" s="376"/>
      <c r="BR75" s="303"/>
      <c r="BS75" s="216"/>
      <c r="BT75" s="216"/>
      <c r="BU75" s="217"/>
      <c r="BV75" s="216"/>
      <c r="BW75" s="216"/>
      <c r="BY75" s="154"/>
      <c r="BZ75" s="215"/>
      <c r="CA75" s="224"/>
      <c r="CB75" s="216"/>
      <c r="CC75" s="216"/>
      <c r="CD75" s="217"/>
      <c r="CE75" s="217"/>
      <c r="CF75" s="216"/>
      <c r="CI75" s="154"/>
      <c r="CJ75" s="534"/>
      <c r="CK75" s="535"/>
      <c r="CL75" s="536"/>
      <c r="CM75" s="537"/>
      <c r="CN75" s="537"/>
      <c r="CO75" s="536"/>
      <c r="CP75" s="536"/>
      <c r="CQ75" s="536"/>
      <c r="CS75" s="154"/>
      <c r="CT75" s="215"/>
      <c r="CU75" s="538"/>
      <c r="CV75" s="216"/>
      <c r="CW75" s="217"/>
      <c r="CX75" s="217"/>
      <c r="CY75" s="216"/>
      <c r="CZ75" s="216"/>
      <c r="DA75" s="216"/>
      <c r="DB75" s="216"/>
      <c r="DE75" s="580"/>
      <c r="DF75" s="579"/>
      <c r="DG75" s="538"/>
      <c r="DH75" s="217"/>
      <c r="DI75" s="217"/>
      <c r="DJ75" s="217"/>
      <c r="DK75" s="216"/>
      <c r="DL75" s="216"/>
      <c r="JE75" s="153"/>
    </row>
    <row r="76" spans="2:265" ht="18.75" customHeight="1" x14ac:dyDescent="0.25">
      <c r="B76" s="215"/>
      <c r="C76" s="224"/>
      <c r="D76" s="216"/>
      <c r="E76" s="217"/>
      <c r="F76" s="217"/>
      <c r="G76" s="216"/>
      <c r="H76" s="216"/>
      <c r="AC76" s="375"/>
      <c r="AL76" s="154"/>
      <c r="AU76" s="418"/>
      <c r="AV76" s="419"/>
      <c r="AY76" s="365"/>
      <c r="BD76" s="154"/>
      <c r="BE76" s="215"/>
      <c r="BF76" s="224"/>
      <c r="BG76" s="216"/>
      <c r="BH76" s="446"/>
      <c r="BI76" s="217"/>
      <c r="BJ76" s="216"/>
      <c r="BK76" s="216"/>
      <c r="BL76" s="216"/>
      <c r="BM76" s="216"/>
      <c r="BN76" s="216"/>
      <c r="BO76" s="442"/>
      <c r="BP76" s="154"/>
      <c r="BQ76" s="376"/>
      <c r="BR76" s="303"/>
      <c r="BS76" s="216"/>
      <c r="BT76" s="216"/>
      <c r="BU76" s="217"/>
      <c r="BV76" s="216"/>
      <c r="BW76" s="216"/>
      <c r="BY76" s="154"/>
      <c r="BZ76" s="215"/>
      <c r="CA76" s="224"/>
      <c r="CB76" s="216"/>
      <c r="CC76" s="216"/>
      <c r="CD76" s="217"/>
      <c r="CE76" s="217"/>
      <c r="CF76" s="216"/>
      <c r="CI76" s="154"/>
      <c r="CJ76" s="215"/>
      <c r="CK76" s="224"/>
      <c r="CL76" s="216"/>
      <c r="CM76" s="217"/>
      <c r="CN76" s="217"/>
      <c r="CO76" s="216"/>
      <c r="CP76" s="216"/>
      <c r="CQ76" s="216"/>
      <c r="CS76" s="154"/>
      <c r="CT76" s="215"/>
      <c r="CU76" s="538"/>
      <c r="CV76" s="216"/>
      <c r="CW76" s="217"/>
      <c r="CX76" s="217"/>
      <c r="CY76" s="216"/>
      <c r="CZ76" s="216"/>
      <c r="DA76" s="216"/>
      <c r="DB76" s="216"/>
      <c r="DE76" s="580"/>
      <c r="DF76" s="579"/>
      <c r="DG76" s="538"/>
      <c r="DH76" s="217"/>
      <c r="DI76" s="217"/>
      <c r="DJ76" s="217"/>
      <c r="DK76" s="216"/>
      <c r="DL76" s="216"/>
      <c r="JE76" s="153"/>
    </row>
    <row r="77" spans="2:265" ht="18.75" customHeight="1" x14ac:dyDescent="0.25">
      <c r="B77" s="215"/>
      <c r="C77" s="224"/>
      <c r="D77" s="216"/>
      <c r="E77" s="217"/>
      <c r="F77" s="217"/>
      <c r="G77" s="216"/>
      <c r="H77" s="216"/>
      <c r="AC77" s="375"/>
      <c r="AL77" s="154"/>
      <c r="AU77" s="418"/>
      <c r="AV77" s="419"/>
      <c r="AY77" s="365"/>
      <c r="BD77" s="154"/>
      <c r="BE77" s="215"/>
      <c r="BF77" s="224"/>
      <c r="BG77" s="216"/>
      <c r="BH77" s="446"/>
      <c r="BI77" s="217"/>
      <c r="BJ77" s="216"/>
      <c r="BK77" s="216"/>
      <c r="BL77" s="216"/>
      <c r="BM77" s="216"/>
      <c r="BN77" s="216"/>
      <c r="BO77" s="442"/>
      <c r="BP77" s="154"/>
      <c r="BQ77" s="376"/>
      <c r="BR77" s="303"/>
      <c r="BS77" s="216"/>
      <c r="BT77" s="216"/>
      <c r="BU77" s="217"/>
      <c r="BV77" s="216"/>
      <c r="BW77" s="216"/>
      <c r="BY77" s="154"/>
      <c r="BZ77" s="215"/>
      <c r="CA77" s="224"/>
      <c r="CB77" s="216"/>
      <c r="CC77" s="216"/>
      <c r="CD77" s="217"/>
      <c r="CE77" s="217"/>
      <c r="CF77" s="216"/>
      <c r="CI77" s="154"/>
      <c r="CJ77" s="215"/>
      <c r="CK77" s="224"/>
      <c r="CL77" s="216"/>
      <c r="CM77" s="217"/>
      <c r="CN77" s="217"/>
      <c r="CO77" s="216"/>
      <c r="CP77" s="216"/>
      <c r="CQ77" s="216"/>
      <c r="CS77" s="154"/>
      <c r="CT77" s="215"/>
      <c r="CU77" s="538"/>
      <c r="CV77" s="216"/>
      <c r="CW77" s="217"/>
      <c r="CX77" s="217"/>
      <c r="CY77" s="216"/>
      <c r="CZ77" s="216"/>
      <c r="DA77" s="216"/>
      <c r="DB77" s="216"/>
      <c r="DE77" s="580"/>
      <c r="DF77" s="579"/>
      <c r="DG77" s="538"/>
      <c r="DH77" s="217"/>
      <c r="DI77" s="217"/>
      <c r="DJ77" s="217"/>
      <c r="DK77" s="216"/>
      <c r="DL77" s="216"/>
      <c r="JE77" s="153"/>
    </row>
    <row r="78" spans="2:265" ht="18.75" customHeight="1" x14ac:dyDescent="0.25">
      <c r="B78" s="215"/>
      <c r="C78" s="224"/>
      <c r="D78" s="216"/>
      <c r="E78" s="217"/>
      <c r="F78" s="217"/>
      <c r="G78" s="216"/>
      <c r="H78" s="216"/>
      <c r="AC78" s="375"/>
      <c r="AL78" s="154"/>
      <c r="AU78" s="418"/>
      <c r="AV78" s="419"/>
      <c r="AY78" s="365"/>
      <c r="BD78" s="154"/>
      <c r="BE78" s="215"/>
      <c r="BF78" s="224"/>
      <c r="BG78" s="216"/>
      <c r="BH78" s="446"/>
      <c r="BI78" s="217"/>
      <c r="BJ78" s="216"/>
      <c r="BK78" s="216"/>
      <c r="BL78" s="216"/>
      <c r="BM78" s="216"/>
      <c r="BN78" s="216"/>
      <c r="BO78" s="442"/>
      <c r="BP78" s="154"/>
      <c r="BQ78" s="376"/>
      <c r="BR78" s="303"/>
      <c r="BS78" s="216"/>
      <c r="BT78" s="216"/>
      <c r="BU78" s="217"/>
      <c r="BV78" s="216"/>
      <c r="BW78" s="216"/>
      <c r="BY78" s="154"/>
      <c r="BZ78" s="215"/>
      <c r="CA78" s="224"/>
      <c r="CB78" s="216"/>
      <c r="CC78" s="216"/>
      <c r="CD78" s="217"/>
      <c r="CE78" s="217"/>
      <c r="CF78" s="216"/>
      <c r="CI78" s="154"/>
      <c r="CJ78" s="215"/>
      <c r="CK78" s="224"/>
      <c r="CL78" s="216"/>
      <c r="CM78" s="217"/>
      <c r="CN78" s="217"/>
      <c r="CO78" s="216"/>
      <c r="CP78" s="216"/>
      <c r="CQ78" s="216"/>
      <c r="CS78" s="154"/>
      <c r="CT78" s="215"/>
      <c r="CU78" s="538"/>
      <c r="CV78" s="216"/>
      <c r="CW78" s="217"/>
      <c r="CX78" s="217"/>
      <c r="CY78" s="216"/>
      <c r="CZ78" s="216"/>
      <c r="DA78" s="216"/>
      <c r="DB78" s="216"/>
      <c r="DE78" s="580"/>
      <c r="DF78" s="579"/>
      <c r="DG78" s="538"/>
      <c r="DH78" s="217"/>
      <c r="DI78" s="217"/>
      <c r="DJ78" s="217"/>
      <c r="DK78" s="216"/>
      <c r="DL78" s="216"/>
      <c r="JE78" s="153"/>
    </row>
    <row r="79" spans="2:265" ht="18.75" customHeight="1" x14ac:dyDescent="0.25">
      <c r="B79" s="215"/>
      <c r="C79" s="224"/>
      <c r="D79" s="216"/>
      <c r="E79" s="217"/>
      <c r="F79" s="217"/>
      <c r="G79" s="216"/>
      <c r="H79" s="216"/>
      <c r="AC79" s="375"/>
      <c r="AL79" s="154"/>
      <c r="AU79" s="418"/>
      <c r="AV79" s="419"/>
      <c r="AY79" s="365"/>
      <c r="BD79" s="154"/>
      <c r="BE79" s="215"/>
      <c r="BF79" s="224"/>
      <c r="BG79" s="216"/>
      <c r="BH79" s="446"/>
      <c r="BI79" s="217"/>
      <c r="BJ79" s="216"/>
      <c r="BK79" s="216"/>
      <c r="BL79" s="216"/>
      <c r="BM79" s="216"/>
      <c r="BN79" s="216"/>
      <c r="BO79" s="442"/>
      <c r="BP79" s="154"/>
      <c r="BQ79" s="376"/>
      <c r="BR79" s="303"/>
      <c r="BS79" s="216"/>
      <c r="BT79" s="216"/>
      <c r="BU79" s="217"/>
      <c r="BV79" s="216"/>
      <c r="BW79" s="216"/>
      <c r="BY79" s="154"/>
      <c r="BZ79" s="215"/>
      <c r="CA79" s="224"/>
      <c r="CB79" s="216"/>
      <c r="CC79" s="216"/>
      <c r="CD79" s="217"/>
      <c r="CE79" s="217"/>
      <c r="CF79" s="216"/>
      <c r="CI79" s="154"/>
      <c r="CJ79" s="215"/>
      <c r="CK79" s="224"/>
      <c r="CL79" s="216"/>
      <c r="CM79" s="217"/>
      <c r="CN79" s="217"/>
      <c r="CO79" s="216"/>
      <c r="CP79" s="216"/>
      <c r="CQ79" s="216"/>
      <c r="CS79" s="154"/>
      <c r="CT79" s="215"/>
      <c r="CU79" s="538"/>
      <c r="CV79" s="216"/>
      <c r="CW79" s="217"/>
      <c r="CX79" s="217"/>
      <c r="CY79" s="216"/>
      <c r="CZ79" s="216"/>
      <c r="DA79" s="216"/>
      <c r="DB79" s="216"/>
      <c r="DE79" s="580"/>
      <c r="DF79" s="579"/>
      <c r="DG79" s="538"/>
      <c r="DH79" s="217"/>
      <c r="DI79" s="217"/>
      <c r="DJ79" s="217"/>
      <c r="DK79" s="216"/>
      <c r="DL79" s="216"/>
      <c r="JE79" s="153"/>
    </row>
    <row r="80" spans="2:265" ht="18.75" customHeight="1" x14ac:dyDescent="0.25">
      <c r="B80" s="215"/>
      <c r="C80" s="224"/>
      <c r="D80" s="216"/>
      <c r="E80" s="217"/>
      <c r="F80" s="217"/>
      <c r="G80" s="216"/>
      <c r="H80" s="216"/>
      <c r="AC80" s="375"/>
      <c r="AL80" s="154"/>
      <c r="AU80" s="418"/>
      <c r="AV80" s="419"/>
      <c r="AY80" s="365"/>
      <c r="BD80" s="154"/>
      <c r="BE80" s="215"/>
      <c r="BF80" s="224"/>
      <c r="BG80" s="216"/>
      <c r="BH80" s="446"/>
      <c r="BI80" s="217"/>
      <c r="BJ80" s="216"/>
      <c r="BK80" s="216"/>
      <c r="BL80" s="216"/>
      <c r="BM80" s="216"/>
      <c r="BN80" s="216"/>
      <c r="BO80" s="442"/>
      <c r="BP80" s="154"/>
      <c r="BQ80" s="376"/>
      <c r="BR80" s="303"/>
      <c r="BS80" s="216"/>
      <c r="BT80" s="216"/>
      <c r="BU80" s="217"/>
      <c r="BV80" s="216"/>
      <c r="BW80" s="216"/>
      <c r="BY80" s="154"/>
      <c r="BZ80" s="215"/>
      <c r="CA80" s="224"/>
      <c r="CB80" s="216"/>
      <c r="CC80" s="216"/>
      <c r="CD80" s="217"/>
      <c r="CE80" s="217"/>
      <c r="CF80" s="216"/>
      <c r="CI80" s="154"/>
      <c r="CJ80" s="534"/>
      <c r="CK80" s="535"/>
      <c r="CL80" s="536"/>
      <c r="CM80" s="537"/>
      <c r="CN80" s="537"/>
      <c r="CO80" s="536"/>
      <c r="CP80" s="536"/>
      <c r="CQ80" s="536"/>
      <c r="CS80" s="154"/>
      <c r="CT80" s="215"/>
      <c r="CU80" s="538"/>
      <c r="CV80" s="216"/>
      <c r="CW80" s="217"/>
      <c r="CX80" s="217"/>
      <c r="CY80" s="216"/>
      <c r="CZ80" s="216"/>
      <c r="DA80" s="216"/>
      <c r="DB80" s="216"/>
      <c r="DE80" s="580"/>
      <c r="DF80" s="579"/>
      <c r="DG80" s="538"/>
      <c r="DH80" s="217"/>
      <c r="DI80" s="217"/>
      <c r="DJ80" s="217"/>
      <c r="DK80" s="216"/>
      <c r="DL80" s="216"/>
      <c r="JE80" s="153"/>
    </row>
    <row r="81" spans="28:265" ht="18.75" customHeight="1" x14ac:dyDescent="0.25">
      <c r="AC81" s="375"/>
      <c r="AD81" s="215"/>
      <c r="AE81" s="224"/>
      <c r="AF81" s="216"/>
      <c r="AG81" s="217"/>
      <c r="AH81" s="217"/>
      <c r="AI81" s="217"/>
      <c r="AJ81" s="217"/>
      <c r="AL81" s="154"/>
      <c r="AU81" s="418"/>
      <c r="AV81" s="419"/>
      <c r="AY81" s="365"/>
      <c r="BD81" s="154"/>
      <c r="BE81" s="215"/>
      <c r="BF81" s="224"/>
      <c r="BG81" s="216"/>
      <c r="BH81" s="446"/>
      <c r="BI81" s="217"/>
      <c r="BJ81" s="216"/>
      <c r="BK81" s="216"/>
      <c r="BL81" s="216"/>
      <c r="BM81" s="216"/>
      <c r="BN81" s="216"/>
      <c r="BO81" s="442"/>
      <c r="BP81" s="154"/>
      <c r="BQ81" s="376"/>
      <c r="BR81" s="303"/>
      <c r="BS81" s="216"/>
      <c r="BT81" s="216"/>
      <c r="BU81" s="217"/>
      <c r="BV81" s="216"/>
      <c r="BW81" s="216"/>
      <c r="BY81" s="154"/>
      <c r="BZ81" s="215"/>
      <c r="CA81" s="224"/>
      <c r="CB81" s="216"/>
      <c r="CC81" s="216"/>
      <c r="CD81" s="217"/>
      <c r="CE81" s="217"/>
      <c r="CF81" s="216"/>
      <c r="CI81" s="154"/>
      <c r="CJ81" s="534"/>
      <c r="CK81" s="535"/>
      <c r="CL81" s="536"/>
      <c r="CM81" s="537"/>
      <c r="CN81" s="537"/>
      <c r="CO81" s="536"/>
      <c r="CP81" s="536"/>
      <c r="CQ81" s="536"/>
      <c r="CS81" s="154"/>
      <c r="CT81" s="215"/>
      <c r="CU81" s="538"/>
      <c r="CV81" s="216"/>
      <c r="CW81" s="217"/>
      <c r="CX81" s="217"/>
      <c r="CY81" s="216"/>
      <c r="CZ81" s="216"/>
      <c r="DA81" s="216"/>
      <c r="DB81" s="216"/>
      <c r="DE81" s="580"/>
      <c r="DF81" s="579"/>
      <c r="DG81" s="538"/>
      <c r="DH81" s="217"/>
      <c r="DI81" s="217"/>
      <c r="DJ81" s="217"/>
      <c r="DK81" s="216"/>
      <c r="DL81" s="216"/>
      <c r="JE81" s="153"/>
    </row>
    <row r="82" spans="28:265" ht="18.75" customHeight="1" x14ac:dyDescent="0.25">
      <c r="AC82" s="375"/>
      <c r="AD82" s="215"/>
      <c r="AE82" s="224"/>
      <c r="AF82" s="216"/>
      <c r="AG82" s="217"/>
      <c r="AH82" s="217"/>
      <c r="AI82" s="217"/>
      <c r="AJ82" s="217"/>
      <c r="AL82" s="154"/>
      <c r="AM82" s="215"/>
      <c r="AN82" s="224"/>
      <c r="AO82" s="216"/>
      <c r="AP82" s="216"/>
      <c r="AQ82" s="217"/>
      <c r="AR82" s="217"/>
      <c r="AS82" s="217"/>
      <c r="AU82" s="418"/>
      <c r="AV82" s="419"/>
      <c r="AY82" s="365"/>
      <c r="BD82" s="154"/>
      <c r="BE82" s="215"/>
      <c r="BF82" s="224"/>
      <c r="BG82" s="216"/>
      <c r="BH82" s="446"/>
      <c r="BI82" s="217"/>
      <c r="BJ82" s="216"/>
      <c r="BK82" s="216"/>
      <c r="BL82" s="216"/>
      <c r="BM82" s="216"/>
      <c r="BN82" s="216"/>
      <c r="BO82" s="442"/>
      <c r="BP82" s="154"/>
      <c r="BQ82" s="376"/>
      <c r="BR82" s="303"/>
      <c r="BS82" s="216"/>
      <c r="BT82" s="216"/>
      <c r="BU82" s="217"/>
      <c r="BV82" s="216"/>
      <c r="BW82" s="216"/>
      <c r="BY82" s="154"/>
      <c r="BZ82" s="215"/>
      <c r="CA82" s="224"/>
      <c r="CB82" s="216"/>
      <c r="CC82" s="216"/>
      <c r="CD82" s="217"/>
      <c r="CE82" s="217"/>
      <c r="CF82" s="216"/>
      <c r="CI82" s="154"/>
      <c r="CJ82" s="534"/>
      <c r="CK82" s="535"/>
      <c r="CL82" s="536"/>
      <c r="CM82" s="537"/>
      <c r="CN82" s="537"/>
      <c r="CO82" s="536"/>
      <c r="CP82" s="536"/>
      <c r="CQ82" s="536"/>
      <c r="CS82" s="154"/>
      <c r="CT82" s="215"/>
      <c r="CU82" s="538"/>
      <c r="CV82" s="216"/>
      <c r="CW82" s="217"/>
      <c r="CX82" s="217"/>
      <c r="CY82" s="216"/>
      <c r="CZ82" s="216"/>
      <c r="DA82" s="216"/>
      <c r="DB82" s="216"/>
      <c r="DE82" s="580"/>
      <c r="DF82" s="579"/>
      <c r="DG82" s="538"/>
      <c r="DH82" s="217"/>
      <c r="DI82" s="217"/>
      <c r="DJ82" s="217"/>
      <c r="DK82" s="216"/>
      <c r="DL82" s="216"/>
      <c r="JE82" s="153"/>
    </row>
    <row r="83" spans="28:265" ht="18.75" customHeight="1" x14ac:dyDescent="0.25">
      <c r="AC83" s="375"/>
      <c r="AD83" s="215"/>
      <c r="AE83" s="224"/>
      <c r="AF83" s="216"/>
      <c r="AG83" s="217"/>
      <c r="AH83" s="217"/>
      <c r="AI83" s="217"/>
      <c r="AJ83" s="217"/>
      <c r="AL83" s="154"/>
      <c r="AM83" s="215"/>
      <c r="AN83" s="224"/>
      <c r="AO83" s="216"/>
      <c r="AP83" s="216"/>
      <c r="AQ83" s="217"/>
      <c r="AR83" s="217"/>
      <c r="AS83" s="217"/>
      <c r="AU83" s="418"/>
      <c r="AV83" s="419"/>
      <c r="AY83" s="365"/>
      <c r="BP83" s="154"/>
      <c r="BQ83" s="376"/>
      <c r="BR83" s="303"/>
      <c r="BS83" s="216"/>
      <c r="BT83" s="216"/>
      <c r="BU83" s="217"/>
      <c r="BV83" s="216"/>
      <c r="BW83" s="216"/>
      <c r="BY83" s="154"/>
      <c r="BZ83" s="215"/>
      <c r="CA83" s="224"/>
      <c r="CB83" s="216"/>
      <c r="CC83" s="216"/>
      <c r="CD83" s="217"/>
      <c r="CE83" s="217"/>
      <c r="CF83" s="216"/>
      <c r="CI83" s="154"/>
      <c r="CJ83" s="215"/>
      <c r="CK83" s="224"/>
      <c r="CL83" s="216"/>
      <c r="CM83" s="217"/>
      <c r="CN83" s="217"/>
      <c r="CO83" s="216"/>
      <c r="CP83" s="216"/>
      <c r="CQ83" s="216"/>
      <c r="CS83" s="154"/>
      <c r="CT83" s="215"/>
      <c r="CU83" s="538"/>
      <c r="CV83" s="216"/>
      <c r="CW83" s="217"/>
      <c r="CX83" s="217"/>
      <c r="CY83" s="216"/>
      <c r="CZ83" s="216"/>
      <c r="DA83" s="216"/>
      <c r="DB83" s="216"/>
      <c r="DE83" s="580"/>
      <c r="DF83" s="579"/>
      <c r="DG83" s="538"/>
      <c r="DH83" s="217"/>
      <c r="DI83" s="217"/>
      <c r="DJ83" s="217"/>
      <c r="DK83" s="216"/>
      <c r="DL83" s="216"/>
      <c r="JE83" s="153"/>
    </row>
    <row r="84" spans="28:265" ht="18.75" customHeight="1" x14ac:dyDescent="0.25">
      <c r="AB84" s="154"/>
      <c r="AC84" s="376"/>
      <c r="AD84" s="224"/>
      <c r="AE84" s="224"/>
      <c r="AF84" s="217"/>
      <c r="AG84" s="217"/>
      <c r="AH84" s="217"/>
      <c r="AI84" s="217"/>
      <c r="AK84" s="154"/>
      <c r="AL84" s="215"/>
      <c r="AM84" s="303"/>
      <c r="AN84" s="216"/>
      <c r="AO84" s="217"/>
      <c r="AP84" s="216"/>
      <c r="AQ84" s="217"/>
      <c r="AR84" s="217"/>
      <c r="AT84" s="154"/>
      <c r="AU84" s="419"/>
      <c r="AV84" s="363"/>
      <c r="AW84" s="364"/>
      <c r="AX84" s="365"/>
      <c r="AY84" s="365"/>
      <c r="BG84" s="228"/>
      <c r="BH84" s="153"/>
      <c r="BP84" s="215"/>
      <c r="BQ84" s="224"/>
      <c r="BR84" s="217"/>
      <c r="BS84" s="217"/>
      <c r="BT84" s="216"/>
      <c r="BU84" s="216"/>
      <c r="BV84" s="216"/>
      <c r="BY84" s="215"/>
      <c r="BZ84" s="224"/>
      <c r="CA84" s="216"/>
      <c r="CB84" s="217"/>
      <c r="CC84" s="216"/>
      <c r="CD84" s="216"/>
      <c r="CE84" s="217"/>
      <c r="CI84" s="215"/>
      <c r="CJ84" s="224"/>
      <c r="CK84" s="224"/>
      <c r="CL84" s="217"/>
      <c r="CM84" s="217"/>
      <c r="CN84" s="216"/>
      <c r="CO84" s="216"/>
      <c r="CP84" s="216"/>
      <c r="CQ84" s="153"/>
      <c r="CR84" s="154"/>
      <c r="DD84" s="592"/>
      <c r="DE84" s="579"/>
      <c r="DF84" s="585"/>
      <c r="DG84" s="216"/>
      <c r="DH84" s="217"/>
      <c r="DI84" s="217"/>
      <c r="DJ84" s="217"/>
      <c r="DK84" s="216"/>
      <c r="JE84" s="153"/>
    </row>
    <row r="85" spans="28:265" x14ac:dyDescent="0.25">
      <c r="AD85" s="222"/>
      <c r="AL85" s="304"/>
      <c r="AN85" s="153"/>
      <c r="AV85" s="363"/>
      <c r="AW85" s="364"/>
      <c r="BG85" s="228"/>
      <c r="BH85" s="153"/>
      <c r="BQ85" s="222"/>
      <c r="BY85" s="215"/>
      <c r="BZ85" s="224"/>
      <c r="CA85" s="216"/>
      <c r="CB85" s="217"/>
      <c r="CC85" s="216"/>
      <c r="CD85" s="216"/>
      <c r="CE85" s="217"/>
      <c r="CI85" s="215"/>
      <c r="CJ85" s="224"/>
      <c r="CK85" s="224"/>
      <c r="CL85" s="217"/>
      <c r="CM85" s="217"/>
      <c r="CN85" s="216"/>
      <c r="CO85" s="216"/>
      <c r="CP85" s="216"/>
      <c r="CQ85" s="153"/>
      <c r="JE85" s="153"/>
    </row>
    <row r="86" spans="28:265" x14ac:dyDescent="0.25">
      <c r="BR86" s="304"/>
      <c r="BZ86" s="215"/>
      <c r="CA86" s="224"/>
      <c r="CB86" s="216"/>
      <c r="CC86" s="216"/>
      <c r="CD86" s="217"/>
      <c r="CE86" s="217"/>
      <c r="CF86" s="216"/>
      <c r="CO86" s="153"/>
      <c r="CP86" s="153"/>
      <c r="CQ86" s="153"/>
      <c r="JE86" s="153"/>
    </row>
    <row r="87" spans="28:265" x14ac:dyDescent="0.25">
      <c r="BR87" s="304"/>
      <c r="BZ87" s="215"/>
      <c r="CA87" s="224"/>
      <c r="CB87" s="216"/>
      <c r="CC87" s="216"/>
      <c r="CD87" s="217"/>
      <c r="CE87" s="217"/>
      <c r="CF87" s="216"/>
      <c r="CO87" s="153"/>
      <c r="CP87" s="153"/>
      <c r="CQ87" s="153"/>
      <c r="JE87" s="153"/>
    </row>
    <row r="88" spans="28:265" ht="24.75" customHeight="1" x14ac:dyDescent="0.25">
      <c r="BP88"/>
      <c r="BQ88"/>
      <c r="BR88"/>
      <c r="BZ88" s="215"/>
      <c r="CA88" s="224"/>
      <c r="CB88" s="216"/>
      <c r="CC88" s="216"/>
      <c r="CD88" s="217"/>
      <c r="CE88" s="217"/>
      <c r="CF88" s="216"/>
      <c r="CO88" s="153"/>
      <c r="CP88" s="153"/>
      <c r="CQ88" s="153"/>
      <c r="JE88" s="153"/>
    </row>
    <row r="89" spans="28:265" ht="24.75" customHeight="1" x14ac:dyDescent="0.25">
      <c r="BP89"/>
      <c r="BQ89"/>
      <c r="BR89"/>
      <c r="CO89" s="153"/>
      <c r="CP89" s="153"/>
      <c r="CQ89" s="153"/>
      <c r="JE89" s="153"/>
    </row>
    <row r="90" spans="28:265" ht="24.75" customHeight="1" x14ac:dyDescent="0.25">
      <c r="BP90"/>
      <c r="BQ90"/>
      <c r="BR90"/>
      <c r="CO90" s="153"/>
      <c r="CP90" s="153"/>
      <c r="CQ90" s="153"/>
      <c r="JE90" s="153"/>
    </row>
    <row r="91" spans="28:265" ht="24.75" customHeight="1" x14ac:dyDescent="0.25">
      <c r="BP91"/>
      <c r="BQ91"/>
      <c r="BR91"/>
      <c r="CO91" s="153"/>
      <c r="CP91" s="153"/>
      <c r="CQ91" s="153"/>
      <c r="JE91" s="153"/>
    </row>
    <row r="92" spans="28:265" ht="24.75" customHeight="1" x14ac:dyDescent="0.25">
      <c r="BP92"/>
      <c r="BQ92"/>
      <c r="BR92"/>
      <c r="CO92" s="153"/>
      <c r="CP92" s="153"/>
      <c r="CQ92" s="153"/>
      <c r="JE92" s="153"/>
    </row>
    <row r="93" spans="28:265" ht="24.75" customHeight="1" x14ac:dyDescent="0.25">
      <c r="BP93"/>
      <c r="BQ93"/>
      <c r="BR93"/>
      <c r="CO93" s="153"/>
      <c r="CP93" s="153"/>
      <c r="CQ93" s="153"/>
      <c r="JE93" s="153"/>
    </row>
    <row r="94" spans="28:265" ht="24.75" customHeight="1" x14ac:dyDescent="0.25">
      <c r="BP94"/>
      <c r="BQ94"/>
      <c r="BR94"/>
      <c r="CO94" s="153"/>
      <c r="CP94" s="153"/>
      <c r="CQ94" s="153"/>
      <c r="JE94" s="153"/>
    </row>
    <row r="95" spans="28:265" ht="24.75" customHeight="1" x14ac:dyDescent="0.25">
      <c r="BP95"/>
      <c r="BQ95"/>
      <c r="BR95"/>
      <c r="CO95" s="153"/>
      <c r="CP95" s="153"/>
      <c r="CQ95" s="153"/>
      <c r="JE95" s="153"/>
    </row>
    <row r="96" spans="28:265" ht="24.75" customHeight="1" x14ac:dyDescent="0.25">
      <c r="BP96"/>
      <c r="BQ96"/>
      <c r="BR96"/>
      <c r="CO96" s="153"/>
      <c r="CP96" s="153"/>
      <c r="CQ96" s="153"/>
      <c r="JE96" s="153"/>
    </row>
    <row r="97" spans="68:265" ht="24.75" customHeight="1" x14ac:dyDescent="0.25">
      <c r="BP97"/>
      <c r="BQ97"/>
      <c r="BR97"/>
      <c r="CO97" s="153"/>
      <c r="CP97" s="153"/>
      <c r="CQ97" s="153"/>
      <c r="JE97" s="153"/>
    </row>
    <row r="98" spans="68:265" ht="24.75" customHeight="1" x14ac:dyDescent="0.25">
      <c r="BP98"/>
      <c r="BQ98"/>
      <c r="BR98"/>
      <c r="CO98" s="153"/>
      <c r="CP98" s="153"/>
      <c r="CQ98" s="153"/>
      <c r="JE98" s="153"/>
    </row>
    <row r="99" spans="68:265" ht="24.75" customHeight="1" x14ac:dyDescent="0.25">
      <c r="BP99"/>
      <c r="BQ99"/>
      <c r="BR99"/>
      <c r="CO99" s="153"/>
      <c r="CP99" s="153"/>
      <c r="CQ99" s="153"/>
      <c r="JE99" s="153"/>
    </row>
    <row r="100" spans="68:265" ht="24.75" customHeight="1" x14ac:dyDescent="0.25">
      <c r="BP100"/>
      <c r="BQ100"/>
      <c r="BR100"/>
      <c r="CO100" s="153"/>
      <c r="CP100" s="153"/>
      <c r="CQ100" s="153"/>
      <c r="JE100" s="153"/>
    </row>
    <row r="101" spans="68:265" ht="24.75" customHeight="1" x14ac:dyDescent="0.25">
      <c r="BP101"/>
      <c r="BQ101"/>
      <c r="BR101"/>
      <c r="CO101" s="153"/>
      <c r="CP101" s="153"/>
      <c r="CQ101" s="153"/>
      <c r="JE101" s="153"/>
    </row>
    <row r="102" spans="68:265" ht="24.75" customHeight="1" x14ac:dyDescent="0.25">
      <c r="BP102"/>
      <c r="BQ102"/>
      <c r="BR102"/>
      <c r="CO102" s="153"/>
      <c r="CP102" s="153"/>
      <c r="CQ102" s="153"/>
      <c r="JE102" s="153"/>
    </row>
    <row r="103" spans="68:265" ht="24.75" customHeight="1" x14ac:dyDescent="0.25">
      <c r="BP103"/>
      <c r="BQ103"/>
      <c r="BR103"/>
      <c r="CO103" s="153"/>
      <c r="CP103" s="153"/>
      <c r="CQ103" s="153"/>
      <c r="JE103" s="153"/>
    </row>
    <row r="104" spans="68:265" ht="24.75" customHeight="1" x14ac:dyDescent="0.25">
      <c r="BP104"/>
      <c r="BQ104"/>
      <c r="BR104"/>
      <c r="CO104" s="153"/>
      <c r="CP104" s="153"/>
      <c r="CQ104" s="153"/>
      <c r="JE104" s="153"/>
    </row>
    <row r="105" spans="68:265" ht="24.75" customHeight="1" x14ac:dyDescent="0.25">
      <c r="BP105"/>
      <c r="BQ105"/>
      <c r="BR105"/>
      <c r="CO105" s="153"/>
      <c r="CP105" s="153"/>
      <c r="CQ105" s="153"/>
      <c r="JE105" s="153"/>
    </row>
    <row r="106" spans="68:265" ht="24.75" customHeight="1" x14ac:dyDescent="0.25">
      <c r="BP106"/>
      <c r="BQ106"/>
      <c r="BR106"/>
      <c r="CO106" s="153"/>
      <c r="CP106" s="153"/>
      <c r="CQ106" s="153"/>
      <c r="JE106" s="153"/>
    </row>
    <row r="107" spans="68:265" ht="24.75" customHeight="1" x14ac:dyDescent="0.25">
      <c r="BP107"/>
      <c r="BQ107"/>
      <c r="BR107"/>
      <c r="CO107" s="153"/>
      <c r="CP107" s="153"/>
      <c r="CQ107" s="153"/>
      <c r="JE107" s="153"/>
    </row>
    <row r="108" spans="68:265" x14ac:dyDescent="0.25">
      <c r="BR108" s="304"/>
      <c r="CO108" s="153"/>
      <c r="CP108" s="153"/>
      <c r="CQ108" s="153"/>
      <c r="JE108" s="153"/>
    </row>
    <row r="109" spans="68:265" x14ac:dyDescent="0.25">
      <c r="BR109" s="304"/>
      <c r="CO109" s="153"/>
      <c r="CP109" s="153"/>
      <c r="CQ109" s="153"/>
      <c r="JE109" s="153"/>
    </row>
    <row r="110" spans="68:265" x14ac:dyDescent="0.25">
      <c r="BR110" s="304"/>
      <c r="CO110" s="153"/>
      <c r="CP110" s="153"/>
      <c r="CQ110" s="153"/>
      <c r="JE110" s="153"/>
    </row>
    <row r="111" spans="68:265" x14ac:dyDescent="0.25">
      <c r="BR111" s="304"/>
      <c r="CO111" s="153"/>
      <c r="CP111" s="153"/>
      <c r="CQ111" s="153"/>
      <c r="JE111" s="153"/>
    </row>
    <row r="112" spans="68:265" x14ac:dyDescent="0.25">
      <c r="BR112" s="304"/>
      <c r="CO112" s="153"/>
      <c r="CP112" s="153"/>
      <c r="CQ112" s="153"/>
      <c r="JE112" s="153"/>
    </row>
    <row r="113" spans="70:265" x14ac:dyDescent="0.25">
      <c r="BR113" s="304"/>
      <c r="CO113" s="153"/>
      <c r="CP113" s="153"/>
      <c r="CQ113" s="153"/>
      <c r="JE113" s="153"/>
    </row>
    <row r="114" spans="70:265" x14ac:dyDescent="0.25">
      <c r="BR114" s="304"/>
      <c r="CO114" s="153"/>
      <c r="CP114" s="153"/>
      <c r="CQ114" s="153"/>
      <c r="JE114" s="153"/>
    </row>
    <row r="115" spans="70:265" x14ac:dyDescent="0.25">
      <c r="BR115" s="304"/>
      <c r="CO115" s="153"/>
      <c r="CP115" s="153"/>
      <c r="CQ115" s="153"/>
      <c r="JE115" s="153"/>
    </row>
    <row r="116" spans="70:265" x14ac:dyDescent="0.25">
      <c r="BR116" s="304"/>
      <c r="CO116" s="153"/>
      <c r="CP116" s="153"/>
      <c r="CQ116" s="153"/>
      <c r="JE116" s="153"/>
    </row>
    <row r="117" spans="70:265" x14ac:dyDescent="0.25">
      <c r="BR117" s="304"/>
      <c r="CO117" s="153"/>
      <c r="CP117" s="153"/>
      <c r="CQ117" s="153"/>
      <c r="JE117" s="153"/>
    </row>
    <row r="118" spans="70:265" x14ac:dyDescent="0.25">
      <c r="BR118" s="304"/>
      <c r="CO118" s="153"/>
      <c r="CP118" s="153"/>
      <c r="CQ118" s="153"/>
      <c r="JE118" s="153"/>
    </row>
    <row r="119" spans="70:265" x14ac:dyDescent="0.25">
      <c r="BR119" s="304"/>
      <c r="CO119" s="153"/>
      <c r="CP119" s="153"/>
      <c r="CQ119" s="153"/>
      <c r="JE119" s="153"/>
    </row>
    <row r="120" spans="70:265" x14ac:dyDescent="0.25">
      <c r="BR120" s="304"/>
      <c r="CO120" s="153"/>
      <c r="CP120" s="153"/>
      <c r="CQ120" s="153"/>
      <c r="JE120" s="153"/>
    </row>
    <row r="121" spans="70:265" x14ac:dyDescent="0.25">
      <c r="BR121" s="304"/>
      <c r="CO121" s="153"/>
      <c r="CP121" s="153"/>
      <c r="CQ121" s="153"/>
      <c r="JE121" s="153"/>
    </row>
    <row r="122" spans="70:265" x14ac:dyDescent="0.25">
      <c r="BR122" s="304"/>
      <c r="CO122" s="153"/>
      <c r="CP122" s="153"/>
      <c r="CQ122" s="153"/>
      <c r="JE122" s="153"/>
    </row>
    <row r="123" spans="70:265" x14ac:dyDescent="0.25">
      <c r="BR123" s="304"/>
      <c r="CO123" s="153"/>
      <c r="CP123" s="153"/>
      <c r="CQ123" s="153"/>
      <c r="JE123" s="153"/>
    </row>
    <row r="124" spans="70:265" x14ac:dyDescent="0.25">
      <c r="BR124" s="304"/>
      <c r="CO124" s="153"/>
      <c r="CP124" s="153"/>
      <c r="CQ124" s="153"/>
      <c r="JE124" s="153"/>
    </row>
    <row r="125" spans="70:265" x14ac:dyDescent="0.25">
      <c r="BR125" s="304"/>
      <c r="CO125" s="153"/>
      <c r="CP125" s="153"/>
      <c r="CQ125" s="153"/>
      <c r="JE125" s="153"/>
    </row>
    <row r="126" spans="70:265" x14ac:dyDescent="0.25">
      <c r="BR126" s="304"/>
      <c r="CO126" s="153"/>
      <c r="CP126" s="153"/>
      <c r="CQ126" s="153"/>
      <c r="JE126" s="153"/>
    </row>
    <row r="127" spans="70:265" x14ac:dyDescent="0.25">
      <c r="BR127" s="304"/>
      <c r="CO127" s="153"/>
      <c r="CP127" s="153"/>
      <c r="CQ127" s="153"/>
      <c r="JE127" s="153"/>
    </row>
    <row r="128" spans="70:265" x14ac:dyDescent="0.25">
      <c r="BR128" s="304"/>
      <c r="CO128" s="153"/>
      <c r="CP128" s="153"/>
      <c r="CQ128" s="153"/>
      <c r="JE128" s="153"/>
    </row>
    <row r="129" spans="70:265" x14ac:dyDescent="0.25">
      <c r="BR129" s="304"/>
      <c r="CO129" s="153"/>
      <c r="CP129" s="153"/>
      <c r="CQ129" s="153"/>
      <c r="JE129" s="153"/>
    </row>
    <row r="130" spans="70:265" x14ac:dyDescent="0.25">
      <c r="BR130" s="304"/>
      <c r="CO130" s="153"/>
      <c r="CP130" s="153"/>
      <c r="CQ130" s="153"/>
      <c r="JE130" s="153"/>
    </row>
    <row r="131" spans="70:265" x14ac:dyDescent="0.25">
      <c r="BR131" s="304"/>
      <c r="CO131" s="153"/>
      <c r="CP131" s="153"/>
      <c r="CQ131" s="153"/>
      <c r="JE131" s="153"/>
    </row>
    <row r="132" spans="70:265" x14ac:dyDescent="0.25">
      <c r="BR132" s="304"/>
      <c r="CO132" s="153"/>
      <c r="CP132" s="153"/>
      <c r="CQ132" s="153"/>
      <c r="JE132" s="153"/>
    </row>
    <row r="133" spans="70:265" x14ac:dyDescent="0.25">
      <c r="BR133" s="304"/>
      <c r="CO133" s="153"/>
      <c r="CP133" s="153"/>
      <c r="CQ133" s="153"/>
      <c r="JE133" s="153"/>
    </row>
    <row r="134" spans="70:265" x14ac:dyDescent="0.25">
      <c r="BR134" s="304"/>
      <c r="CO134" s="153"/>
      <c r="CP134" s="153"/>
      <c r="CQ134" s="153"/>
      <c r="JE134" s="153"/>
    </row>
    <row r="135" spans="70:265" x14ac:dyDescent="0.25">
      <c r="BR135" s="304"/>
      <c r="CO135" s="153"/>
      <c r="CP135" s="153"/>
      <c r="CQ135" s="153"/>
      <c r="JE135" s="153"/>
    </row>
    <row r="136" spans="70:265" x14ac:dyDescent="0.25">
      <c r="BR136" s="304"/>
      <c r="CO136" s="153"/>
      <c r="CP136" s="153"/>
      <c r="CQ136" s="153"/>
      <c r="JE136" s="153"/>
    </row>
    <row r="137" spans="70:265" x14ac:dyDescent="0.25">
      <c r="BR137" s="304"/>
      <c r="CO137" s="153"/>
      <c r="CP137" s="153"/>
      <c r="CQ137" s="153"/>
      <c r="JE137" s="153"/>
    </row>
    <row r="138" spans="70:265" x14ac:dyDescent="0.25">
      <c r="BR138" s="304"/>
      <c r="CO138" s="153"/>
      <c r="CP138" s="153"/>
      <c r="CQ138" s="153"/>
      <c r="JE138" s="153"/>
    </row>
    <row r="139" spans="70:265" x14ac:dyDescent="0.25">
      <c r="BR139" s="304"/>
      <c r="CO139" s="153"/>
      <c r="CP139" s="153"/>
      <c r="CQ139" s="153"/>
      <c r="JE139" s="153"/>
    </row>
    <row r="140" spans="70:265" x14ac:dyDescent="0.25">
      <c r="BR140" s="304"/>
      <c r="CO140" s="153"/>
      <c r="CP140" s="153"/>
      <c r="CQ140" s="153"/>
      <c r="JE140" s="153"/>
    </row>
    <row r="141" spans="70:265" x14ac:dyDescent="0.25">
      <c r="BR141" s="304"/>
      <c r="CO141" s="153"/>
      <c r="CP141" s="153"/>
      <c r="CQ141" s="153"/>
      <c r="JE141" s="153"/>
    </row>
    <row r="142" spans="70:265" x14ac:dyDescent="0.25">
      <c r="BR142" s="304"/>
      <c r="CO142" s="153"/>
      <c r="CP142" s="153"/>
      <c r="CQ142" s="153"/>
      <c r="JE142" s="153"/>
    </row>
    <row r="143" spans="70:265" x14ac:dyDescent="0.25">
      <c r="BR143" s="304"/>
      <c r="CO143" s="153"/>
      <c r="CP143" s="153"/>
      <c r="CQ143" s="153"/>
      <c r="JE143" s="153"/>
    </row>
    <row r="144" spans="70:265" x14ac:dyDescent="0.25">
      <c r="BR144" s="304"/>
      <c r="CO144" s="153"/>
      <c r="CP144" s="153"/>
      <c r="CQ144" s="153"/>
      <c r="JE144" s="153"/>
    </row>
    <row r="145" spans="70:265" x14ac:dyDescent="0.25">
      <c r="BR145" s="304"/>
      <c r="CO145" s="153"/>
      <c r="CP145" s="153"/>
      <c r="CQ145" s="153"/>
      <c r="JE145" s="153"/>
    </row>
    <row r="146" spans="70:265" x14ac:dyDescent="0.25">
      <c r="BR146" s="304"/>
      <c r="CO146" s="153"/>
      <c r="CP146" s="153"/>
      <c r="CQ146" s="153"/>
      <c r="JE146" s="153"/>
    </row>
    <row r="147" spans="70:265" x14ac:dyDescent="0.25">
      <c r="BR147" s="304"/>
      <c r="CO147" s="153"/>
      <c r="CP147" s="153"/>
      <c r="CQ147" s="153"/>
      <c r="JE147" s="153"/>
    </row>
    <row r="148" spans="70:265" x14ac:dyDescent="0.25">
      <c r="BR148" s="304"/>
      <c r="CO148" s="153"/>
      <c r="CP148" s="153"/>
      <c r="CQ148" s="153"/>
      <c r="JE148" s="153"/>
    </row>
    <row r="149" spans="70:265" x14ac:dyDescent="0.25">
      <c r="BR149" s="304"/>
      <c r="JE149" s="153"/>
    </row>
    <row r="150" spans="70:265" x14ac:dyDescent="0.25">
      <c r="BR150" s="304"/>
      <c r="JE150" s="153"/>
    </row>
  </sheetData>
  <sortState xmlns:xlrd2="http://schemas.microsoft.com/office/spreadsheetml/2017/richdata2" ref="N1:N150">
    <sortCondition ref="N2:N10"/>
  </sortState>
  <mergeCells count="11">
    <mergeCell ref="DC1:DJ1"/>
    <mergeCell ref="AU1:BB1"/>
    <mergeCell ref="BD1:BK1"/>
    <mergeCell ref="BP1:BW1"/>
    <mergeCell ref="CI1:CP1"/>
    <mergeCell ref="CS1:CZ1"/>
    <mergeCell ref="A1:H1"/>
    <mergeCell ref="J1:Q1"/>
    <mergeCell ref="S1:AA1"/>
    <mergeCell ref="AD1:AK1"/>
    <mergeCell ref="AL1:AS1"/>
  </mergeCells>
  <phoneticPr fontId="29" type="noConversion"/>
  <conditionalFormatting sqref="A47:A84 A3:A45">
    <cfRule type="colorScale" priority="5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57:J67 J3:J55">
    <cfRule type="colorScale" priority="5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43:S44 S51:S69 S3:S37">
    <cfRule type="colorScale" priority="5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56:AC83 AB84 AC3:AC54">
    <cfRule type="colorScale" priority="5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L54:AL83 AL3:AL52 AK84">
    <cfRule type="colorScale" priority="5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U3:AU83 AT84">
    <cfRule type="colorScale" priority="48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D3:BD26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D27:BD82">
    <cfRule type="colorScale" priority="5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P3:BP83">
    <cfRule type="colorScale" priority="4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3:BY16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7:BY83">
    <cfRule type="colorScale" priority="4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I3:CI19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I20:CI83">
    <cfRule type="colorScale" priority="5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R3:CR19 CS29:CS35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S3:CS2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S36:CS83 CR84">
    <cfRule type="colorScale" priority="49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C3:DC35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E29:DE83 DD84">
    <cfRule type="colorScale" priority="49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ataValidations count="1">
    <dataValidation type="list" allowBlank="1" showInputMessage="1" showErrorMessage="1" sqref="CQ20:CQ56 CZ29:CZ35" xr:uid="{00000000-0002-0000-1100-000000000000}">
      <formula1>$CQ$3:$CQ$4</formula1>
    </dataValidation>
  </dataValidations>
  <pageMargins left="0.27" right="0.18" top="0.24" bottom="0.16" header="0.23" footer="0.16"/>
  <pageSetup paperSize="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EA39"/>
  <sheetViews>
    <sheetView topLeftCell="DJ3" zoomScale="80" zoomScaleNormal="80" workbookViewId="0">
      <selection activeCell="DY17" sqref="DY17"/>
    </sheetView>
  </sheetViews>
  <sheetFormatPr defaultRowHeight="15" x14ac:dyDescent="0.25"/>
  <cols>
    <col min="3" max="3" width="31.7109375" customWidth="1"/>
    <col min="4" max="4" width="9.140625" customWidth="1"/>
    <col min="5" max="5" width="6.140625" customWidth="1"/>
    <col min="6" max="6" width="36.7109375" customWidth="1"/>
    <col min="7" max="7" width="7.140625" customWidth="1"/>
    <col min="8" max="8" width="6" hidden="1" customWidth="1"/>
    <col min="9" max="9" width="0.42578125" hidden="1" customWidth="1"/>
    <col min="10" max="10" width="11" customWidth="1"/>
    <col min="11" max="11" width="5.140625" customWidth="1"/>
    <col min="12" max="12" width="8.85546875" customWidth="1"/>
    <col min="13" max="13" width="9.42578125" customWidth="1"/>
    <col min="14" max="14" width="26.7109375" customWidth="1"/>
    <col min="15" max="15" width="4.5703125" style="171" customWidth="1"/>
    <col min="16" max="16" width="4.42578125" customWidth="1"/>
    <col min="17" max="17" width="11.85546875" customWidth="1"/>
    <col min="18" max="18" width="10.42578125" customWidth="1"/>
    <col min="19" max="19" width="10.7109375" customWidth="1"/>
    <col min="20" max="20" width="31.28515625" customWidth="1"/>
    <col min="21" max="21" width="6.42578125" customWidth="1"/>
    <col min="27" max="27" width="32.28515625" bestFit="1" customWidth="1"/>
    <col min="34" max="34" width="6.42578125" customWidth="1"/>
    <col min="35" max="35" width="9.140625" style="171"/>
    <col min="36" max="36" width="10.140625" customWidth="1"/>
    <col min="37" max="37" width="22.28515625" customWidth="1"/>
    <col min="38" max="38" width="8.140625" style="171" customWidth="1"/>
    <col min="39" max="39" width="4.42578125" customWidth="1"/>
    <col min="40" max="40" width="9.7109375" customWidth="1"/>
    <col min="41" max="41" width="10.5703125" customWidth="1"/>
    <col min="42" max="42" width="12.85546875" customWidth="1"/>
    <col min="43" max="43" width="27.28515625" customWidth="1"/>
    <col min="48" max="48" width="4.7109375" customWidth="1"/>
    <col min="50" max="50" width="10.42578125" bestFit="1" customWidth="1"/>
    <col min="51" max="51" width="28.85546875" customWidth="1"/>
    <col min="53" max="53" width="5.42578125" customWidth="1"/>
    <col min="55" max="55" width="13" customWidth="1"/>
    <col min="57" max="57" width="24.42578125" customWidth="1"/>
    <col min="61" max="61" width="4.85546875" customWidth="1"/>
    <col min="62" max="62" width="7.85546875" customWidth="1"/>
    <col min="63" max="63" width="10.140625" bestFit="1" customWidth="1"/>
    <col min="64" max="64" width="23.7109375" customWidth="1"/>
    <col min="65" max="65" width="6.42578125" customWidth="1"/>
    <col min="66" max="66" width="8" customWidth="1"/>
    <col min="67" max="67" width="9.28515625" customWidth="1"/>
    <col min="68" max="68" width="12.5703125" customWidth="1"/>
    <col min="70" max="70" width="35.7109375" customWidth="1"/>
    <col min="71" max="71" width="5.42578125" customWidth="1"/>
    <col min="73" max="74" width="9.140625" style="635"/>
    <col min="75" max="75" width="5.85546875" customWidth="1"/>
    <col min="77" max="77" width="10.140625" bestFit="1" customWidth="1"/>
    <col min="78" max="78" width="22.42578125" customWidth="1"/>
    <col min="79" max="79" width="4.28515625" style="171" customWidth="1"/>
    <col min="80" max="80" width="4.28515625" customWidth="1"/>
    <col min="82" max="82" width="12" customWidth="1"/>
    <col min="83" max="83" width="12.140625" customWidth="1"/>
    <col min="84" max="84" width="31.140625" customWidth="1"/>
    <col min="85" max="85" width="5.140625" customWidth="1"/>
    <col min="86" max="86" width="8" customWidth="1"/>
    <col min="90" max="90" width="4.7109375" customWidth="1"/>
    <col min="91" max="91" width="10.140625" customWidth="1"/>
    <col min="92" max="92" width="10.140625" bestFit="1" customWidth="1"/>
    <col min="93" max="93" width="22" customWidth="1"/>
    <col min="95" max="95" width="5.28515625" customWidth="1"/>
    <col min="99" max="99" width="30.5703125" customWidth="1"/>
    <col min="100" max="100" width="6" customWidth="1"/>
    <col min="101" max="101" width="7.42578125" customWidth="1"/>
    <col min="104" max="104" width="3.140625" customWidth="1"/>
    <col min="105" max="105" width="8.28515625" customWidth="1"/>
    <col min="106" max="106" width="9.5703125" customWidth="1"/>
    <col min="107" max="107" width="24.140625" customWidth="1"/>
    <col min="108" max="108" width="5.7109375" customWidth="1"/>
    <col min="109" max="109" width="3.42578125" customWidth="1"/>
    <col min="110" max="110" width="7.140625" customWidth="1"/>
    <col min="111" max="111" width="13.7109375" customWidth="1"/>
    <col min="112" max="112" width="13" customWidth="1"/>
    <col min="113" max="113" width="32.5703125" customWidth="1"/>
    <col min="114" max="114" width="5.42578125" customWidth="1"/>
    <col min="115" max="115" width="7.140625" customWidth="1"/>
    <col min="120" max="120" width="4.5703125" customWidth="1"/>
    <col min="121" max="121" width="8.85546875" customWidth="1"/>
    <col min="122" max="122" width="9.42578125" customWidth="1"/>
    <col min="123" max="123" width="24.5703125" customWidth="1"/>
    <col min="124" max="124" width="6.42578125" style="504" customWidth="1"/>
    <col min="125" max="125" width="3.85546875" style="504" customWidth="1"/>
    <col min="126" max="126" width="10.85546875" customWidth="1"/>
    <col min="127" max="127" width="14" customWidth="1"/>
    <col min="128" max="128" width="15.28515625" customWidth="1"/>
    <col min="129" max="129" width="45.28515625" customWidth="1"/>
    <col min="130" max="130" width="5.7109375" style="504" customWidth="1"/>
  </cols>
  <sheetData>
    <row r="1" spans="1:131" ht="18" customHeight="1" thickBot="1" x14ac:dyDescent="0.35">
      <c r="A1" s="669" t="s">
        <v>199</v>
      </c>
      <c r="B1" s="667"/>
      <c r="C1" s="667"/>
      <c r="D1" s="667"/>
      <c r="E1" s="667"/>
      <c r="F1" s="667"/>
      <c r="G1" s="667"/>
      <c r="H1" s="667"/>
      <c r="I1" s="667"/>
      <c r="L1" s="669" t="s">
        <v>877</v>
      </c>
      <c r="M1" s="669"/>
      <c r="N1" s="669"/>
      <c r="O1" s="669"/>
      <c r="P1" s="669"/>
      <c r="Q1" s="669"/>
      <c r="R1" s="669"/>
      <c r="S1" s="669"/>
      <c r="T1" s="669"/>
      <c r="U1" s="669"/>
      <c r="AV1" s="688" t="s">
        <v>1221</v>
      </c>
      <c r="AW1" s="689"/>
      <c r="AX1" s="689"/>
      <c r="AY1" s="689"/>
      <c r="AZ1" s="689"/>
      <c r="BA1" s="689"/>
      <c r="BB1" s="689"/>
      <c r="BC1" s="689"/>
      <c r="BD1" s="689"/>
      <c r="BE1" s="689"/>
      <c r="BF1" s="690"/>
      <c r="BI1" s="691" t="s">
        <v>1218</v>
      </c>
      <c r="BJ1" s="692"/>
      <c r="BK1" s="692"/>
      <c r="BL1" s="692"/>
      <c r="BM1" s="692"/>
      <c r="BN1" s="692"/>
      <c r="BO1" s="692"/>
      <c r="BP1" s="692"/>
      <c r="BQ1" s="692"/>
      <c r="BR1" s="692"/>
      <c r="BS1" s="693"/>
      <c r="BW1" s="685" t="s">
        <v>1272</v>
      </c>
      <c r="BX1" s="686"/>
      <c r="BY1" s="686"/>
      <c r="BZ1" s="686"/>
      <c r="CA1" s="686"/>
      <c r="CB1" s="686"/>
      <c r="CC1" s="686"/>
      <c r="CD1" s="686"/>
      <c r="CE1" s="686"/>
      <c r="CF1" s="686"/>
      <c r="CG1" s="686"/>
      <c r="CH1" s="687"/>
      <c r="CL1" s="685" t="s">
        <v>1331</v>
      </c>
      <c r="CM1" s="686"/>
      <c r="CN1" s="686"/>
      <c r="CO1" s="686"/>
      <c r="CP1" s="686"/>
      <c r="CQ1" s="686"/>
      <c r="CR1" s="686"/>
      <c r="CS1" s="686"/>
      <c r="CT1" s="686"/>
      <c r="CU1" s="686"/>
      <c r="CV1" s="686"/>
      <c r="CW1" s="687"/>
      <c r="CZ1" s="682" t="s">
        <v>1443</v>
      </c>
      <c r="DA1" s="683"/>
      <c r="DB1" s="683"/>
      <c r="DC1" s="683"/>
      <c r="DD1" s="683"/>
      <c r="DE1" s="683"/>
      <c r="DF1" s="683"/>
      <c r="DG1" s="683"/>
      <c r="DH1" s="683"/>
      <c r="DI1" s="683"/>
      <c r="DJ1" s="683"/>
      <c r="DK1" s="684"/>
      <c r="DP1" s="682" t="s">
        <v>1538</v>
      </c>
      <c r="DQ1" s="683"/>
      <c r="DR1" s="683"/>
      <c r="DS1" s="683"/>
      <c r="DT1" s="683"/>
      <c r="DU1" s="683"/>
      <c r="DV1" s="683"/>
      <c r="DW1" s="683"/>
      <c r="DX1" s="683"/>
      <c r="DY1" s="683"/>
      <c r="DZ1" s="683"/>
      <c r="EA1" s="594"/>
    </row>
    <row r="2" spans="1:131" ht="26.25" thickBot="1" x14ac:dyDescent="0.3">
      <c r="A2" s="294" t="s">
        <v>78</v>
      </c>
      <c r="B2" s="293" t="s">
        <v>75</v>
      </c>
      <c r="C2" s="157" t="s">
        <v>74</v>
      </c>
      <c r="D2" s="157" t="s">
        <v>73</v>
      </c>
      <c r="E2" s="157" t="s">
        <v>72</v>
      </c>
      <c r="F2" s="157" t="s">
        <v>358</v>
      </c>
      <c r="G2" s="156" t="s">
        <v>18</v>
      </c>
      <c r="H2" s="154"/>
      <c r="K2" s="5" t="s">
        <v>687</v>
      </c>
      <c r="L2" s="265" t="s">
        <v>78</v>
      </c>
      <c r="M2" s="265" t="s">
        <v>75</v>
      </c>
      <c r="N2" s="259" t="s">
        <v>74</v>
      </c>
      <c r="O2" s="259" t="s">
        <v>73</v>
      </c>
      <c r="P2" s="259" t="s">
        <v>72</v>
      </c>
      <c r="Q2" s="313" t="s">
        <v>685</v>
      </c>
      <c r="R2" s="313" t="s">
        <v>197</v>
      </c>
      <c r="S2" s="313" t="s">
        <v>686</v>
      </c>
      <c r="T2" s="313" t="s">
        <v>358</v>
      </c>
      <c r="U2" s="313" t="s">
        <v>18</v>
      </c>
      <c r="Y2" s="328" t="s">
        <v>78</v>
      </c>
      <c r="Z2" s="260" t="s">
        <v>75</v>
      </c>
      <c r="AA2" s="259" t="s">
        <v>74</v>
      </c>
      <c r="AB2" s="248" t="s">
        <v>73</v>
      </c>
      <c r="AC2" s="248" t="s">
        <v>72</v>
      </c>
      <c r="AD2" s="259" t="s">
        <v>71</v>
      </c>
      <c r="AE2" s="259" t="s">
        <v>18</v>
      </c>
      <c r="AG2" s="375"/>
      <c r="AH2" s="688" t="s">
        <v>955</v>
      </c>
      <c r="AI2" s="689"/>
      <c r="AJ2" s="689"/>
      <c r="AK2" s="689"/>
      <c r="AL2" s="689"/>
      <c r="AM2" s="689"/>
      <c r="AN2" s="689"/>
      <c r="AO2" s="689"/>
      <c r="AP2" s="689"/>
      <c r="AQ2" s="689"/>
      <c r="AR2" s="690"/>
      <c r="AU2" s="418"/>
      <c r="AV2" s="434" t="s">
        <v>76</v>
      </c>
      <c r="AW2" s="435" t="s">
        <v>78</v>
      </c>
      <c r="AX2" s="436" t="s">
        <v>75</v>
      </c>
      <c r="AY2" s="424" t="s">
        <v>74</v>
      </c>
      <c r="AZ2" s="424" t="s">
        <v>73</v>
      </c>
      <c r="BA2" s="424" t="s">
        <v>72</v>
      </c>
      <c r="BB2" s="424" t="s">
        <v>170</v>
      </c>
      <c r="BC2" s="424" t="s">
        <v>1092</v>
      </c>
      <c r="BD2" s="424" t="s">
        <v>686</v>
      </c>
      <c r="BE2" s="424" t="s">
        <v>358</v>
      </c>
      <c r="BF2" s="430" t="s">
        <v>18</v>
      </c>
      <c r="BI2" s="434" t="s">
        <v>76</v>
      </c>
      <c r="BJ2" s="435" t="s">
        <v>78</v>
      </c>
      <c r="BK2" s="436" t="s">
        <v>75</v>
      </c>
      <c r="BL2" s="424" t="s">
        <v>74</v>
      </c>
      <c r="BM2" s="424" t="s">
        <v>73</v>
      </c>
      <c r="BN2" s="424" t="s">
        <v>72</v>
      </c>
      <c r="BO2" s="424" t="s">
        <v>170</v>
      </c>
      <c r="BP2" s="424" t="s">
        <v>1219</v>
      </c>
      <c r="BQ2" s="424" t="s">
        <v>686</v>
      </c>
      <c r="BR2" s="424" t="s">
        <v>358</v>
      </c>
      <c r="BS2" s="493" t="s">
        <v>18</v>
      </c>
      <c r="BT2" s="469" t="s">
        <v>1220</v>
      </c>
      <c r="BW2" s="507" t="s">
        <v>76</v>
      </c>
      <c r="BX2" s="508" t="s">
        <v>78</v>
      </c>
      <c r="BY2" s="509" t="s">
        <v>75</v>
      </c>
      <c r="BZ2" s="510" t="s">
        <v>74</v>
      </c>
      <c r="CA2" s="510" t="s">
        <v>73</v>
      </c>
      <c r="CB2" s="510" t="s">
        <v>72</v>
      </c>
      <c r="CC2" s="510" t="s">
        <v>170</v>
      </c>
      <c r="CD2" s="510" t="s">
        <v>1219</v>
      </c>
      <c r="CE2" s="510" t="s">
        <v>686</v>
      </c>
      <c r="CF2" s="510" t="s">
        <v>358</v>
      </c>
      <c r="CG2" s="511" t="s">
        <v>18</v>
      </c>
      <c r="CH2" s="510" t="s">
        <v>1220</v>
      </c>
      <c r="CL2" s="507" t="s">
        <v>76</v>
      </c>
      <c r="CM2" s="508" t="s">
        <v>78</v>
      </c>
      <c r="CN2" s="509" t="s">
        <v>75</v>
      </c>
      <c r="CO2" s="510" t="s">
        <v>74</v>
      </c>
      <c r="CP2" s="510" t="s">
        <v>73</v>
      </c>
      <c r="CQ2" s="510" t="s">
        <v>72</v>
      </c>
      <c r="CR2" s="510" t="s">
        <v>170</v>
      </c>
      <c r="CS2" s="510" t="s">
        <v>1219</v>
      </c>
      <c r="CT2" s="510" t="s">
        <v>686</v>
      </c>
      <c r="CU2" s="510" t="s">
        <v>358</v>
      </c>
      <c r="CV2" s="511" t="s">
        <v>18</v>
      </c>
      <c r="CW2" s="510" t="s">
        <v>1220</v>
      </c>
      <c r="CZ2" s="469" t="s">
        <v>76</v>
      </c>
      <c r="DA2" s="567" t="s">
        <v>78</v>
      </c>
      <c r="DB2" s="568" t="s">
        <v>75</v>
      </c>
      <c r="DC2" s="469" t="s">
        <v>74</v>
      </c>
      <c r="DD2" s="469" t="s">
        <v>73</v>
      </c>
      <c r="DE2" s="469" t="s">
        <v>72</v>
      </c>
      <c r="DF2" s="469" t="s">
        <v>170</v>
      </c>
      <c r="DG2" s="469" t="s">
        <v>1219</v>
      </c>
      <c r="DH2" s="469" t="s">
        <v>686</v>
      </c>
      <c r="DI2" s="469" t="s">
        <v>358</v>
      </c>
      <c r="DJ2" s="469" t="s">
        <v>18</v>
      </c>
      <c r="DK2" s="469" t="s">
        <v>1220</v>
      </c>
      <c r="DP2" s="469" t="s">
        <v>76</v>
      </c>
      <c r="DQ2" s="567" t="s">
        <v>78</v>
      </c>
      <c r="DR2" s="568" t="s">
        <v>75</v>
      </c>
      <c r="DS2" s="469" t="s">
        <v>74</v>
      </c>
      <c r="DT2" s="593" t="s">
        <v>73</v>
      </c>
      <c r="DU2" s="593" t="s">
        <v>72</v>
      </c>
      <c r="DV2" s="469" t="s">
        <v>170</v>
      </c>
      <c r="DW2" s="469" t="s">
        <v>1219</v>
      </c>
      <c r="DX2" s="469" t="s">
        <v>686</v>
      </c>
      <c r="DY2" s="469" t="s">
        <v>358</v>
      </c>
      <c r="DZ2" s="593" t="s">
        <v>18</v>
      </c>
    </row>
    <row r="3" spans="1:131" ht="20.25" customHeight="1" thickBot="1" x14ac:dyDescent="0.3">
      <c r="A3" s="167" t="s">
        <v>280</v>
      </c>
      <c r="B3" s="218" t="s">
        <v>281</v>
      </c>
      <c r="C3" s="189" t="s">
        <v>282</v>
      </c>
      <c r="D3" s="190">
        <v>60</v>
      </c>
      <c r="E3" s="190" t="s">
        <v>97</v>
      </c>
      <c r="F3" s="189"/>
      <c r="G3" s="191" t="s">
        <v>122</v>
      </c>
      <c r="H3" s="153"/>
      <c r="K3" s="373">
        <v>1</v>
      </c>
      <c r="L3" s="167" t="s">
        <v>880</v>
      </c>
      <c r="M3" s="382" t="s">
        <v>882</v>
      </c>
      <c r="N3" s="383" t="s">
        <v>883</v>
      </c>
      <c r="O3" s="384">
        <v>79</v>
      </c>
      <c r="P3" s="384" t="s">
        <v>97</v>
      </c>
      <c r="Q3" s="379"/>
      <c r="R3" s="5"/>
      <c r="S3" s="276"/>
      <c r="T3" s="5"/>
      <c r="U3" s="379" t="s">
        <v>360</v>
      </c>
      <c r="Y3" s="249" t="s">
        <v>721</v>
      </c>
      <c r="Z3" s="323" t="s">
        <v>722</v>
      </c>
      <c r="AA3" s="192" t="s">
        <v>804</v>
      </c>
      <c r="AB3" s="264">
        <v>30</v>
      </c>
      <c r="AC3" s="264" t="s">
        <v>98</v>
      </c>
      <c r="AD3" s="192" t="s">
        <v>234</v>
      </c>
      <c r="AE3" s="192" t="s">
        <v>123</v>
      </c>
      <c r="AG3" s="375"/>
      <c r="AH3" s="434" t="s">
        <v>76</v>
      </c>
      <c r="AI3" s="435" t="s">
        <v>78</v>
      </c>
      <c r="AJ3" s="436" t="s">
        <v>75</v>
      </c>
      <c r="AK3" s="424" t="s">
        <v>74</v>
      </c>
      <c r="AL3" s="424" t="s">
        <v>73</v>
      </c>
      <c r="AM3" s="424" t="s">
        <v>72</v>
      </c>
      <c r="AN3" s="424" t="s">
        <v>170</v>
      </c>
      <c r="AO3" s="424" t="s">
        <v>1092</v>
      </c>
      <c r="AP3" s="424" t="s">
        <v>686</v>
      </c>
      <c r="AQ3" s="424" t="s">
        <v>358</v>
      </c>
      <c r="AR3" s="430" t="s">
        <v>18</v>
      </c>
      <c r="AU3" s="365"/>
      <c r="AV3" s="425">
        <v>1</v>
      </c>
      <c r="AW3" s="466" t="s">
        <v>1108</v>
      </c>
      <c r="AX3" s="426" t="s">
        <v>1109</v>
      </c>
      <c r="AY3" s="427" t="s">
        <v>1113</v>
      </c>
      <c r="AZ3" s="425">
        <v>50</v>
      </c>
      <c r="BA3" s="428" t="s">
        <v>97</v>
      </c>
      <c r="BB3" s="428"/>
      <c r="BC3" s="428"/>
      <c r="BD3" s="428"/>
      <c r="BE3" s="428"/>
      <c r="BF3" s="469" t="s">
        <v>122</v>
      </c>
      <c r="BI3" s="479">
        <v>1</v>
      </c>
      <c r="BJ3" s="489" t="s">
        <v>1160</v>
      </c>
      <c r="BK3" s="483" t="s">
        <v>1158</v>
      </c>
      <c r="BL3" s="480" t="s">
        <v>1159</v>
      </c>
      <c r="BM3" s="484">
        <v>56</v>
      </c>
      <c r="BN3" s="481" t="s">
        <v>120</v>
      </c>
      <c r="BO3" s="428"/>
      <c r="BP3" s="428"/>
      <c r="BQ3" s="428"/>
      <c r="BR3" s="428"/>
      <c r="BS3" s="494" t="s">
        <v>122</v>
      </c>
      <c r="BT3" s="5"/>
      <c r="BW3" s="479">
        <v>1</v>
      </c>
      <c r="BX3" s="516" t="s">
        <v>1223</v>
      </c>
      <c r="BY3" s="512" t="s">
        <v>1224</v>
      </c>
      <c r="BZ3" s="513" t="s">
        <v>1225</v>
      </c>
      <c r="CA3" s="506">
        <v>31</v>
      </c>
      <c r="CB3" s="506" t="s">
        <v>97</v>
      </c>
      <c r="CC3" s="506"/>
      <c r="CD3" s="506"/>
      <c r="CE3" s="506"/>
      <c r="CF3" s="506"/>
      <c r="CG3" s="513" t="s">
        <v>122</v>
      </c>
      <c r="CH3" s="514"/>
      <c r="CL3" s="155">
        <v>1</v>
      </c>
      <c r="CM3" s="167" t="s">
        <v>1288</v>
      </c>
      <c r="CN3" s="218" t="s">
        <v>1289</v>
      </c>
      <c r="CO3" s="189" t="s">
        <v>1290</v>
      </c>
      <c r="CP3" s="190">
        <v>89</v>
      </c>
      <c r="CQ3" s="255" t="s">
        <v>97</v>
      </c>
      <c r="CR3" s="506"/>
      <c r="CS3" s="506"/>
      <c r="CT3" s="506"/>
      <c r="CU3" s="506"/>
      <c r="CV3" s="191" t="s">
        <v>688</v>
      </c>
      <c r="CW3" s="514"/>
      <c r="CZ3" s="425">
        <v>1</v>
      </c>
      <c r="DA3" s="425" t="s">
        <v>1374</v>
      </c>
      <c r="DB3" s="426" t="s">
        <v>1375</v>
      </c>
      <c r="DC3" s="427" t="s">
        <v>1376</v>
      </c>
      <c r="DD3" s="427">
        <v>52</v>
      </c>
      <c r="DE3" s="428" t="s">
        <v>97</v>
      </c>
      <c r="DF3" s="427"/>
      <c r="DG3" s="428"/>
      <c r="DH3" s="428"/>
      <c r="DI3" s="428"/>
      <c r="DJ3" s="427" t="s">
        <v>122</v>
      </c>
      <c r="DK3" s="482"/>
      <c r="DP3" s="425">
        <v>1</v>
      </c>
      <c r="DQ3" s="595" t="s">
        <v>1448</v>
      </c>
      <c r="DR3" s="597" t="s">
        <v>1449</v>
      </c>
      <c r="DS3" s="486" t="s">
        <v>1450</v>
      </c>
      <c r="DT3" s="486">
        <v>83</v>
      </c>
      <c r="DU3" s="486" t="s">
        <v>97</v>
      </c>
      <c r="DV3" s="427"/>
      <c r="DW3" s="428"/>
      <c r="DX3" s="428"/>
      <c r="DY3" s="428"/>
      <c r="DZ3" s="486" t="s">
        <v>122</v>
      </c>
    </row>
    <row r="4" spans="1:131" ht="20.25" customHeight="1" thickBot="1" x14ac:dyDescent="0.3">
      <c r="A4" s="199" t="s">
        <v>297</v>
      </c>
      <c r="B4" s="218" t="s">
        <v>298</v>
      </c>
      <c r="C4" s="192" t="s">
        <v>299</v>
      </c>
      <c r="D4" s="193">
        <v>62</v>
      </c>
      <c r="E4" s="193" t="s">
        <v>97</v>
      </c>
      <c r="F4" s="192"/>
      <c r="G4" s="194" t="s">
        <v>122</v>
      </c>
      <c r="H4" s="153"/>
      <c r="K4" s="374">
        <v>2</v>
      </c>
      <c r="L4" s="261" t="s">
        <v>881</v>
      </c>
      <c r="M4" s="392" t="s">
        <v>882</v>
      </c>
      <c r="N4" s="371" t="s">
        <v>884</v>
      </c>
      <c r="O4" s="379">
        <v>45</v>
      </c>
      <c r="P4" s="379" t="s">
        <v>97</v>
      </c>
      <c r="Q4" s="379"/>
      <c r="R4" s="5"/>
      <c r="S4" s="276"/>
      <c r="T4" s="5"/>
      <c r="U4" s="379" t="s">
        <v>360</v>
      </c>
      <c r="Y4" s="331" t="s">
        <v>777</v>
      </c>
      <c r="Z4" s="339" t="s">
        <v>722</v>
      </c>
      <c r="AA4" s="340" t="s">
        <v>778</v>
      </c>
      <c r="AB4" s="341">
        <v>38</v>
      </c>
      <c r="AC4" s="341" t="s">
        <v>97</v>
      </c>
      <c r="AD4" s="340" t="s">
        <v>235</v>
      </c>
      <c r="AE4" s="342" t="s">
        <v>122</v>
      </c>
      <c r="AG4" s="375"/>
      <c r="AH4" s="425">
        <v>1</v>
      </c>
      <c r="AI4" s="437" t="s">
        <v>1045</v>
      </c>
      <c r="AJ4" s="426" t="s">
        <v>1046</v>
      </c>
      <c r="AK4" s="427" t="s">
        <v>1048</v>
      </c>
      <c r="AL4" s="428">
        <v>60</v>
      </c>
      <c r="AM4" s="428" t="s">
        <v>97</v>
      </c>
      <c r="AN4" s="428"/>
      <c r="AO4" s="428"/>
      <c r="AP4" s="428"/>
      <c r="AQ4" s="428"/>
      <c r="AR4" s="431" t="s">
        <v>122</v>
      </c>
      <c r="AU4" s="365"/>
      <c r="AV4" s="425">
        <v>2</v>
      </c>
      <c r="AW4" s="468" t="s">
        <v>1114</v>
      </c>
      <c r="AX4" s="426" t="s">
        <v>1115</v>
      </c>
      <c r="AY4" s="467" t="s">
        <v>1116</v>
      </c>
      <c r="AZ4" s="428">
        <v>62</v>
      </c>
      <c r="BA4" s="428" t="s">
        <v>97</v>
      </c>
      <c r="BB4" s="428"/>
      <c r="BC4" s="428"/>
      <c r="BD4" s="428"/>
      <c r="BE4" s="428"/>
      <c r="BF4" s="469" t="s">
        <v>122</v>
      </c>
      <c r="BI4" s="479">
        <v>2</v>
      </c>
      <c r="BJ4" s="490" t="s">
        <v>1161</v>
      </c>
      <c r="BK4" s="485" t="s">
        <v>1162</v>
      </c>
      <c r="BL4" s="427" t="s">
        <v>1163</v>
      </c>
      <c r="BM4" s="486">
        <v>63</v>
      </c>
      <c r="BN4" s="428" t="s">
        <v>120</v>
      </c>
      <c r="BO4" s="428"/>
      <c r="BP4" s="428"/>
      <c r="BQ4" s="428"/>
      <c r="BR4" s="428"/>
      <c r="BS4" s="494" t="s">
        <v>122</v>
      </c>
      <c r="BT4" s="5"/>
      <c r="BW4" s="479">
        <v>2</v>
      </c>
      <c r="BX4" s="429" t="s">
        <v>1226</v>
      </c>
      <c r="BY4" s="426" t="s">
        <v>1227</v>
      </c>
      <c r="BZ4" s="427" t="s">
        <v>1228</v>
      </c>
      <c r="CA4" s="428">
        <v>50</v>
      </c>
      <c r="CB4" s="428" t="s">
        <v>97</v>
      </c>
      <c r="CC4" s="428"/>
      <c r="CD4" s="428"/>
      <c r="CE4" s="428"/>
      <c r="CF4" s="428"/>
      <c r="CG4" s="427" t="s">
        <v>122</v>
      </c>
      <c r="CH4" s="482"/>
      <c r="CL4" s="155">
        <v>2</v>
      </c>
      <c r="CM4" s="311" t="s">
        <v>1291</v>
      </c>
      <c r="CN4" s="219" t="s">
        <v>1292</v>
      </c>
      <c r="CO4" s="192" t="s">
        <v>1293</v>
      </c>
      <c r="CP4" s="193">
        <v>64</v>
      </c>
      <c r="CQ4" s="254" t="s">
        <v>97</v>
      </c>
      <c r="CR4" s="428"/>
      <c r="CS4" s="428"/>
      <c r="CT4" s="428"/>
      <c r="CU4" s="428"/>
      <c r="CV4" s="191" t="s">
        <v>688</v>
      </c>
      <c r="CW4" s="482"/>
      <c r="CZ4" s="425">
        <v>2</v>
      </c>
      <c r="DA4" s="569" t="s">
        <v>1377</v>
      </c>
      <c r="DB4" s="426" t="s">
        <v>1378</v>
      </c>
      <c r="DC4" s="427" t="s">
        <v>1384</v>
      </c>
      <c r="DD4" s="427">
        <v>62</v>
      </c>
      <c r="DE4" s="428" t="s">
        <v>97</v>
      </c>
      <c r="DF4" s="427"/>
      <c r="DG4" s="428"/>
      <c r="DH4" s="428"/>
      <c r="DI4" s="428"/>
      <c r="DJ4" s="427" t="s">
        <v>122</v>
      </c>
      <c r="DK4" s="482"/>
      <c r="DP4" s="425">
        <v>2</v>
      </c>
      <c r="DQ4" s="598" t="s">
        <v>1451</v>
      </c>
      <c r="DR4" s="597" t="s">
        <v>1449</v>
      </c>
      <c r="DS4" s="486" t="s">
        <v>1452</v>
      </c>
      <c r="DT4" s="486">
        <v>56</v>
      </c>
      <c r="DU4" s="486" t="s">
        <v>97</v>
      </c>
      <c r="DV4" s="427"/>
      <c r="DW4" s="428"/>
      <c r="DX4" s="428"/>
      <c r="DY4" s="428"/>
      <c r="DZ4" s="486" t="s">
        <v>122</v>
      </c>
    </row>
    <row r="5" spans="1:131" ht="20.25" customHeight="1" thickBot="1" x14ac:dyDescent="0.3">
      <c r="A5" s="167" t="s">
        <v>306</v>
      </c>
      <c r="B5" s="218" t="s">
        <v>307</v>
      </c>
      <c r="C5" s="189" t="s">
        <v>308</v>
      </c>
      <c r="D5" s="190">
        <v>56</v>
      </c>
      <c r="E5" s="190" t="s">
        <v>97</v>
      </c>
      <c r="F5" s="192"/>
      <c r="G5" s="194" t="s">
        <v>122</v>
      </c>
      <c r="H5" s="153"/>
      <c r="K5" s="374">
        <v>3</v>
      </c>
      <c r="L5" s="261" t="s">
        <v>886</v>
      </c>
      <c r="M5" s="393" t="s">
        <v>885</v>
      </c>
      <c r="N5" s="371" t="s">
        <v>887</v>
      </c>
      <c r="O5" s="379">
        <v>69</v>
      </c>
      <c r="P5" s="379" t="s">
        <v>97</v>
      </c>
      <c r="Q5" s="379"/>
      <c r="R5" s="5"/>
      <c r="S5" s="276"/>
      <c r="T5" s="5"/>
      <c r="U5" s="379" t="s">
        <v>360</v>
      </c>
      <c r="Y5" s="249" t="s">
        <v>787</v>
      </c>
      <c r="Z5" s="323" t="s">
        <v>786</v>
      </c>
      <c r="AA5" s="192" t="s">
        <v>788</v>
      </c>
      <c r="AB5" s="264">
        <v>39</v>
      </c>
      <c r="AC5" s="264" t="s">
        <v>97</v>
      </c>
      <c r="AD5" s="192" t="s">
        <v>235</v>
      </c>
      <c r="AE5" s="192" t="s">
        <v>688</v>
      </c>
      <c r="AG5" s="375"/>
      <c r="AH5" s="425">
        <v>2</v>
      </c>
      <c r="AI5" s="425" t="s">
        <v>1044</v>
      </c>
      <c r="AJ5" s="426" t="s">
        <v>1047</v>
      </c>
      <c r="AK5" s="427" t="s">
        <v>1091</v>
      </c>
      <c r="AL5" s="428">
        <v>68</v>
      </c>
      <c r="AM5" s="428" t="s">
        <v>97</v>
      </c>
      <c r="AN5" s="428"/>
      <c r="AO5" s="428"/>
      <c r="AP5" s="428"/>
      <c r="AQ5" s="428"/>
      <c r="AR5" s="432" t="s">
        <v>122</v>
      </c>
      <c r="AU5" s="365"/>
      <c r="AV5" s="425">
        <v>3</v>
      </c>
      <c r="AW5" s="468" t="s">
        <v>1117</v>
      </c>
      <c r="AX5" s="426" t="s">
        <v>1118</v>
      </c>
      <c r="AY5" s="427" t="s">
        <v>1119</v>
      </c>
      <c r="AZ5" s="425">
        <v>50</v>
      </c>
      <c r="BA5" s="428" t="s">
        <v>97</v>
      </c>
      <c r="BB5" s="428"/>
      <c r="BC5" s="428"/>
      <c r="BD5" s="428"/>
      <c r="BE5" s="428"/>
      <c r="BF5" s="469" t="s">
        <v>122</v>
      </c>
      <c r="BI5" s="479">
        <v>3</v>
      </c>
      <c r="BJ5" s="491" t="s">
        <v>1164</v>
      </c>
      <c r="BK5" s="485" t="s">
        <v>1165</v>
      </c>
      <c r="BL5" s="427" t="s">
        <v>1166</v>
      </c>
      <c r="BM5" s="486">
        <v>63</v>
      </c>
      <c r="BN5" s="428" t="s">
        <v>120</v>
      </c>
      <c r="BO5" s="428"/>
      <c r="BP5" s="428"/>
      <c r="BQ5" s="428"/>
      <c r="BR5" s="428"/>
      <c r="BS5" s="494" t="s">
        <v>122</v>
      </c>
      <c r="BT5" s="5"/>
      <c r="BW5" s="479">
        <v>3</v>
      </c>
      <c r="BX5" s="429" t="s">
        <v>1230</v>
      </c>
      <c r="BY5" s="426" t="s">
        <v>1231</v>
      </c>
      <c r="BZ5" s="426" t="s">
        <v>1232</v>
      </c>
      <c r="CA5" s="428">
        <v>56</v>
      </c>
      <c r="CB5" s="428" t="s">
        <v>97</v>
      </c>
      <c r="CC5" s="428"/>
      <c r="CD5" s="428"/>
      <c r="CE5" s="428"/>
      <c r="CF5" s="428"/>
      <c r="CG5" s="427" t="s">
        <v>122</v>
      </c>
      <c r="CH5" s="482"/>
      <c r="CL5" s="155">
        <v>3</v>
      </c>
      <c r="CM5" s="199" t="s">
        <v>1294</v>
      </c>
      <c r="CN5" s="219" t="s">
        <v>1295</v>
      </c>
      <c r="CO5" s="192" t="s">
        <v>1296</v>
      </c>
      <c r="CP5" s="193">
        <v>64</v>
      </c>
      <c r="CQ5" s="254" t="s">
        <v>97</v>
      </c>
      <c r="CR5" s="428"/>
      <c r="CS5" s="428"/>
      <c r="CT5" s="428"/>
      <c r="CU5" s="428"/>
      <c r="CV5" s="191" t="s">
        <v>688</v>
      </c>
      <c r="CW5" s="482"/>
      <c r="CZ5" s="425">
        <v>3</v>
      </c>
      <c r="DA5" s="429" t="s">
        <v>1386</v>
      </c>
      <c r="DB5" s="426" t="s">
        <v>1378</v>
      </c>
      <c r="DC5" s="427" t="s">
        <v>1385</v>
      </c>
      <c r="DD5" s="427">
        <v>55</v>
      </c>
      <c r="DE5" s="428" t="s">
        <v>97</v>
      </c>
      <c r="DF5" s="427"/>
      <c r="DG5" s="428"/>
      <c r="DH5" s="428"/>
      <c r="DI5" s="428"/>
      <c r="DJ5" s="427" t="s">
        <v>122</v>
      </c>
      <c r="DK5" s="482"/>
      <c r="DP5" s="425">
        <v>3</v>
      </c>
      <c r="DQ5" s="492" t="s">
        <v>1458</v>
      </c>
      <c r="DR5" s="597" t="s">
        <v>1454</v>
      </c>
      <c r="DS5" s="486" t="s">
        <v>1459</v>
      </c>
      <c r="DT5" s="486">
        <v>55</v>
      </c>
      <c r="DU5" s="486" t="s">
        <v>97</v>
      </c>
      <c r="DV5" s="427"/>
      <c r="DW5" s="428"/>
      <c r="DX5" s="428"/>
      <c r="DY5" s="428"/>
      <c r="DZ5" s="486" t="s">
        <v>122</v>
      </c>
    </row>
    <row r="6" spans="1:131" ht="20.25" customHeight="1" thickBot="1" x14ac:dyDescent="0.3">
      <c r="A6" s="199" t="s">
        <v>342</v>
      </c>
      <c r="B6" s="218" t="s">
        <v>343</v>
      </c>
      <c r="C6" s="192" t="s">
        <v>344</v>
      </c>
      <c r="D6" s="193">
        <v>87</v>
      </c>
      <c r="E6" s="193" t="s">
        <v>97</v>
      </c>
      <c r="F6" s="153"/>
      <c r="G6" s="194" t="s">
        <v>122</v>
      </c>
      <c r="H6" s="153"/>
      <c r="K6" s="374">
        <v>4</v>
      </c>
      <c r="L6" s="261" t="s">
        <v>889</v>
      </c>
      <c r="M6" s="393" t="s">
        <v>888</v>
      </c>
      <c r="N6" s="371" t="s">
        <v>890</v>
      </c>
      <c r="O6" s="379">
        <v>62</v>
      </c>
      <c r="P6" s="379" t="s">
        <v>97</v>
      </c>
      <c r="Q6" s="379"/>
      <c r="R6" s="5"/>
      <c r="S6" s="276"/>
      <c r="T6" s="5"/>
      <c r="U6" s="379" t="s">
        <v>360</v>
      </c>
      <c r="Y6" s="249" t="s">
        <v>794</v>
      </c>
      <c r="Z6" s="323" t="s">
        <v>766</v>
      </c>
      <c r="AA6" s="192" t="s">
        <v>797</v>
      </c>
      <c r="AB6" s="264">
        <v>42</v>
      </c>
      <c r="AC6" s="264" t="s">
        <v>98</v>
      </c>
      <c r="AD6" s="192" t="s">
        <v>234</v>
      </c>
      <c r="AE6" s="192" t="s">
        <v>688</v>
      </c>
      <c r="AG6" s="375"/>
      <c r="AH6" s="425">
        <v>3</v>
      </c>
      <c r="AI6" s="429" t="s">
        <v>1050</v>
      </c>
      <c r="AJ6" s="426" t="s">
        <v>1049</v>
      </c>
      <c r="AK6" s="427" t="s">
        <v>1051</v>
      </c>
      <c r="AL6" s="428">
        <v>40</v>
      </c>
      <c r="AM6" s="428" t="s">
        <v>97</v>
      </c>
      <c r="AN6" s="428"/>
      <c r="AO6" s="428"/>
      <c r="AP6" s="428"/>
      <c r="AQ6" s="428"/>
      <c r="AR6" s="432" t="s">
        <v>122</v>
      </c>
      <c r="AU6" s="365"/>
      <c r="AV6" s="425">
        <v>4</v>
      </c>
      <c r="AW6" s="468" t="s">
        <v>1120</v>
      </c>
      <c r="AX6" s="426" t="s">
        <v>1121</v>
      </c>
      <c r="AY6" s="427" t="s">
        <v>1122</v>
      </c>
      <c r="AZ6" s="428">
        <v>65</v>
      </c>
      <c r="BA6" s="428" t="s">
        <v>97</v>
      </c>
      <c r="BB6" s="428"/>
      <c r="BC6" s="428"/>
      <c r="BD6" s="428"/>
      <c r="BE6" s="428"/>
      <c r="BF6" s="469" t="s">
        <v>122</v>
      </c>
      <c r="BI6" s="479">
        <v>4</v>
      </c>
      <c r="BJ6" s="490" t="s">
        <v>1168</v>
      </c>
      <c r="BK6" s="485" t="s">
        <v>1167</v>
      </c>
      <c r="BL6" s="427" t="s">
        <v>1169</v>
      </c>
      <c r="BM6" s="486">
        <v>76</v>
      </c>
      <c r="BN6" s="428" t="s">
        <v>120</v>
      </c>
      <c r="BO6" s="428"/>
      <c r="BP6" s="428"/>
      <c r="BQ6" s="428"/>
      <c r="BR6" s="428"/>
      <c r="BS6" s="494" t="s">
        <v>122</v>
      </c>
      <c r="BT6" s="5"/>
      <c r="BW6" s="479">
        <v>4</v>
      </c>
      <c r="BX6" s="429" t="s">
        <v>1233</v>
      </c>
      <c r="BY6" s="426" t="s">
        <v>1234</v>
      </c>
      <c r="BZ6" s="427" t="s">
        <v>1235</v>
      </c>
      <c r="CA6" s="428">
        <v>42</v>
      </c>
      <c r="CB6" s="428" t="s">
        <v>97</v>
      </c>
      <c r="CC6" s="428"/>
      <c r="CD6" s="428"/>
      <c r="CE6" s="428"/>
      <c r="CF6" s="428"/>
      <c r="CG6" s="427" t="s">
        <v>122</v>
      </c>
      <c r="CH6" s="482"/>
      <c r="CL6" s="155">
        <v>4</v>
      </c>
      <c r="CM6" s="199" t="s">
        <v>1297</v>
      </c>
      <c r="CN6" s="219" t="s">
        <v>1298</v>
      </c>
      <c r="CO6" s="192" t="s">
        <v>1299</v>
      </c>
      <c r="CP6" s="193">
        <v>65</v>
      </c>
      <c r="CQ6" s="254" t="s">
        <v>169</v>
      </c>
      <c r="CR6" s="428"/>
      <c r="CS6" s="428"/>
      <c r="CT6" s="428"/>
      <c r="CU6" s="428"/>
      <c r="CV6" s="256" t="s">
        <v>122</v>
      </c>
      <c r="CW6" s="482"/>
      <c r="CZ6" s="425">
        <v>4</v>
      </c>
      <c r="DA6" s="429" t="s">
        <v>1387</v>
      </c>
      <c r="DB6" s="426" t="s">
        <v>1388</v>
      </c>
      <c r="DC6" s="427" t="s">
        <v>1389</v>
      </c>
      <c r="DD6" s="427">
        <v>57</v>
      </c>
      <c r="DE6" s="428" t="s">
        <v>97</v>
      </c>
      <c r="DF6" s="427"/>
      <c r="DG6" s="428"/>
      <c r="DH6" s="428"/>
      <c r="DI6" s="428"/>
      <c r="DJ6" s="427" t="s">
        <v>122</v>
      </c>
      <c r="DK6" s="482"/>
      <c r="DP6" s="425">
        <v>4</v>
      </c>
      <c r="DQ6" s="492" t="s">
        <v>1460</v>
      </c>
      <c r="DR6" s="597" t="s">
        <v>1455</v>
      </c>
      <c r="DS6" s="486" t="s">
        <v>1461</v>
      </c>
      <c r="DT6" s="486">
        <v>72</v>
      </c>
      <c r="DU6" s="486" t="s">
        <v>97</v>
      </c>
      <c r="DV6" s="427"/>
      <c r="DW6" s="428"/>
      <c r="DX6" s="428"/>
      <c r="DY6" s="428"/>
      <c r="DZ6" s="486" t="s">
        <v>122</v>
      </c>
    </row>
    <row r="7" spans="1:131" ht="20.25" customHeight="1" thickBot="1" x14ac:dyDescent="0.3">
      <c r="A7" s="199" t="s">
        <v>345</v>
      </c>
      <c r="B7" s="218" t="s">
        <v>343</v>
      </c>
      <c r="C7" s="192" t="s">
        <v>346</v>
      </c>
      <c r="D7" s="193">
        <v>70</v>
      </c>
      <c r="E7" s="193" t="s">
        <v>97</v>
      </c>
      <c r="F7" s="192"/>
      <c r="G7" s="194" t="s">
        <v>122</v>
      </c>
      <c r="H7" s="153"/>
      <c r="K7" s="374">
        <v>5</v>
      </c>
      <c r="L7" s="261" t="s">
        <v>892</v>
      </c>
      <c r="M7" s="393" t="s">
        <v>891</v>
      </c>
      <c r="N7" s="371" t="s">
        <v>894</v>
      </c>
      <c r="O7" s="379">
        <v>47</v>
      </c>
      <c r="P7" s="379" t="s">
        <v>97</v>
      </c>
      <c r="Q7" s="379"/>
      <c r="R7" s="5"/>
      <c r="S7" s="276"/>
      <c r="T7" s="5"/>
      <c r="U7" s="379" t="s">
        <v>360</v>
      </c>
      <c r="Y7" s="249" t="s">
        <v>799</v>
      </c>
      <c r="Z7" s="323" t="s">
        <v>717</v>
      </c>
      <c r="AA7" s="192" t="s">
        <v>801</v>
      </c>
      <c r="AB7" s="264">
        <v>42</v>
      </c>
      <c r="AC7" s="264" t="s">
        <v>98</v>
      </c>
      <c r="AD7" s="192" t="s">
        <v>235</v>
      </c>
      <c r="AE7" s="192" t="s">
        <v>688</v>
      </c>
      <c r="AG7" s="375"/>
      <c r="AH7" s="425">
        <v>4</v>
      </c>
      <c r="AI7" s="429" t="s">
        <v>1052</v>
      </c>
      <c r="AJ7" s="426" t="s">
        <v>1053</v>
      </c>
      <c r="AK7" s="427" t="s">
        <v>1054</v>
      </c>
      <c r="AL7" s="428">
        <v>24</v>
      </c>
      <c r="AM7" s="428" t="s">
        <v>97</v>
      </c>
      <c r="AN7" s="428"/>
      <c r="AO7" s="428"/>
      <c r="AP7" s="428"/>
      <c r="AQ7" s="428"/>
      <c r="AR7" s="432" t="s">
        <v>122</v>
      </c>
      <c r="AU7" s="365"/>
      <c r="AV7" s="425">
        <v>5</v>
      </c>
      <c r="AW7" s="468" t="s">
        <v>1123</v>
      </c>
      <c r="AX7" s="426" t="s">
        <v>1111</v>
      </c>
      <c r="AY7" s="427" t="s">
        <v>1124</v>
      </c>
      <c r="AZ7" s="428">
        <v>74</v>
      </c>
      <c r="BA7" s="428" t="s">
        <v>98</v>
      </c>
      <c r="BB7" s="428"/>
      <c r="BC7" s="428"/>
      <c r="BD7" s="428"/>
      <c r="BE7" s="428"/>
      <c r="BF7" s="469" t="s">
        <v>123</v>
      </c>
      <c r="BI7" s="479">
        <v>5</v>
      </c>
      <c r="BJ7" s="490" t="s">
        <v>1171</v>
      </c>
      <c r="BK7" s="485" t="s">
        <v>1170</v>
      </c>
      <c r="BL7" s="427" t="s">
        <v>1172</v>
      </c>
      <c r="BM7" s="486">
        <v>64</v>
      </c>
      <c r="BN7" s="428" t="s">
        <v>120</v>
      </c>
      <c r="BO7" s="428"/>
      <c r="BP7" s="428"/>
      <c r="BQ7" s="428"/>
      <c r="BR7" s="428"/>
      <c r="BS7" s="494" t="s">
        <v>122</v>
      </c>
      <c r="BT7" s="5"/>
      <c r="BW7" s="479">
        <v>5</v>
      </c>
      <c r="BX7" s="429" t="s">
        <v>1236</v>
      </c>
      <c r="BY7" s="426" t="s">
        <v>1237</v>
      </c>
      <c r="BZ7" s="427" t="s">
        <v>1238</v>
      </c>
      <c r="CA7" s="428">
        <v>76</v>
      </c>
      <c r="CB7" s="428" t="s">
        <v>97</v>
      </c>
      <c r="CC7" s="428"/>
      <c r="CD7" s="428"/>
      <c r="CE7" s="428"/>
      <c r="CF7" s="428"/>
      <c r="CG7" s="427" t="s">
        <v>122</v>
      </c>
      <c r="CH7" s="482"/>
      <c r="CL7" s="155">
        <v>5</v>
      </c>
      <c r="CM7" s="199" t="s">
        <v>1300</v>
      </c>
      <c r="CN7" s="219" t="s">
        <v>1301</v>
      </c>
      <c r="CO7" s="342" t="s">
        <v>1302</v>
      </c>
      <c r="CP7" s="193">
        <v>51</v>
      </c>
      <c r="CQ7" s="254" t="s">
        <v>97</v>
      </c>
      <c r="CR7" s="428"/>
      <c r="CS7" s="428"/>
      <c r="CT7" s="428"/>
      <c r="CU7" s="428"/>
      <c r="CV7" s="256" t="s">
        <v>122</v>
      </c>
      <c r="CW7" s="482"/>
      <c r="CZ7" s="425">
        <v>5</v>
      </c>
      <c r="DA7" s="429" t="s">
        <v>1390</v>
      </c>
      <c r="DB7" s="426" t="s">
        <v>1396</v>
      </c>
      <c r="DC7" s="426" t="s">
        <v>1393</v>
      </c>
      <c r="DD7" s="427">
        <v>54</v>
      </c>
      <c r="DE7" s="428" t="s">
        <v>97</v>
      </c>
      <c r="DF7" s="427"/>
      <c r="DG7" s="428"/>
      <c r="DH7" s="428"/>
      <c r="DI7" s="428"/>
      <c r="DJ7" s="427" t="s">
        <v>122</v>
      </c>
      <c r="DK7" s="482"/>
      <c r="DP7" s="425">
        <v>5</v>
      </c>
      <c r="DQ7" s="492" t="s">
        <v>1462</v>
      </c>
      <c r="DR7" s="597" t="s">
        <v>1463</v>
      </c>
      <c r="DS7" s="597" t="s">
        <v>1464</v>
      </c>
      <c r="DT7" s="486">
        <v>68</v>
      </c>
      <c r="DU7" s="486" t="s">
        <v>97</v>
      </c>
      <c r="DV7" s="427"/>
      <c r="DW7" s="428"/>
      <c r="DX7" s="428"/>
      <c r="DY7" s="428"/>
      <c r="DZ7" s="486" t="s">
        <v>122</v>
      </c>
    </row>
    <row r="8" spans="1:131" ht="20.25" customHeight="1" thickBot="1" x14ac:dyDescent="0.3">
      <c r="A8" s="199" t="s">
        <v>283</v>
      </c>
      <c r="B8" s="218" t="s">
        <v>284</v>
      </c>
      <c r="C8" s="192" t="s">
        <v>285</v>
      </c>
      <c r="D8" s="193">
        <v>73</v>
      </c>
      <c r="E8" s="193" t="s">
        <v>98</v>
      </c>
      <c r="F8" s="192"/>
      <c r="G8" s="194" t="s">
        <v>123</v>
      </c>
      <c r="H8" s="153"/>
      <c r="K8" s="374">
        <v>6</v>
      </c>
      <c r="L8" s="261" t="s">
        <v>893</v>
      </c>
      <c r="M8" s="393" t="s">
        <v>891</v>
      </c>
      <c r="N8" s="371" t="s">
        <v>895</v>
      </c>
      <c r="O8" s="379">
        <v>87</v>
      </c>
      <c r="P8" s="379" t="s">
        <v>97</v>
      </c>
      <c r="Q8" s="379"/>
      <c r="R8" s="5"/>
      <c r="S8" s="276"/>
      <c r="T8" s="5"/>
      <c r="U8" s="379" t="s">
        <v>360</v>
      </c>
      <c r="Y8" s="249" t="s">
        <v>720</v>
      </c>
      <c r="Z8" s="323" t="s">
        <v>722</v>
      </c>
      <c r="AA8" s="192" t="s">
        <v>723</v>
      </c>
      <c r="AB8" s="264">
        <v>48</v>
      </c>
      <c r="AC8" s="264" t="s">
        <v>98</v>
      </c>
      <c r="AD8" s="192" t="s">
        <v>234</v>
      </c>
      <c r="AE8" s="192" t="s">
        <v>123</v>
      </c>
      <c r="AG8" s="375"/>
      <c r="AH8" s="425">
        <v>5</v>
      </c>
      <c r="AI8" s="429" t="s">
        <v>1056</v>
      </c>
      <c r="AJ8" s="426" t="s">
        <v>1055</v>
      </c>
      <c r="AK8" s="427" t="s">
        <v>1057</v>
      </c>
      <c r="AL8" s="428">
        <v>71</v>
      </c>
      <c r="AM8" s="428" t="s">
        <v>97</v>
      </c>
      <c r="AN8" s="428"/>
      <c r="AO8" s="428"/>
      <c r="AP8" s="428"/>
      <c r="AQ8" s="428"/>
      <c r="AR8" s="432" t="s">
        <v>122</v>
      </c>
      <c r="AU8" s="365"/>
      <c r="AV8" s="425">
        <v>6</v>
      </c>
      <c r="AW8" s="468" t="s">
        <v>1125</v>
      </c>
      <c r="AX8" s="426" t="s">
        <v>1112</v>
      </c>
      <c r="AY8" s="427" t="s">
        <v>1126</v>
      </c>
      <c r="AZ8" s="428">
        <v>75</v>
      </c>
      <c r="BA8" s="428" t="s">
        <v>98</v>
      </c>
      <c r="BB8" s="428"/>
      <c r="BC8" s="428"/>
      <c r="BD8" s="428"/>
      <c r="BE8" s="428"/>
      <c r="BF8" s="469" t="s">
        <v>123</v>
      </c>
      <c r="BI8" s="479">
        <v>6</v>
      </c>
      <c r="BJ8" s="490" t="s">
        <v>1174</v>
      </c>
      <c r="BK8" s="485" t="s">
        <v>1173</v>
      </c>
      <c r="BL8" s="427" t="s">
        <v>1175</v>
      </c>
      <c r="BM8" s="486">
        <v>52</v>
      </c>
      <c r="BN8" s="428" t="s">
        <v>120</v>
      </c>
      <c r="BO8" s="428"/>
      <c r="BP8" s="428"/>
      <c r="BQ8" s="428"/>
      <c r="BR8" s="428"/>
      <c r="BS8" s="494" t="s">
        <v>122</v>
      </c>
      <c r="BT8" s="5"/>
      <c r="BW8" s="479">
        <v>6</v>
      </c>
      <c r="BX8" s="429" t="s">
        <v>1258</v>
      </c>
      <c r="BY8" s="426" t="s">
        <v>1259</v>
      </c>
      <c r="BZ8" s="427" t="s">
        <v>1260</v>
      </c>
      <c r="CA8" s="428">
        <v>48</v>
      </c>
      <c r="CB8" s="428" t="s">
        <v>97</v>
      </c>
      <c r="CC8" s="428"/>
      <c r="CD8" s="428"/>
      <c r="CE8" s="428"/>
      <c r="CF8" s="428"/>
      <c r="CG8" s="427" t="s">
        <v>122</v>
      </c>
      <c r="CH8" s="482"/>
      <c r="CL8" s="155">
        <v>6</v>
      </c>
      <c r="CM8" s="199" t="s">
        <v>1303</v>
      </c>
      <c r="CN8" s="219" t="s">
        <v>1289</v>
      </c>
      <c r="CO8" s="192" t="s">
        <v>1304</v>
      </c>
      <c r="CP8" s="193">
        <v>83</v>
      </c>
      <c r="CQ8" s="254" t="s">
        <v>97</v>
      </c>
      <c r="CR8" s="428"/>
      <c r="CS8" s="428"/>
      <c r="CT8" s="428"/>
      <c r="CU8" s="428"/>
      <c r="CV8" s="194" t="s">
        <v>122</v>
      </c>
      <c r="CW8" s="482"/>
      <c r="CZ8" s="425">
        <v>6</v>
      </c>
      <c r="DA8" s="429" t="s">
        <v>1391</v>
      </c>
      <c r="DB8" s="426" t="s">
        <v>1396</v>
      </c>
      <c r="DC8" s="426" t="s">
        <v>1394</v>
      </c>
      <c r="DD8" s="427">
        <v>70</v>
      </c>
      <c r="DE8" s="428" t="s">
        <v>97</v>
      </c>
      <c r="DF8" s="427"/>
      <c r="DG8" s="428"/>
      <c r="DH8" s="428"/>
      <c r="DI8" s="428"/>
      <c r="DJ8" s="427" t="s">
        <v>122</v>
      </c>
      <c r="DK8" s="482"/>
      <c r="DP8" s="425">
        <v>6</v>
      </c>
      <c r="DQ8" s="492" t="s">
        <v>1465</v>
      </c>
      <c r="DR8" s="597" t="s">
        <v>1466</v>
      </c>
      <c r="DS8" s="597" t="s">
        <v>1467</v>
      </c>
      <c r="DT8" s="486">
        <v>58</v>
      </c>
      <c r="DU8" s="486" t="s">
        <v>97</v>
      </c>
      <c r="DV8" s="427"/>
      <c r="DW8" s="428"/>
      <c r="DX8" s="428"/>
      <c r="DY8" s="428"/>
      <c r="DZ8" s="486" t="s">
        <v>122</v>
      </c>
    </row>
    <row r="9" spans="1:131" ht="20.25" customHeight="1" thickBot="1" x14ac:dyDescent="0.3">
      <c r="A9" s="199" t="s">
        <v>286</v>
      </c>
      <c r="B9" s="218" t="s">
        <v>287</v>
      </c>
      <c r="C9" s="192" t="s">
        <v>288</v>
      </c>
      <c r="D9" s="193">
        <v>57</v>
      </c>
      <c r="E9" s="193" t="s">
        <v>98</v>
      </c>
      <c r="F9" s="192"/>
      <c r="G9" s="194" t="s">
        <v>123</v>
      </c>
      <c r="H9" s="153"/>
      <c r="K9" s="374">
        <v>7</v>
      </c>
      <c r="L9" s="261" t="s">
        <v>898</v>
      </c>
      <c r="M9" s="393" t="s">
        <v>896</v>
      </c>
      <c r="N9" s="371" t="s">
        <v>897</v>
      </c>
      <c r="O9" s="379">
        <v>92</v>
      </c>
      <c r="P9" s="379" t="s">
        <v>97</v>
      </c>
      <c r="Q9" s="379"/>
      <c r="R9" s="5"/>
      <c r="S9" s="276"/>
      <c r="T9" s="5"/>
      <c r="U9" s="379" t="s">
        <v>360</v>
      </c>
      <c r="Y9" s="249" t="s">
        <v>789</v>
      </c>
      <c r="Z9" s="323" t="s">
        <v>790</v>
      </c>
      <c r="AA9" s="192" t="s">
        <v>791</v>
      </c>
      <c r="AB9" s="264">
        <v>48</v>
      </c>
      <c r="AC9" s="264" t="s">
        <v>97</v>
      </c>
      <c r="AD9" s="192" t="s">
        <v>234</v>
      </c>
      <c r="AE9" s="192" t="s">
        <v>688</v>
      </c>
      <c r="AG9" s="375"/>
      <c r="AH9" s="425">
        <v>6</v>
      </c>
      <c r="AI9" s="428" t="s">
        <v>1058</v>
      </c>
      <c r="AJ9" s="426" t="s">
        <v>1059</v>
      </c>
      <c r="AK9" s="427" t="s">
        <v>1060</v>
      </c>
      <c r="AL9" s="428">
        <v>58</v>
      </c>
      <c r="AM9" s="428" t="s">
        <v>97</v>
      </c>
      <c r="AN9" s="428"/>
      <c r="AO9" s="428"/>
      <c r="AP9" s="428"/>
      <c r="AQ9" s="428"/>
      <c r="AR9" s="432" t="s">
        <v>122</v>
      </c>
      <c r="AU9" s="365"/>
      <c r="AV9" s="425">
        <v>7</v>
      </c>
      <c r="AW9" s="468" t="s">
        <v>1152</v>
      </c>
      <c r="AX9" s="426" t="s">
        <v>1128</v>
      </c>
      <c r="AY9" s="427" t="s">
        <v>1129</v>
      </c>
      <c r="AZ9" s="428">
        <v>40</v>
      </c>
      <c r="BA9" s="428" t="s">
        <v>98</v>
      </c>
      <c r="BB9" s="428"/>
      <c r="BC9" s="428"/>
      <c r="BD9" s="428"/>
      <c r="BE9" s="428"/>
      <c r="BF9" s="469" t="s">
        <v>123</v>
      </c>
      <c r="BI9" s="479">
        <v>7</v>
      </c>
      <c r="BJ9" s="490" t="s">
        <v>1177</v>
      </c>
      <c r="BK9" s="485" t="s">
        <v>1176</v>
      </c>
      <c r="BL9" s="427" t="s">
        <v>1178</v>
      </c>
      <c r="BM9" s="486">
        <v>71</v>
      </c>
      <c r="BN9" s="428" t="s">
        <v>120</v>
      </c>
      <c r="BO9" s="428"/>
      <c r="BP9" s="428"/>
      <c r="BQ9" s="428"/>
      <c r="BR9" s="428"/>
      <c r="BS9" s="494" t="s">
        <v>122</v>
      </c>
      <c r="BT9" s="5"/>
      <c r="BW9" s="479">
        <v>7</v>
      </c>
      <c r="BX9" s="429" t="s">
        <v>1261</v>
      </c>
      <c r="BY9" s="426" t="s">
        <v>1262</v>
      </c>
      <c r="BZ9" s="427" t="s">
        <v>1263</v>
      </c>
      <c r="CA9" s="428">
        <v>27</v>
      </c>
      <c r="CB9" s="428" t="s">
        <v>97</v>
      </c>
      <c r="CC9" s="428"/>
      <c r="CD9" s="428"/>
      <c r="CE9" s="428"/>
      <c r="CF9" s="428"/>
      <c r="CG9" s="427" t="s">
        <v>122</v>
      </c>
      <c r="CH9" s="482"/>
      <c r="CL9" s="155">
        <v>7</v>
      </c>
      <c r="CM9" s="199" t="s">
        <v>938</v>
      </c>
      <c r="CN9" s="219" t="s">
        <v>1289</v>
      </c>
      <c r="CO9" s="192" t="s">
        <v>1305</v>
      </c>
      <c r="CP9" s="193">
        <v>67</v>
      </c>
      <c r="CQ9" s="254" t="s">
        <v>97</v>
      </c>
      <c r="CR9" s="428"/>
      <c r="CS9" s="428"/>
      <c r="CT9" s="428"/>
      <c r="CU9" s="428"/>
      <c r="CV9" s="194" t="s">
        <v>122</v>
      </c>
      <c r="CW9" s="482"/>
      <c r="CZ9" s="425">
        <v>7</v>
      </c>
      <c r="DA9" s="429" t="s">
        <v>1392</v>
      </c>
      <c r="DB9" s="426" t="s">
        <v>1396</v>
      </c>
      <c r="DC9" s="426" t="s">
        <v>1395</v>
      </c>
      <c r="DD9" s="427">
        <v>55</v>
      </c>
      <c r="DE9" s="428" t="s">
        <v>97</v>
      </c>
      <c r="DF9" s="427"/>
      <c r="DG9" s="428"/>
      <c r="DH9" s="428"/>
      <c r="DI9" s="428"/>
      <c r="DJ9" s="427" t="s">
        <v>122</v>
      </c>
      <c r="DK9" s="482"/>
      <c r="DP9" s="425">
        <v>7</v>
      </c>
      <c r="DQ9" s="492" t="s">
        <v>1468</v>
      </c>
      <c r="DR9" s="597" t="s">
        <v>1469</v>
      </c>
      <c r="DS9" s="597" t="s">
        <v>1470</v>
      </c>
      <c r="DT9" s="486">
        <v>75</v>
      </c>
      <c r="DU9" s="486" t="s">
        <v>97</v>
      </c>
      <c r="DV9" s="427"/>
      <c r="DW9" s="428"/>
      <c r="DX9" s="428"/>
      <c r="DY9" s="428"/>
      <c r="DZ9" s="486" t="s">
        <v>122</v>
      </c>
    </row>
    <row r="10" spans="1:131" ht="20.25" customHeight="1" thickBot="1" x14ac:dyDescent="0.3">
      <c r="A10" s="199" t="s">
        <v>300</v>
      </c>
      <c r="B10" s="218" t="s">
        <v>301</v>
      </c>
      <c r="C10" s="192" t="s">
        <v>302</v>
      </c>
      <c r="D10" s="193">
        <v>62</v>
      </c>
      <c r="E10" s="193" t="s">
        <v>98</v>
      </c>
      <c r="F10" s="192"/>
      <c r="G10" s="194" t="s">
        <v>123</v>
      </c>
      <c r="H10" s="153"/>
      <c r="K10" s="374">
        <v>8</v>
      </c>
      <c r="L10" s="261" t="s">
        <v>899</v>
      </c>
      <c r="M10" s="393" t="s">
        <v>900</v>
      </c>
      <c r="N10" s="371" t="s">
        <v>901</v>
      </c>
      <c r="O10" s="379">
        <v>55</v>
      </c>
      <c r="P10" s="379" t="s">
        <v>97</v>
      </c>
      <c r="Q10" s="379"/>
      <c r="R10" s="5"/>
      <c r="S10" s="276"/>
      <c r="T10" s="5"/>
      <c r="U10" s="379" t="s">
        <v>360</v>
      </c>
      <c r="Y10" s="249" t="s">
        <v>770</v>
      </c>
      <c r="Z10" s="323" t="s">
        <v>766</v>
      </c>
      <c r="AA10" s="192" t="s">
        <v>768</v>
      </c>
      <c r="AB10" s="264">
        <v>50</v>
      </c>
      <c r="AC10" s="264" t="s">
        <v>97</v>
      </c>
      <c r="AD10" s="192" t="s">
        <v>234</v>
      </c>
      <c r="AE10" s="192" t="s">
        <v>122</v>
      </c>
      <c r="AG10" s="375"/>
      <c r="AH10" s="425">
        <v>7</v>
      </c>
      <c r="AI10" s="428" t="s">
        <v>1061</v>
      </c>
      <c r="AJ10" s="426" t="s">
        <v>1046</v>
      </c>
      <c r="AK10" s="427" t="s">
        <v>1062</v>
      </c>
      <c r="AL10" s="428">
        <v>50</v>
      </c>
      <c r="AM10" s="428" t="s">
        <v>98</v>
      </c>
      <c r="AN10" s="428"/>
      <c r="AO10" s="428"/>
      <c r="AP10" s="428"/>
      <c r="AQ10" s="428"/>
      <c r="AR10" s="433" t="s">
        <v>123</v>
      </c>
      <c r="AU10" s="365"/>
      <c r="AV10" s="425">
        <v>8</v>
      </c>
      <c r="AW10" s="468" t="s">
        <v>1127</v>
      </c>
      <c r="AX10" s="426" t="s">
        <v>1128</v>
      </c>
      <c r="AY10" s="427" t="s">
        <v>1130</v>
      </c>
      <c r="AZ10" s="428">
        <v>64</v>
      </c>
      <c r="BA10" s="428" t="s">
        <v>98</v>
      </c>
      <c r="BB10" s="428"/>
      <c r="BC10" s="428"/>
      <c r="BD10" s="428"/>
      <c r="BE10" s="428"/>
      <c r="BF10" s="469" t="s">
        <v>123</v>
      </c>
      <c r="BI10" s="479">
        <v>8</v>
      </c>
      <c r="BJ10" s="490" t="s">
        <v>1180</v>
      </c>
      <c r="BK10" s="485" t="s">
        <v>1179</v>
      </c>
      <c r="BL10" s="427" t="s">
        <v>1181</v>
      </c>
      <c r="BM10" s="486">
        <v>68</v>
      </c>
      <c r="BN10" s="428" t="s">
        <v>242</v>
      </c>
      <c r="BO10" s="428"/>
      <c r="BP10" s="428"/>
      <c r="BQ10" s="428"/>
      <c r="BR10" s="428"/>
      <c r="BS10" s="466" t="s">
        <v>123</v>
      </c>
      <c r="BT10" s="5"/>
      <c r="BW10" s="479">
        <v>8</v>
      </c>
      <c r="BX10" s="429" t="s">
        <v>1265</v>
      </c>
      <c r="BY10" s="426" t="s">
        <v>1264</v>
      </c>
      <c r="BZ10" s="427" t="s">
        <v>1266</v>
      </c>
      <c r="CA10" s="428">
        <v>91</v>
      </c>
      <c r="CB10" s="428" t="s">
        <v>97</v>
      </c>
      <c r="CC10" s="428"/>
      <c r="CD10" s="428"/>
      <c r="CE10" s="428"/>
      <c r="CF10" s="428"/>
      <c r="CG10" s="427" t="s">
        <v>122</v>
      </c>
      <c r="CH10" s="482"/>
      <c r="CL10" s="155">
        <v>8</v>
      </c>
      <c r="CM10" s="199" t="s">
        <v>1306</v>
      </c>
      <c r="CN10" s="219" t="s">
        <v>1307</v>
      </c>
      <c r="CO10" s="192" t="s">
        <v>1308</v>
      </c>
      <c r="CP10" s="193">
        <v>19</v>
      </c>
      <c r="CQ10" s="254" t="s">
        <v>97</v>
      </c>
      <c r="CR10" s="428"/>
      <c r="CS10" s="428"/>
      <c r="CT10" s="428"/>
      <c r="CU10" s="428"/>
      <c r="CV10" s="194" t="s">
        <v>122</v>
      </c>
      <c r="CW10" s="482"/>
      <c r="CZ10" s="425">
        <v>8</v>
      </c>
      <c r="DA10" s="429" t="s">
        <v>1398</v>
      </c>
      <c r="DB10" s="426" t="s">
        <v>1397</v>
      </c>
      <c r="DC10" s="427" t="s">
        <v>1399</v>
      </c>
      <c r="DD10" s="427">
        <v>60</v>
      </c>
      <c r="DE10" s="428" t="s">
        <v>97</v>
      </c>
      <c r="DF10" s="427"/>
      <c r="DG10" s="428"/>
      <c r="DH10" s="428"/>
      <c r="DI10" s="428"/>
      <c r="DJ10" s="427" t="s">
        <v>122</v>
      </c>
      <c r="DK10" s="482"/>
      <c r="DP10" s="425">
        <v>8</v>
      </c>
      <c r="DQ10" s="492" t="s">
        <v>1471</v>
      </c>
      <c r="DR10" s="597" t="s">
        <v>1472</v>
      </c>
      <c r="DS10" s="486" t="s">
        <v>1473</v>
      </c>
      <c r="DT10" s="486">
        <v>53</v>
      </c>
      <c r="DU10" s="486" t="s">
        <v>97</v>
      </c>
      <c r="DV10" s="427"/>
      <c r="DW10" s="428"/>
      <c r="DX10" s="428"/>
      <c r="DY10" s="428"/>
      <c r="DZ10" s="486" t="s">
        <v>122</v>
      </c>
    </row>
    <row r="11" spans="1:131" ht="20.25" customHeight="1" thickBot="1" x14ac:dyDescent="0.3">
      <c r="A11" s="199" t="s">
        <v>309</v>
      </c>
      <c r="B11" s="218" t="s">
        <v>310</v>
      </c>
      <c r="C11" s="192" t="s">
        <v>311</v>
      </c>
      <c r="D11" s="193">
        <v>61</v>
      </c>
      <c r="E11" s="193" t="s">
        <v>98</v>
      </c>
      <c r="F11" s="192"/>
      <c r="G11" s="194" t="s">
        <v>123</v>
      </c>
      <c r="H11" s="153"/>
      <c r="K11" s="374">
        <v>9</v>
      </c>
      <c r="L11" s="261" t="s">
        <v>902</v>
      </c>
      <c r="M11" s="393" t="s">
        <v>903</v>
      </c>
      <c r="N11" s="371" t="s">
        <v>904</v>
      </c>
      <c r="O11" s="379">
        <v>58</v>
      </c>
      <c r="P11" s="379" t="s">
        <v>97</v>
      </c>
      <c r="Q11" s="379"/>
      <c r="R11" s="5"/>
      <c r="S11" s="276"/>
      <c r="T11" s="5"/>
      <c r="U11" s="379" t="s">
        <v>360</v>
      </c>
      <c r="Y11" s="249" t="s">
        <v>757</v>
      </c>
      <c r="Z11" s="323" t="s">
        <v>728</v>
      </c>
      <c r="AA11" s="192" t="s">
        <v>756</v>
      </c>
      <c r="AB11" s="264">
        <v>51</v>
      </c>
      <c r="AC11" s="264" t="s">
        <v>97</v>
      </c>
      <c r="AD11" s="192" t="s">
        <v>235</v>
      </c>
      <c r="AE11" s="192" t="s">
        <v>122</v>
      </c>
      <c r="AG11" s="375"/>
      <c r="AH11" s="425">
        <v>8</v>
      </c>
      <c r="AI11" s="429" t="s">
        <v>1063</v>
      </c>
      <c r="AJ11" s="426" t="s">
        <v>1064</v>
      </c>
      <c r="AK11" s="426" t="s">
        <v>1065</v>
      </c>
      <c r="AL11" s="428">
        <v>81</v>
      </c>
      <c r="AM11" s="428" t="s">
        <v>98</v>
      </c>
      <c r="AN11" s="428"/>
      <c r="AO11" s="428"/>
      <c r="AP11" s="428"/>
      <c r="AQ11" s="428"/>
      <c r="AR11" s="433" t="s">
        <v>123</v>
      </c>
      <c r="AU11" s="365"/>
      <c r="AV11" s="425">
        <v>9</v>
      </c>
      <c r="AW11" s="468" t="s">
        <v>1131</v>
      </c>
      <c r="AX11" s="426" t="s">
        <v>1132</v>
      </c>
      <c r="AY11" s="427" t="s">
        <v>1133</v>
      </c>
      <c r="AZ11" s="428">
        <v>53</v>
      </c>
      <c r="BA11" s="428" t="s">
        <v>98</v>
      </c>
      <c r="BB11" s="428"/>
      <c r="BC11" s="428"/>
      <c r="BD11" s="428"/>
      <c r="BE11" s="428"/>
      <c r="BF11" s="469" t="s">
        <v>123</v>
      </c>
      <c r="BI11" s="479">
        <v>9</v>
      </c>
      <c r="BJ11" s="490" t="s">
        <v>1182</v>
      </c>
      <c r="BK11" s="485" t="s">
        <v>1183</v>
      </c>
      <c r="BL11" s="427" t="s">
        <v>1184</v>
      </c>
      <c r="BM11" s="486">
        <v>89</v>
      </c>
      <c r="BN11" s="428" t="s">
        <v>242</v>
      </c>
      <c r="BO11" s="428"/>
      <c r="BP11" s="428"/>
      <c r="BQ11" s="428"/>
      <c r="BR11" s="428"/>
      <c r="BS11" s="466" t="s">
        <v>123</v>
      </c>
      <c r="BT11" s="5"/>
      <c r="BW11" s="479">
        <v>9</v>
      </c>
      <c r="BX11" s="429" t="s">
        <v>1267</v>
      </c>
      <c r="BY11" s="426" t="s">
        <v>1268</v>
      </c>
      <c r="BZ11" s="427" t="s">
        <v>1269</v>
      </c>
      <c r="CA11" s="428">
        <v>72</v>
      </c>
      <c r="CB11" s="428" t="s">
        <v>97</v>
      </c>
      <c r="CC11" s="428"/>
      <c r="CD11" s="428"/>
      <c r="CE11" s="428"/>
      <c r="CF11" s="428"/>
      <c r="CG11" s="427" t="s">
        <v>122</v>
      </c>
      <c r="CH11" s="482"/>
      <c r="CL11" s="155">
        <v>9</v>
      </c>
      <c r="CM11" s="199" t="s">
        <v>1310</v>
      </c>
      <c r="CN11" s="219" t="s">
        <v>1311</v>
      </c>
      <c r="CO11" s="219" t="s">
        <v>1312</v>
      </c>
      <c r="CP11" s="193">
        <v>82</v>
      </c>
      <c r="CQ11" s="254" t="s">
        <v>98</v>
      </c>
      <c r="CR11" s="428"/>
      <c r="CS11" s="428"/>
      <c r="CT11" s="428"/>
      <c r="CU11" s="428"/>
      <c r="CV11" s="194" t="s">
        <v>123</v>
      </c>
      <c r="CW11" s="482"/>
      <c r="CZ11" s="425">
        <v>9</v>
      </c>
      <c r="DA11" s="429" t="s">
        <v>1400</v>
      </c>
      <c r="DB11" s="426" t="s">
        <v>1381</v>
      </c>
      <c r="DC11" s="426" t="s">
        <v>1401</v>
      </c>
      <c r="DD11" s="427">
        <v>77</v>
      </c>
      <c r="DE11" s="428" t="s">
        <v>97</v>
      </c>
      <c r="DF11" s="427"/>
      <c r="DG11" s="428"/>
      <c r="DH11" s="428"/>
      <c r="DI11" s="428"/>
      <c r="DJ11" s="427" t="s">
        <v>122</v>
      </c>
      <c r="DK11" s="482"/>
      <c r="DP11" s="425">
        <v>9</v>
      </c>
      <c r="DQ11" s="492" t="s">
        <v>1474</v>
      </c>
      <c r="DR11" s="597" t="s">
        <v>1475</v>
      </c>
      <c r="DS11" s="597" t="s">
        <v>1476</v>
      </c>
      <c r="DT11" s="486">
        <v>56</v>
      </c>
      <c r="DU11" s="486" t="s">
        <v>97</v>
      </c>
      <c r="DV11" s="427"/>
      <c r="DW11" s="428"/>
      <c r="DX11" s="428"/>
      <c r="DY11" s="428"/>
      <c r="DZ11" s="486" t="s">
        <v>122</v>
      </c>
    </row>
    <row r="12" spans="1:131" ht="20.25" customHeight="1" thickBot="1" x14ac:dyDescent="0.3">
      <c r="A12" s="199" t="s">
        <v>312</v>
      </c>
      <c r="B12" s="218" t="s">
        <v>307</v>
      </c>
      <c r="C12" s="192" t="s">
        <v>313</v>
      </c>
      <c r="D12" s="193">
        <v>75</v>
      </c>
      <c r="E12" s="193" t="s">
        <v>98</v>
      </c>
      <c r="F12" s="153"/>
      <c r="G12" s="194" t="s">
        <v>123</v>
      </c>
      <c r="H12" s="153"/>
      <c r="K12" s="374">
        <v>10</v>
      </c>
      <c r="L12" s="378" t="s">
        <v>937</v>
      </c>
      <c r="M12" s="393" t="s">
        <v>935</v>
      </c>
      <c r="N12" s="371" t="s">
        <v>936</v>
      </c>
      <c r="O12" s="379">
        <v>38</v>
      </c>
      <c r="P12" s="379" t="s">
        <v>97</v>
      </c>
      <c r="Q12" s="379"/>
      <c r="R12" s="5"/>
      <c r="S12" s="276"/>
      <c r="T12" s="5"/>
      <c r="U12" s="379" t="s">
        <v>360</v>
      </c>
      <c r="Y12" s="344" t="s">
        <v>805</v>
      </c>
      <c r="Z12" s="323" t="s">
        <v>766</v>
      </c>
      <c r="AA12" s="192" t="s">
        <v>796</v>
      </c>
      <c r="AB12" s="264">
        <v>52</v>
      </c>
      <c r="AC12" s="264" t="s">
        <v>97</v>
      </c>
      <c r="AD12" s="192" t="s">
        <v>234</v>
      </c>
      <c r="AE12" s="192" t="s">
        <v>688</v>
      </c>
      <c r="AG12" s="375"/>
      <c r="AH12" s="425">
        <v>9</v>
      </c>
      <c r="AI12" s="429" t="s">
        <v>1067</v>
      </c>
      <c r="AJ12" s="426" t="s">
        <v>1066</v>
      </c>
      <c r="AK12" s="426" t="s">
        <v>1068</v>
      </c>
      <c r="AL12" s="428">
        <v>33</v>
      </c>
      <c r="AM12" s="428" t="s">
        <v>98</v>
      </c>
      <c r="AN12" s="428"/>
      <c r="AO12" s="428"/>
      <c r="AP12" s="428"/>
      <c r="AQ12" s="428"/>
      <c r="AR12" s="432" t="s">
        <v>38</v>
      </c>
      <c r="AU12" s="365"/>
      <c r="AV12" s="425">
        <v>10</v>
      </c>
      <c r="AW12" s="468" t="s">
        <v>1134</v>
      </c>
      <c r="AX12" s="426" t="s">
        <v>1135</v>
      </c>
      <c r="AY12" s="427" t="s">
        <v>1136</v>
      </c>
      <c r="AZ12" s="428" t="s">
        <v>1137</v>
      </c>
      <c r="BA12" s="428" t="s">
        <v>97</v>
      </c>
      <c r="BB12" s="428"/>
      <c r="BC12" s="428"/>
      <c r="BD12" s="428"/>
      <c r="BE12" s="428"/>
      <c r="BF12" s="469" t="s">
        <v>134</v>
      </c>
      <c r="BI12" s="479">
        <v>10</v>
      </c>
      <c r="BJ12" s="490" t="s">
        <v>1186</v>
      </c>
      <c r="BK12" s="485" t="s">
        <v>1185</v>
      </c>
      <c r="BL12" s="427" t="s">
        <v>1187</v>
      </c>
      <c r="BM12" s="486">
        <v>60</v>
      </c>
      <c r="BN12" s="428" t="s">
        <v>242</v>
      </c>
      <c r="BO12" s="428"/>
      <c r="BP12" s="428"/>
      <c r="BQ12" s="428"/>
      <c r="BR12" s="428"/>
      <c r="BS12" s="466" t="s">
        <v>123</v>
      </c>
      <c r="BT12" s="5"/>
      <c r="BW12" s="479">
        <v>10</v>
      </c>
      <c r="BX12" s="429" t="s">
        <v>1239</v>
      </c>
      <c r="BY12" s="426" t="s">
        <v>1224</v>
      </c>
      <c r="BZ12" s="515" t="s">
        <v>1240</v>
      </c>
      <c r="CA12" s="428">
        <v>58</v>
      </c>
      <c r="CB12" s="428" t="s">
        <v>98</v>
      </c>
      <c r="CC12" s="428"/>
      <c r="CD12" s="428"/>
      <c r="CE12" s="428"/>
      <c r="CF12" s="428"/>
      <c r="CG12" s="427" t="s">
        <v>123</v>
      </c>
      <c r="CH12" s="482"/>
      <c r="CL12" s="155">
        <v>10</v>
      </c>
      <c r="CM12" s="199" t="s">
        <v>1313</v>
      </c>
      <c r="CN12" s="219" t="s">
        <v>1295</v>
      </c>
      <c r="CO12" s="192" t="s">
        <v>1314</v>
      </c>
      <c r="CP12" s="193">
        <v>67</v>
      </c>
      <c r="CQ12" s="254" t="s">
        <v>98</v>
      </c>
      <c r="CR12" s="428"/>
      <c r="CS12" s="428"/>
      <c r="CT12" s="428"/>
      <c r="CU12" s="428"/>
      <c r="CV12" s="194" t="s">
        <v>123</v>
      </c>
      <c r="CW12" s="482"/>
      <c r="CZ12" s="425">
        <v>10</v>
      </c>
      <c r="DA12" s="429" t="s">
        <v>1402</v>
      </c>
      <c r="DB12" s="426" t="s">
        <v>1382</v>
      </c>
      <c r="DC12" s="427" t="s">
        <v>1403</v>
      </c>
      <c r="DD12" s="427">
        <v>48</v>
      </c>
      <c r="DE12" s="428" t="s">
        <v>97</v>
      </c>
      <c r="DF12" s="427"/>
      <c r="DG12" s="428"/>
      <c r="DH12" s="428"/>
      <c r="DI12" s="428"/>
      <c r="DJ12" s="427" t="s">
        <v>122</v>
      </c>
      <c r="DK12" s="482"/>
      <c r="DP12" s="425">
        <v>10</v>
      </c>
      <c r="DQ12" s="492" t="s">
        <v>1477</v>
      </c>
      <c r="DR12" s="597" t="s">
        <v>1478</v>
      </c>
      <c r="DS12" s="486" t="s">
        <v>1479</v>
      </c>
      <c r="DT12" s="486">
        <v>70</v>
      </c>
      <c r="DU12" s="486" t="s">
        <v>97</v>
      </c>
      <c r="DV12" s="427"/>
      <c r="DW12" s="428"/>
      <c r="DX12" s="428"/>
      <c r="DY12" s="428"/>
      <c r="DZ12" s="486" t="s">
        <v>122</v>
      </c>
    </row>
    <row r="13" spans="1:131" ht="20.25" customHeight="1" thickBot="1" x14ac:dyDescent="0.3">
      <c r="A13" s="199" t="s">
        <v>314</v>
      </c>
      <c r="B13" s="218" t="s">
        <v>315</v>
      </c>
      <c r="C13" s="192" t="s">
        <v>316</v>
      </c>
      <c r="D13" s="193">
        <v>64</v>
      </c>
      <c r="E13" s="193" t="s">
        <v>98</v>
      </c>
      <c r="F13" s="192"/>
      <c r="G13" s="194" t="s">
        <v>123</v>
      </c>
      <c r="H13" s="153"/>
      <c r="K13" s="374">
        <v>11</v>
      </c>
      <c r="L13" s="261" t="s">
        <v>918</v>
      </c>
      <c r="M13" s="394" t="s">
        <v>885</v>
      </c>
      <c r="N13" s="380" t="s">
        <v>920</v>
      </c>
      <c r="O13" s="379">
        <v>65</v>
      </c>
      <c r="P13" s="379" t="s">
        <v>98</v>
      </c>
      <c r="Q13" s="379"/>
      <c r="R13" s="5"/>
      <c r="S13" s="286"/>
      <c r="T13" s="5"/>
      <c r="U13" s="379" t="s">
        <v>688</v>
      </c>
      <c r="Y13" s="248" t="s">
        <v>803</v>
      </c>
      <c r="Z13" s="323" t="s">
        <v>715</v>
      </c>
      <c r="AA13" s="192" t="s">
        <v>716</v>
      </c>
      <c r="AB13" s="264">
        <v>54</v>
      </c>
      <c r="AC13" s="264" t="s">
        <v>98</v>
      </c>
      <c r="AD13" s="192" t="s">
        <v>234</v>
      </c>
      <c r="AE13" s="192" t="s">
        <v>123</v>
      </c>
      <c r="AG13" s="375"/>
      <c r="AH13" s="425">
        <v>10</v>
      </c>
      <c r="AI13" s="429" t="s">
        <v>1070</v>
      </c>
      <c r="AJ13" s="426" t="s">
        <v>1069</v>
      </c>
      <c r="AK13" s="426" t="s">
        <v>1071</v>
      </c>
      <c r="AL13" s="428" t="s">
        <v>177</v>
      </c>
      <c r="AM13" s="428" t="s">
        <v>97</v>
      </c>
      <c r="AN13" s="428"/>
      <c r="AO13" s="428"/>
      <c r="AP13" s="428"/>
      <c r="AQ13" s="428"/>
      <c r="AR13" s="432" t="s">
        <v>79</v>
      </c>
      <c r="AU13" s="365"/>
      <c r="AV13" s="425">
        <v>11</v>
      </c>
      <c r="AW13" s="468" t="s">
        <v>1138</v>
      </c>
      <c r="AX13" s="426" t="s">
        <v>1139</v>
      </c>
      <c r="AY13" s="427" t="s">
        <v>1140</v>
      </c>
      <c r="AZ13" s="428" t="s">
        <v>645</v>
      </c>
      <c r="BA13" s="428" t="s">
        <v>98</v>
      </c>
      <c r="BB13" s="428"/>
      <c r="BC13" s="428"/>
      <c r="BD13" s="428"/>
      <c r="BE13" s="428"/>
      <c r="BF13" s="469" t="s">
        <v>79</v>
      </c>
      <c r="BI13" s="479">
        <v>11</v>
      </c>
      <c r="BJ13" s="490" t="s">
        <v>1190</v>
      </c>
      <c r="BK13" s="485" t="s">
        <v>1188</v>
      </c>
      <c r="BL13" s="427" t="s">
        <v>1189</v>
      </c>
      <c r="BM13" s="486">
        <v>68</v>
      </c>
      <c r="BN13" s="428" t="s">
        <v>242</v>
      </c>
      <c r="BO13" s="428"/>
      <c r="BP13" s="428"/>
      <c r="BQ13" s="428"/>
      <c r="BR13" s="428"/>
      <c r="BS13" s="466" t="s">
        <v>123</v>
      </c>
      <c r="BT13" s="5"/>
      <c r="BW13" s="479">
        <v>11</v>
      </c>
      <c r="BX13" s="429" t="s">
        <v>1241</v>
      </c>
      <c r="BY13" s="426" t="s">
        <v>1227</v>
      </c>
      <c r="BZ13" s="427" t="s">
        <v>1242</v>
      </c>
      <c r="CA13" s="428">
        <v>10</v>
      </c>
      <c r="CB13" s="428" t="s">
        <v>98</v>
      </c>
      <c r="CC13" s="428"/>
      <c r="CD13" s="428"/>
      <c r="CE13" s="428"/>
      <c r="CF13" s="428"/>
      <c r="CG13" s="427" t="s">
        <v>134</v>
      </c>
      <c r="CH13" s="482"/>
      <c r="CL13" s="155">
        <v>11</v>
      </c>
      <c r="CM13" s="199" t="s">
        <v>1315</v>
      </c>
      <c r="CN13" s="219" t="s">
        <v>1309</v>
      </c>
      <c r="CO13" s="192" t="s">
        <v>1316</v>
      </c>
      <c r="CP13" s="193">
        <v>32</v>
      </c>
      <c r="CQ13" s="254" t="s">
        <v>98</v>
      </c>
      <c r="CR13" s="428"/>
      <c r="CS13" s="428"/>
      <c r="CT13" s="428"/>
      <c r="CU13" s="428"/>
      <c r="CV13" s="194" t="s">
        <v>123</v>
      </c>
      <c r="CW13" s="482"/>
      <c r="CZ13" s="425">
        <v>11</v>
      </c>
      <c r="DA13" s="429" t="s">
        <v>1404</v>
      </c>
      <c r="DB13" s="426" t="s">
        <v>1406</v>
      </c>
      <c r="DC13" s="426" t="s">
        <v>1405</v>
      </c>
      <c r="DD13" s="427">
        <v>67</v>
      </c>
      <c r="DE13" s="428" t="s">
        <v>97</v>
      </c>
      <c r="DF13" s="427"/>
      <c r="DG13" s="428"/>
      <c r="DH13" s="428"/>
      <c r="DI13" s="428"/>
      <c r="DJ13" s="427" t="s">
        <v>122</v>
      </c>
      <c r="DK13" s="482"/>
      <c r="DP13" s="425">
        <v>11</v>
      </c>
      <c r="DQ13" s="492" t="s">
        <v>1480</v>
      </c>
      <c r="DR13" s="597" t="s">
        <v>1481</v>
      </c>
      <c r="DS13" s="597" t="s">
        <v>1482</v>
      </c>
      <c r="DT13" s="486">
        <v>50</v>
      </c>
      <c r="DU13" s="486" t="s">
        <v>97</v>
      </c>
      <c r="DV13" s="427"/>
      <c r="DW13" s="428"/>
      <c r="DX13" s="428"/>
      <c r="DY13" s="428"/>
      <c r="DZ13" s="486" t="s">
        <v>122</v>
      </c>
    </row>
    <row r="14" spans="1:131" ht="20.25" customHeight="1" thickBot="1" x14ac:dyDescent="0.3">
      <c r="A14" s="199" t="s">
        <v>289</v>
      </c>
      <c r="B14" s="218" t="s">
        <v>290</v>
      </c>
      <c r="C14" s="192" t="s">
        <v>291</v>
      </c>
      <c r="D14" s="193" t="s">
        <v>292</v>
      </c>
      <c r="E14" s="193" t="s">
        <v>97</v>
      </c>
      <c r="F14" s="192"/>
      <c r="G14" s="194" t="s">
        <v>134</v>
      </c>
      <c r="H14" s="153"/>
      <c r="K14" s="374">
        <v>12</v>
      </c>
      <c r="L14" s="378" t="s">
        <v>919</v>
      </c>
      <c r="M14" s="394" t="s">
        <v>885</v>
      </c>
      <c r="N14" s="380" t="s">
        <v>921</v>
      </c>
      <c r="O14" s="379">
        <v>27</v>
      </c>
      <c r="P14" s="379" t="s">
        <v>97</v>
      </c>
      <c r="Q14" s="379"/>
      <c r="R14" s="5"/>
      <c r="S14" s="276"/>
      <c r="T14" s="5"/>
      <c r="U14" s="379" t="s">
        <v>688</v>
      </c>
      <c r="Y14" s="249" t="s">
        <v>748</v>
      </c>
      <c r="Z14" s="323" t="s">
        <v>749</v>
      </c>
      <c r="AA14" s="192" t="s">
        <v>750</v>
      </c>
      <c r="AB14" s="264">
        <v>54</v>
      </c>
      <c r="AC14" s="264" t="s">
        <v>97</v>
      </c>
      <c r="AD14" s="192" t="s">
        <v>234</v>
      </c>
      <c r="AE14" s="192" t="s">
        <v>122</v>
      </c>
      <c r="AG14" s="375"/>
      <c r="AH14" s="425">
        <v>11</v>
      </c>
      <c r="AI14" s="429" t="s">
        <v>1072</v>
      </c>
      <c r="AJ14" s="426" t="s">
        <v>1073</v>
      </c>
      <c r="AK14" s="426" t="s">
        <v>1074</v>
      </c>
      <c r="AL14" s="428">
        <v>44</v>
      </c>
      <c r="AM14" s="428" t="s">
        <v>98</v>
      </c>
      <c r="AN14" s="428"/>
      <c r="AO14" s="428"/>
      <c r="AP14" s="428"/>
      <c r="AQ14" s="428"/>
      <c r="AR14" s="432" t="s">
        <v>688</v>
      </c>
      <c r="AU14" s="365"/>
      <c r="AV14" s="425">
        <v>12</v>
      </c>
      <c r="AW14" s="468" t="s">
        <v>1141</v>
      </c>
      <c r="AX14" s="426" t="s">
        <v>1135</v>
      </c>
      <c r="AY14" s="427" t="s">
        <v>1142</v>
      </c>
      <c r="AZ14" s="428" t="s">
        <v>1143</v>
      </c>
      <c r="BA14" s="428" t="s">
        <v>98</v>
      </c>
      <c r="BB14" s="428"/>
      <c r="BC14" s="428"/>
      <c r="BD14" s="428"/>
      <c r="BE14" s="428"/>
      <c r="BF14" s="469" t="s">
        <v>79</v>
      </c>
      <c r="BI14" s="479">
        <v>12</v>
      </c>
      <c r="BJ14" s="490" t="s">
        <v>1191</v>
      </c>
      <c r="BK14" s="485" t="s">
        <v>1192</v>
      </c>
      <c r="BL14" s="427" t="s">
        <v>1193</v>
      </c>
      <c r="BM14" s="486">
        <v>37</v>
      </c>
      <c r="BN14" s="428" t="s">
        <v>242</v>
      </c>
      <c r="BO14" s="428"/>
      <c r="BP14" s="428"/>
      <c r="BQ14" s="428"/>
      <c r="BR14" s="428"/>
      <c r="BS14" s="466" t="s">
        <v>123</v>
      </c>
      <c r="BT14" s="5"/>
      <c r="BW14" s="479">
        <v>12</v>
      </c>
      <c r="BX14" s="429" t="s">
        <v>1243</v>
      </c>
      <c r="BY14" s="426" t="s">
        <v>1231</v>
      </c>
      <c r="BZ14" s="427" t="s">
        <v>1244</v>
      </c>
      <c r="CA14" s="428">
        <v>57</v>
      </c>
      <c r="CB14" s="428" t="s">
        <v>98</v>
      </c>
      <c r="CC14" s="428"/>
      <c r="CD14" s="428"/>
      <c r="CE14" s="428"/>
      <c r="CF14" s="428"/>
      <c r="CG14" s="427" t="s">
        <v>688</v>
      </c>
      <c r="CH14" s="482"/>
      <c r="CL14" s="155">
        <v>12</v>
      </c>
      <c r="CM14" s="199" t="s">
        <v>1317</v>
      </c>
      <c r="CN14" s="219" t="s">
        <v>1318</v>
      </c>
      <c r="CO14" s="192" t="s">
        <v>1319</v>
      </c>
      <c r="CP14" s="193" t="s">
        <v>708</v>
      </c>
      <c r="CQ14" s="254" t="s">
        <v>98</v>
      </c>
      <c r="CR14" s="428"/>
      <c r="CS14" s="428"/>
      <c r="CT14" s="428"/>
      <c r="CU14" s="428"/>
      <c r="CV14" s="194" t="s">
        <v>134</v>
      </c>
      <c r="CW14" s="482"/>
      <c r="CZ14" s="425">
        <v>12</v>
      </c>
      <c r="DA14" s="429" t="s">
        <v>1407</v>
      </c>
      <c r="DB14" s="426" t="s">
        <v>1379</v>
      </c>
      <c r="DC14" s="427" t="s">
        <v>1408</v>
      </c>
      <c r="DD14" s="427">
        <v>52</v>
      </c>
      <c r="DE14" s="428" t="s">
        <v>97</v>
      </c>
      <c r="DF14" s="427"/>
      <c r="DG14" s="428"/>
      <c r="DH14" s="428"/>
      <c r="DI14" s="428"/>
      <c r="DJ14" s="427" t="s">
        <v>122</v>
      </c>
      <c r="DK14" s="482"/>
      <c r="DP14" s="425">
        <v>12</v>
      </c>
      <c r="DQ14" s="492" t="s">
        <v>1483</v>
      </c>
      <c r="DR14" s="597" t="s">
        <v>1484</v>
      </c>
      <c r="DS14" s="486" t="s">
        <v>1485</v>
      </c>
      <c r="DT14" s="486">
        <v>58</v>
      </c>
      <c r="DU14" s="486" t="s">
        <v>97</v>
      </c>
      <c r="DV14" s="427"/>
      <c r="DW14" s="428"/>
      <c r="DX14" s="428"/>
      <c r="DY14" s="428"/>
      <c r="DZ14" s="486" t="s">
        <v>122</v>
      </c>
    </row>
    <row r="15" spans="1:131" ht="20.25" customHeight="1" thickBot="1" x14ac:dyDescent="0.3">
      <c r="A15" s="199" t="s">
        <v>317</v>
      </c>
      <c r="B15" s="218" t="s">
        <v>307</v>
      </c>
      <c r="C15" s="192" t="s">
        <v>318</v>
      </c>
      <c r="D15" s="193">
        <v>21</v>
      </c>
      <c r="E15" s="193" t="s">
        <v>98</v>
      </c>
      <c r="F15" s="192"/>
      <c r="G15" s="194" t="s">
        <v>131</v>
      </c>
      <c r="H15" s="153"/>
      <c r="K15" s="374">
        <v>13</v>
      </c>
      <c r="L15" s="378" t="s">
        <v>923</v>
      </c>
      <c r="M15" s="394" t="s">
        <v>922</v>
      </c>
      <c r="N15" s="380" t="s">
        <v>924</v>
      </c>
      <c r="O15" s="379">
        <v>91</v>
      </c>
      <c r="P15" s="379" t="s">
        <v>98</v>
      </c>
      <c r="Q15" s="379"/>
      <c r="R15" s="5"/>
      <c r="S15" s="276"/>
      <c r="T15" s="5"/>
      <c r="U15" s="379" t="s">
        <v>688</v>
      </c>
      <c r="Y15" s="249" t="s">
        <v>800</v>
      </c>
      <c r="Z15" s="323" t="s">
        <v>717</v>
      </c>
      <c r="AA15" s="192" t="s">
        <v>802</v>
      </c>
      <c r="AB15" s="264">
        <v>55</v>
      </c>
      <c r="AC15" s="264" t="s">
        <v>98</v>
      </c>
      <c r="AD15" s="192" t="s">
        <v>235</v>
      </c>
      <c r="AE15" s="192" t="s">
        <v>688</v>
      </c>
      <c r="AG15" s="375"/>
      <c r="AH15" s="425">
        <v>12</v>
      </c>
      <c r="AI15" s="429" t="s">
        <v>1075</v>
      </c>
      <c r="AJ15" s="426" t="s">
        <v>1076</v>
      </c>
      <c r="AK15" s="427" t="s">
        <v>1077</v>
      </c>
      <c r="AL15" s="428">
        <v>60</v>
      </c>
      <c r="AM15" s="428" t="s">
        <v>97</v>
      </c>
      <c r="AN15" s="428"/>
      <c r="AO15" s="428"/>
      <c r="AP15" s="428"/>
      <c r="AQ15" s="428"/>
      <c r="AR15" s="432" t="s">
        <v>688</v>
      </c>
      <c r="AU15" s="365"/>
      <c r="AV15" s="425">
        <v>13</v>
      </c>
      <c r="AW15" s="468" t="s">
        <v>1144</v>
      </c>
      <c r="AX15" s="426" t="s">
        <v>1110</v>
      </c>
      <c r="AY15" s="427" t="s">
        <v>1146</v>
      </c>
      <c r="AZ15" s="428">
        <v>69</v>
      </c>
      <c r="BA15" s="428" t="s">
        <v>98</v>
      </c>
      <c r="BB15" s="428"/>
      <c r="BC15" s="428"/>
      <c r="BD15" s="428"/>
      <c r="BE15" s="428"/>
      <c r="BF15" s="469" t="s">
        <v>688</v>
      </c>
      <c r="BI15" s="479">
        <v>13</v>
      </c>
      <c r="BJ15" s="490" t="s">
        <v>1194</v>
      </c>
      <c r="BK15" s="485" t="s">
        <v>1173</v>
      </c>
      <c r="BL15" s="427" t="s">
        <v>1195</v>
      </c>
      <c r="BM15" s="486">
        <v>53</v>
      </c>
      <c r="BN15" s="428" t="s">
        <v>242</v>
      </c>
      <c r="BO15" s="428"/>
      <c r="BP15" s="428"/>
      <c r="BQ15" s="428"/>
      <c r="BR15" s="428"/>
      <c r="BS15" s="466" t="s">
        <v>123</v>
      </c>
      <c r="BT15" s="5"/>
      <c r="BW15" s="479">
        <v>13</v>
      </c>
      <c r="BX15" s="429" t="s">
        <v>1245</v>
      </c>
      <c r="BY15" s="426" t="s">
        <v>1246</v>
      </c>
      <c r="BZ15" s="427" t="s">
        <v>1247</v>
      </c>
      <c r="CA15" s="428">
        <v>53</v>
      </c>
      <c r="CB15" s="428" t="s">
        <v>97</v>
      </c>
      <c r="CC15" s="428"/>
      <c r="CD15" s="428"/>
      <c r="CE15" s="428"/>
      <c r="CF15" s="428"/>
      <c r="CG15" s="427" t="s">
        <v>688</v>
      </c>
      <c r="CH15" s="482"/>
      <c r="CL15" s="155">
        <v>13</v>
      </c>
      <c r="CM15" s="199" t="s">
        <v>1320</v>
      </c>
      <c r="CN15" s="219" t="s">
        <v>1321</v>
      </c>
      <c r="CO15" s="192" t="s">
        <v>1322</v>
      </c>
      <c r="CP15" s="193" t="s">
        <v>706</v>
      </c>
      <c r="CQ15" s="254" t="s">
        <v>1323</v>
      </c>
      <c r="CR15" s="428"/>
      <c r="CS15" s="428"/>
      <c r="CT15" s="428"/>
      <c r="CU15" s="428"/>
      <c r="CV15" s="194" t="s">
        <v>134</v>
      </c>
      <c r="CW15" s="482"/>
      <c r="CZ15" s="425">
        <v>13</v>
      </c>
      <c r="DA15" s="429" t="s">
        <v>1410</v>
      </c>
      <c r="DB15" s="426" t="s">
        <v>1409</v>
      </c>
      <c r="DC15" s="427" t="s">
        <v>1411</v>
      </c>
      <c r="DD15" s="427">
        <v>75</v>
      </c>
      <c r="DE15" s="428" t="s">
        <v>98</v>
      </c>
      <c r="DF15" s="427"/>
      <c r="DG15" s="428"/>
      <c r="DH15" s="428"/>
      <c r="DI15" s="428"/>
      <c r="DJ15" s="427" t="s">
        <v>123</v>
      </c>
      <c r="DK15" s="482"/>
      <c r="DP15" s="425">
        <v>13</v>
      </c>
      <c r="DQ15" s="492" t="s">
        <v>1486</v>
      </c>
      <c r="DR15" s="597" t="s">
        <v>1487</v>
      </c>
      <c r="DS15" s="486" t="s">
        <v>1488</v>
      </c>
      <c r="DT15" s="486">
        <v>42</v>
      </c>
      <c r="DU15" s="486" t="s">
        <v>98</v>
      </c>
      <c r="DV15" s="427"/>
      <c r="DW15" s="428"/>
      <c r="DX15" s="428"/>
      <c r="DY15" s="428"/>
      <c r="DZ15" s="486" t="s">
        <v>123</v>
      </c>
    </row>
    <row r="16" spans="1:131" ht="20.25" customHeight="1" thickBot="1" x14ac:dyDescent="0.3">
      <c r="A16" s="199" t="s">
        <v>293</v>
      </c>
      <c r="B16" s="218" t="s">
        <v>294</v>
      </c>
      <c r="C16" s="192" t="s">
        <v>295</v>
      </c>
      <c r="D16" s="193" t="s">
        <v>186</v>
      </c>
      <c r="E16" s="193" t="s">
        <v>97</v>
      </c>
      <c r="F16" s="192"/>
      <c r="G16" s="194" t="s">
        <v>79</v>
      </c>
      <c r="H16" s="153"/>
      <c r="K16" s="374">
        <v>14</v>
      </c>
      <c r="L16" s="378" t="s">
        <v>925</v>
      </c>
      <c r="M16" s="394" t="s">
        <v>900</v>
      </c>
      <c r="N16" s="380" t="s">
        <v>926</v>
      </c>
      <c r="O16" s="379">
        <v>80</v>
      </c>
      <c r="P16" s="379" t="s">
        <v>97</v>
      </c>
      <c r="Q16" s="379"/>
      <c r="R16" s="5"/>
      <c r="S16" s="276"/>
      <c r="T16" s="5"/>
      <c r="U16" s="379" t="s">
        <v>688</v>
      </c>
      <c r="Y16" s="249" t="s">
        <v>752</v>
      </c>
      <c r="Z16" s="323" t="s">
        <v>751</v>
      </c>
      <c r="AA16" s="192" t="s">
        <v>754</v>
      </c>
      <c r="AB16" s="264">
        <v>56</v>
      </c>
      <c r="AC16" s="264" t="s">
        <v>97</v>
      </c>
      <c r="AD16" s="192" t="s">
        <v>234</v>
      </c>
      <c r="AE16" s="192" t="s">
        <v>122</v>
      </c>
      <c r="AG16" s="375"/>
      <c r="AH16" s="425">
        <v>13</v>
      </c>
      <c r="AI16" s="429" t="s">
        <v>1078</v>
      </c>
      <c r="AJ16" s="426" t="s">
        <v>1079</v>
      </c>
      <c r="AK16" s="427" t="s">
        <v>1080</v>
      </c>
      <c r="AL16" s="428">
        <v>85</v>
      </c>
      <c r="AM16" s="428" t="s">
        <v>97</v>
      </c>
      <c r="AN16" s="428"/>
      <c r="AO16" s="428"/>
      <c r="AP16" s="428"/>
      <c r="AQ16" s="428"/>
      <c r="AR16" s="433" t="s">
        <v>688</v>
      </c>
      <c r="AU16" s="365"/>
      <c r="AV16" s="425">
        <v>14</v>
      </c>
      <c r="AW16" s="468" t="s">
        <v>1145</v>
      </c>
      <c r="AX16" s="426" t="s">
        <v>1110</v>
      </c>
      <c r="AY16" s="427" t="s">
        <v>1147</v>
      </c>
      <c r="AZ16" s="428">
        <v>43</v>
      </c>
      <c r="BA16" s="428" t="s">
        <v>98</v>
      </c>
      <c r="BB16" s="428"/>
      <c r="BC16" s="428"/>
      <c r="BD16" s="428"/>
      <c r="BE16" s="428"/>
      <c r="BF16" s="469" t="s">
        <v>688</v>
      </c>
      <c r="BI16" s="479">
        <v>14</v>
      </c>
      <c r="BJ16" s="490" t="s">
        <v>1197</v>
      </c>
      <c r="BK16" s="485" t="s">
        <v>1196</v>
      </c>
      <c r="BL16" s="427" t="s">
        <v>1198</v>
      </c>
      <c r="BM16" s="486" t="s">
        <v>878</v>
      </c>
      <c r="BN16" s="428" t="s">
        <v>120</v>
      </c>
      <c r="BO16" s="428"/>
      <c r="BP16" s="428"/>
      <c r="BQ16" s="428"/>
      <c r="BR16" s="428"/>
      <c r="BS16" s="466" t="s">
        <v>134</v>
      </c>
      <c r="BT16" s="5"/>
      <c r="BW16" s="479">
        <v>14</v>
      </c>
      <c r="BX16" s="429" t="s">
        <v>1270</v>
      </c>
      <c r="BY16" s="426" t="s">
        <v>1268</v>
      </c>
      <c r="BZ16" s="427" t="s">
        <v>1271</v>
      </c>
      <c r="CA16" s="428" t="s">
        <v>698</v>
      </c>
      <c r="CB16" s="428" t="s">
        <v>97</v>
      </c>
      <c r="CC16" s="428"/>
      <c r="CD16" s="428"/>
      <c r="CE16" s="428"/>
      <c r="CF16" s="428"/>
      <c r="CG16" s="427" t="s">
        <v>79</v>
      </c>
      <c r="CH16" s="482"/>
      <c r="CL16" s="155">
        <v>14</v>
      </c>
      <c r="CM16" s="199" t="s">
        <v>1324</v>
      </c>
      <c r="CN16" s="219" t="s">
        <v>1325</v>
      </c>
      <c r="CO16" s="192" t="s">
        <v>1326</v>
      </c>
      <c r="CP16" s="193" t="s">
        <v>172</v>
      </c>
      <c r="CQ16" s="254" t="s">
        <v>98</v>
      </c>
      <c r="CR16" s="428"/>
      <c r="CS16" s="428"/>
      <c r="CT16" s="428"/>
      <c r="CU16" s="428"/>
      <c r="CV16" s="194" t="s">
        <v>1327</v>
      </c>
      <c r="CW16" s="482"/>
      <c r="CZ16" s="425">
        <v>14</v>
      </c>
      <c r="DA16" s="429" t="s">
        <v>1412</v>
      </c>
      <c r="DB16" s="426" t="s">
        <v>1413</v>
      </c>
      <c r="DC16" s="427" t="s">
        <v>1414</v>
      </c>
      <c r="DD16" s="427">
        <v>43</v>
      </c>
      <c r="DE16" s="428" t="s">
        <v>98</v>
      </c>
      <c r="DF16" s="427"/>
      <c r="DG16" s="428"/>
      <c r="DH16" s="428"/>
      <c r="DI16" s="428"/>
      <c r="DJ16" s="427" t="s">
        <v>123</v>
      </c>
      <c r="DK16" s="482"/>
      <c r="DP16" s="425">
        <v>14</v>
      </c>
      <c r="DQ16" s="492" t="s">
        <v>1489</v>
      </c>
      <c r="DR16" s="597" t="s">
        <v>1449</v>
      </c>
      <c r="DS16" s="486" t="s">
        <v>1490</v>
      </c>
      <c r="DT16" s="486">
        <v>56</v>
      </c>
      <c r="DU16" s="486" t="s">
        <v>98</v>
      </c>
      <c r="DV16" s="427"/>
      <c r="DW16" s="428"/>
      <c r="DX16" s="428"/>
      <c r="DY16" s="428"/>
      <c r="DZ16" s="486" t="s">
        <v>123</v>
      </c>
    </row>
    <row r="17" spans="1:130" ht="20.25" customHeight="1" thickBot="1" x14ac:dyDescent="0.3">
      <c r="A17" s="199" t="s">
        <v>328</v>
      </c>
      <c r="B17" s="218" t="s">
        <v>329</v>
      </c>
      <c r="C17" s="192" t="s">
        <v>330</v>
      </c>
      <c r="D17" s="193" t="s">
        <v>139</v>
      </c>
      <c r="E17" s="193" t="s">
        <v>97</v>
      </c>
      <c r="F17" s="192"/>
      <c r="G17" s="194" t="s">
        <v>79</v>
      </c>
      <c r="H17" s="153"/>
      <c r="K17" s="374">
        <v>15</v>
      </c>
      <c r="L17" s="378" t="s">
        <v>927</v>
      </c>
      <c r="M17" s="393" t="s">
        <v>882</v>
      </c>
      <c r="N17" s="371" t="s">
        <v>928</v>
      </c>
      <c r="O17" s="379" t="s">
        <v>712</v>
      </c>
      <c r="P17" s="379" t="s">
        <v>98</v>
      </c>
      <c r="Q17" s="379"/>
      <c r="R17" s="5"/>
      <c r="S17" s="276"/>
      <c r="T17" s="5"/>
      <c r="U17" s="379" t="s">
        <v>79</v>
      </c>
      <c r="Y17" s="329" t="s">
        <v>758</v>
      </c>
      <c r="Z17" s="323" t="s">
        <v>759</v>
      </c>
      <c r="AA17" s="223" t="s">
        <v>760</v>
      </c>
      <c r="AB17" s="325">
        <v>57</v>
      </c>
      <c r="AC17" s="325" t="s">
        <v>97</v>
      </c>
      <c r="AD17" s="223" t="s">
        <v>234</v>
      </c>
      <c r="AE17" s="192" t="s">
        <v>122</v>
      </c>
      <c r="AG17" s="375"/>
      <c r="AH17" s="425">
        <v>14</v>
      </c>
      <c r="AI17" s="428" t="s">
        <v>1081</v>
      </c>
      <c r="AJ17" s="426" t="s">
        <v>1082</v>
      </c>
      <c r="AK17" s="427" t="s">
        <v>1083</v>
      </c>
      <c r="AL17" s="428">
        <v>75</v>
      </c>
      <c r="AM17" s="428" t="s">
        <v>97</v>
      </c>
      <c r="AN17" s="428"/>
      <c r="AO17" s="428"/>
      <c r="AP17" s="428"/>
      <c r="AQ17" s="428"/>
      <c r="AR17" s="433" t="s">
        <v>688</v>
      </c>
      <c r="AU17" s="365"/>
      <c r="AV17" s="425">
        <v>15</v>
      </c>
      <c r="AW17" s="468" t="s">
        <v>1148</v>
      </c>
      <c r="AX17" s="426" t="s">
        <v>1139</v>
      </c>
      <c r="AY17" s="427" t="s">
        <v>1150</v>
      </c>
      <c r="AZ17" s="428">
        <v>67</v>
      </c>
      <c r="BA17" s="428" t="s">
        <v>97</v>
      </c>
      <c r="BB17" s="428"/>
      <c r="BC17" s="428"/>
      <c r="BD17" s="428"/>
      <c r="BE17" s="428"/>
      <c r="BF17" s="469" t="s">
        <v>688</v>
      </c>
      <c r="BI17" s="479">
        <v>15</v>
      </c>
      <c r="BJ17" s="490" t="s">
        <v>1199</v>
      </c>
      <c r="BK17" s="485" t="s">
        <v>1165</v>
      </c>
      <c r="BL17" s="427" t="s">
        <v>1200</v>
      </c>
      <c r="BM17" s="486" t="s">
        <v>172</v>
      </c>
      <c r="BN17" s="428" t="s">
        <v>120</v>
      </c>
      <c r="BO17" s="428"/>
      <c r="BP17" s="428"/>
      <c r="BQ17" s="428"/>
      <c r="BR17" s="428"/>
      <c r="BS17" s="466" t="s">
        <v>79</v>
      </c>
      <c r="BT17" s="5"/>
      <c r="CL17" s="155">
        <v>15</v>
      </c>
      <c r="CM17" s="199" t="s">
        <v>1328</v>
      </c>
      <c r="CN17" s="219" t="s">
        <v>1295</v>
      </c>
      <c r="CO17" s="192" t="s">
        <v>1329</v>
      </c>
      <c r="CP17" s="193" t="s">
        <v>172</v>
      </c>
      <c r="CQ17" s="193" t="s">
        <v>97</v>
      </c>
      <c r="CR17" s="5"/>
      <c r="CS17" s="5"/>
      <c r="CT17" s="5"/>
      <c r="CU17" s="5"/>
      <c r="CV17" s="194" t="s">
        <v>79</v>
      </c>
      <c r="CW17" s="5"/>
      <c r="CZ17" s="425">
        <v>15</v>
      </c>
      <c r="DA17" s="429" t="s">
        <v>1415</v>
      </c>
      <c r="DB17" s="426" t="s">
        <v>1380</v>
      </c>
      <c r="DC17" s="427" t="s">
        <v>1416</v>
      </c>
      <c r="DD17" s="427">
        <v>83</v>
      </c>
      <c r="DE17" s="428" t="s">
        <v>98</v>
      </c>
      <c r="DF17" s="427"/>
      <c r="DG17" s="482"/>
      <c r="DH17" s="482"/>
      <c r="DI17" s="482"/>
      <c r="DJ17" s="427" t="s">
        <v>123</v>
      </c>
      <c r="DK17" s="482"/>
      <c r="DP17" s="425">
        <v>15</v>
      </c>
      <c r="DQ17" s="492" t="s">
        <v>1491</v>
      </c>
      <c r="DR17" s="597" t="s">
        <v>1466</v>
      </c>
      <c r="DS17" s="486" t="s">
        <v>1492</v>
      </c>
      <c r="DT17" s="486">
        <v>68</v>
      </c>
      <c r="DU17" s="486" t="s">
        <v>98</v>
      </c>
      <c r="DV17" s="427"/>
      <c r="DW17" s="482"/>
      <c r="DX17" s="482"/>
      <c r="DY17" s="482"/>
      <c r="DZ17" s="486" t="s">
        <v>123</v>
      </c>
    </row>
    <row r="18" spans="1:130" ht="20.25" customHeight="1" thickBot="1" x14ac:dyDescent="0.3">
      <c r="A18" s="199" t="s">
        <v>331</v>
      </c>
      <c r="B18" s="218" t="s">
        <v>332</v>
      </c>
      <c r="C18" s="192" t="s">
        <v>333</v>
      </c>
      <c r="D18" s="193" t="s">
        <v>153</v>
      </c>
      <c r="E18" s="193" t="s">
        <v>98</v>
      </c>
      <c r="F18" s="192"/>
      <c r="G18" s="194" t="s">
        <v>79</v>
      </c>
      <c r="H18" s="153"/>
      <c r="K18" s="374">
        <v>16</v>
      </c>
      <c r="L18" s="378" t="s">
        <v>929</v>
      </c>
      <c r="M18" s="393" t="s">
        <v>905</v>
      </c>
      <c r="N18" s="371" t="s">
        <v>930</v>
      </c>
      <c r="O18" s="379" t="s">
        <v>694</v>
      </c>
      <c r="P18" s="379" t="s">
        <v>97</v>
      </c>
      <c r="Q18" s="379"/>
      <c r="R18" s="5"/>
      <c r="S18" s="276"/>
      <c r="T18" s="5"/>
      <c r="U18" s="379" t="s">
        <v>79</v>
      </c>
      <c r="Y18" s="343" t="s">
        <v>779</v>
      </c>
      <c r="Z18" s="324" t="s">
        <v>717</v>
      </c>
      <c r="AA18" s="225" t="s">
        <v>781</v>
      </c>
      <c r="AB18" s="287">
        <v>61</v>
      </c>
      <c r="AC18" s="287" t="s">
        <v>97</v>
      </c>
      <c r="AD18" s="225" t="s">
        <v>234</v>
      </c>
      <c r="AE18" s="192" t="s">
        <v>122</v>
      </c>
      <c r="AG18" s="375"/>
      <c r="AH18" s="425">
        <v>15</v>
      </c>
      <c r="AI18" s="428" t="s">
        <v>1084</v>
      </c>
      <c r="AJ18" s="426" t="s">
        <v>1069</v>
      </c>
      <c r="AK18" s="427" t="s">
        <v>1085</v>
      </c>
      <c r="AL18" s="428">
        <v>49</v>
      </c>
      <c r="AM18" s="428" t="s">
        <v>98</v>
      </c>
      <c r="AN18" s="428"/>
      <c r="AO18" s="428"/>
      <c r="AP18" s="428"/>
      <c r="AQ18" s="428"/>
      <c r="AR18" s="433" t="s">
        <v>688</v>
      </c>
      <c r="AU18" s="365"/>
      <c r="AV18" s="425">
        <v>16</v>
      </c>
      <c r="AW18" s="467" t="s">
        <v>1149</v>
      </c>
      <c r="AX18" s="426" t="s">
        <v>1139</v>
      </c>
      <c r="AY18" s="427" t="s">
        <v>1151</v>
      </c>
      <c r="AZ18" s="428">
        <v>86</v>
      </c>
      <c r="BA18" s="428" t="s">
        <v>98</v>
      </c>
      <c r="BB18" s="428"/>
      <c r="BC18" s="428"/>
      <c r="BD18" s="428"/>
      <c r="BE18" s="428"/>
      <c r="BF18" s="469" t="s">
        <v>688</v>
      </c>
      <c r="BI18" s="479">
        <v>16</v>
      </c>
      <c r="BJ18" s="490" t="s">
        <v>1201</v>
      </c>
      <c r="BK18" s="485" t="s">
        <v>1202</v>
      </c>
      <c r="BL18" s="427" t="s">
        <v>1203</v>
      </c>
      <c r="BM18" s="486" t="s">
        <v>1204</v>
      </c>
      <c r="BN18" s="428" t="s">
        <v>120</v>
      </c>
      <c r="BO18" s="428"/>
      <c r="BP18" s="428"/>
      <c r="BQ18" s="428"/>
      <c r="BR18" s="428"/>
      <c r="BS18" s="466" t="s">
        <v>79</v>
      </c>
      <c r="BT18" s="5"/>
      <c r="CZ18" s="425">
        <v>16</v>
      </c>
      <c r="DA18" s="429" t="s">
        <v>1417</v>
      </c>
      <c r="DB18" s="426" t="s">
        <v>1397</v>
      </c>
      <c r="DC18" s="427" t="s">
        <v>1418</v>
      </c>
      <c r="DD18" s="427">
        <v>37</v>
      </c>
      <c r="DE18" s="428" t="s">
        <v>98</v>
      </c>
      <c r="DF18" s="427"/>
      <c r="DG18" s="482"/>
      <c r="DH18" s="482"/>
      <c r="DI18" s="482"/>
      <c r="DJ18" s="427" t="s">
        <v>123</v>
      </c>
      <c r="DK18" s="482"/>
      <c r="DP18" s="425">
        <v>16</v>
      </c>
      <c r="DQ18" s="492" t="s">
        <v>1493</v>
      </c>
      <c r="DR18" s="597" t="s">
        <v>1494</v>
      </c>
      <c r="DS18" s="486" t="s">
        <v>1495</v>
      </c>
      <c r="DT18" s="486">
        <v>42</v>
      </c>
      <c r="DU18" s="486" t="s">
        <v>98</v>
      </c>
      <c r="DV18" s="427"/>
      <c r="DW18" s="482"/>
      <c r="DX18" s="482"/>
      <c r="DY18" s="482"/>
      <c r="DZ18" s="486" t="s">
        <v>123</v>
      </c>
    </row>
    <row r="19" spans="1:130" ht="20.25" customHeight="1" thickBot="1" x14ac:dyDescent="0.3">
      <c r="A19" s="199" t="s">
        <v>347</v>
      </c>
      <c r="B19" s="218" t="s">
        <v>348</v>
      </c>
      <c r="C19" s="192" t="s">
        <v>349</v>
      </c>
      <c r="D19" s="193" t="s">
        <v>133</v>
      </c>
      <c r="E19" s="193" t="s">
        <v>97</v>
      </c>
      <c r="F19" s="192"/>
      <c r="G19" s="194" t="s">
        <v>79</v>
      </c>
      <c r="H19" s="153"/>
      <c r="K19" s="374">
        <v>17</v>
      </c>
      <c r="L19" s="378" t="s">
        <v>938</v>
      </c>
      <c r="M19" s="393" t="s">
        <v>939</v>
      </c>
      <c r="N19" s="371" t="s">
        <v>940</v>
      </c>
      <c r="O19" s="379">
        <v>64</v>
      </c>
      <c r="P19" s="379" t="s">
        <v>98</v>
      </c>
      <c r="Q19" s="379"/>
      <c r="R19" s="5"/>
      <c r="S19" s="276"/>
      <c r="T19" s="5"/>
      <c r="U19" s="379" t="s">
        <v>123</v>
      </c>
      <c r="Y19" s="343" t="s">
        <v>780</v>
      </c>
      <c r="Z19" s="324" t="s">
        <v>717</v>
      </c>
      <c r="AA19" s="225" t="s">
        <v>782</v>
      </c>
      <c r="AB19" s="287">
        <v>61</v>
      </c>
      <c r="AC19" s="287" t="s">
        <v>97</v>
      </c>
      <c r="AD19" s="225" t="s">
        <v>234</v>
      </c>
      <c r="AE19" s="192" t="s">
        <v>122</v>
      </c>
      <c r="AG19" s="375"/>
      <c r="AH19" s="425">
        <v>16</v>
      </c>
      <c r="AI19" s="428" t="s">
        <v>1086</v>
      </c>
      <c r="AJ19" s="426" t="s">
        <v>1087</v>
      </c>
      <c r="AK19" s="427" t="s">
        <v>1088</v>
      </c>
      <c r="AL19" s="428">
        <v>105</v>
      </c>
      <c r="AM19" s="428" t="s">
        <v>98</v>
      </c>
      <c r="AN19" s="428"/>
      <c r="AO19" s="428"/>
      <c r="AP19" s="428"/>
      <c r="AQ19" s="428"/>
      <c r="AR19" s="433" t="s">
        <v>688</v>
      </c>
      <c r="BI19" s="479">
        <v>17</v>
      </c>
      <c r="BJ19" s="490" t="s">
        <v>1205</v>
      </c>
      <c r="BK19" s="485" t="s">
        <v>1207</v>
      </c>
      <c r="BL19" s="427" t="s">
        <v>1208</v>
      </c>
      <c r="BM19" s="486">
        <v>71</v>
      </c>
      <c r="BN19" s="428" t="s">
        <v>242</v>
      </c>
      <c r="BO19" s="482"/>
      <c r="BP19" s="482"/>
      <c r="BQ19" s="482"/>
      <c r="BR19" s="482"/>
      <c r="BS19" s="466" t="s">
        <v>688</v>
      </c>
      <c r="BT19" s="5"/>
      <c r="CZ19" s="425">
        <v>17</v>
      </c>
      <c r="DA19" s="429" t="s">
        <v>1419</v>
      </c>
      <c r="DB19" s="426" t="s">
        <v>1383</v>
      </c>
      <c r="DC19" s="427" t="s">
        <v>1420</v>
      </c>
      <c r="DD19" s="427">
        <v>71</v>
      </c>
      <c r="DE19" s="428" t="s">
        <v>98</v>
      </c>
      <c r="DF19" s="427"/>
      <c r="DG19" s="482"/>
      <c r="DH19" s="482"/>
      <c r="DI19" s="482"/>
      <c r="DJ19" s="427" t="s">
        <v>123</v>
      </c>
      <c r="DK19" s="482"/>
      <c r="DP19" s="425">
        <v>17</v>
      </c>
      <c r="DQ19" s="492" t="s">
        <v>1496</v>
      </c>
      <c r="DR19" s="597" t="s">
        <v>1497</v>
      </c>
      <c r="DS19" s="486" t="s">
        <v>1498</v>
      </c>
      <c r="DT19" s="486">
        <v>26</v>
      </c>
      <c r="DU19" s="486" t="s">
        <v>98</v>
      </c>
      <c r="DV19" s="427"/>
      <c r="DW19" s="482"/>
      <c r="DX19" s="482"/>
      <c r="DY19" s="482"/>
      <c r="DZ19" s="486" t="s">
        <v>123</v>
      </c>
    </row>
    <row r="20" spans="1:130" ht="20.25" customHeight="1" thickBot="1" x14ac:dyDescent="0.3">
      <c r="A20" s="199" t="s">
        <v>355</v>
      </c>
      <c r="B20" s="218" t="s">
        <v>284</v>
      </c>
      <c r="C20" s="192" t="s">
        <v>296</v>
      </c>
      <c r="D20" s="193">
        <v>97</v>
      </c>
      <c r="E20" s="193" t="s">
        <v>98</v>
      </c>
      <c r="F20" s="192"/>
      <c r="G20" s="194" t="s">
        <v>119</v>
      </c>
      <c r="H20" s="153"/>
      <c r="K20" s="374">
        <v>18</v>
      </c>
      <c r="L20" s="378" t="s">
        <v>942</v>
      </c>
      <c r="M20" s="393" t="s">
        <v>941</v>
      </c>
      <c r="N20" s="371" t="s">
        <v>944</v>
      </c>
      <c r="O20" s="379">
        <v>65</v>
      </c>
      <c r="P20" s="379" t="s">
        <v>98</v>
      </c>
      <c r="Q20" s="379"/>
      <c r="R20" s="5"/>
      <c r="S20" s="276"/>
      <c r="T20" s="5"/>
      <c r="U20" s="379" t="s">
        <v>123</v>
      </c>
      <c r="Y20" s="330" t="s">
        <v>792</v>
      </c>
      <c r="Z20" s="324" t="s">
        <v>744</v>
      </c>
      <c r="AA20" s="192" t="s">
        <v>793</v>
      </c>
      <c r="AB20" s="264">
        <v>62</v>
      </c>
      <c r="AC20" s="264" t="s">
        <v>97</v>
      </c>
      <c r="AD20" s="192" t="s">
        <v>235</v>
      </c>
      <c r="AE20" s="192" t="s">
        <v>688</v>
      </c>
      <c r="AG20" s="375"/>
      <c r="AH20" s="391"/>
      <c r="AI20" s="438"/>
      <c r="AJ20" s="389"/>
      <c r="AK20" s="390"/>
      <c r="AL20" s="390"/>
      <c r="AM20" s="390"/>
      <c r="AN20" s="390"/>
      <c r="BI20" s="479">
        <v>18</v>
      </c>
      <c r="BJ20" s="487" t="s">
        <v>1206</v>
      </c>
      <c r="BK20" s="485" t="s">
        <v>1207</v>
      </c>
      <c r="BL20" s="427" t="s">
        <v>1209</v>
      </c>
      <c r="BM20" s="486">
        <v>96</v>
      </c>
      <c r="BN20" s="428" t="s">
        <v>242</v>
      </c>
      <c r="BO20" s="482"/>
      <c r="BP20" s="482"/>
      <c r="BQ20" s="482"/>
      <c r="BR20" s="482"/>
      <c r="BS20" s="466" t="s">
        <v>688</v>
      </c>
      <c r="BT20" s="5"/>
      <c r="CZ20" s="425">
        <v>18</v>
      </c>
      <c r="DA20" s="429" t="s">
        <v>1421</v>
      </c>
      <c r="DB20" s="426" t="s">
        <v>1379</v>
      </c>
      <c r="DC20" s="427" t="s">
        <v>1422</v>
      </c>
      <c r="DD20" s="427">
        <v>10</v>
      </c>
      <c r="DE20" s="428" t="s">
        <v>97</v>
      </c>
      <c r="DF20" s="427"/>
      <c r="DG20" s="482"/>
      <c r="DH20" s="482"/>
      <c r="DI20" s="482"/>
      <c r="DJ20" s="427" t="s">
        <v>134</v>
      </c>
      <c r="DK20" s="482"/>
      <c r="DP20" s="425">
        <v>18</v>
      </c>
      <c r="DQ20" s="492" t="s">
        <v>1499</v>
      </c>
      <c r="DR20" s="597" t="s">
        <v>1500</v>
      </c>
      <c r="DS20" s="486" t="s">
        <v>1501</v>
      </c>
      <c r="DT20" s="486">
        <v>48</v>
      </c>
      <c r="DU20" s="486" t="s">
        <v>98</v>
      </c>
      <c r="DV20" s="427"/>
      <c r="DW20" s="482"/>
      <c r="DX20" s="482"/>
      <c r="DY20" s="482"/>
      <c r="DZ20" s="486" t="s">
        <v>123</v>
      </c>
    </row>
    <row r="21" spans="1:130" ht="20.25" customHeight="1" thickBot="1" x14ac:dyDescent="0.3">
      <c r="A21" s="199" t="s">
        <v>303</v>
      </c>
      <c r="B21" s="218" t="s">
        <v>304</v>
      </c>
      <c r="C21" s="192" t="s">
        <v>305</v>
      </c>
      <c r="D21" s="193">
        <v>87</v>
      </c>
      <c r="E21" s="193" t="s">
        <v>98</v>
      </c>
      <c r="F21" s="192"/>
      <c r="G21" s="194" t="s">
        <v>119</v>
      </c>
      <c r="H21" s="153"/>
      <c r="K21" s="374">
        <v>19</v>
      </c>
      <c r="L21" s="378" t="s">
        <v>943</v>
      </c>
      <c r="M21" s="393" t="s">
        <v>941</v>
      </c>
      <c r="N21" s="371" t="s">
        <v>945</v>
      </c>
      <c r="O21" s="379">
        <v>65</v>
      </c>
      <c r="P21" s="379" t="s">
        <v>98</v>
      </c>
      <c r="Q21" s="379"/>
      <c r="R21" s="5"/>
      <c r="S21" s="286"/>
      <c r="T21" s="5"/>
      <c r="U21" s="379" t="s">
        <v>123</v>
      </c>
      <c r="Y21" s="343" t="s">
        <v>771</v>
      </c>
      <c r="Z21" s="324" t="s">
        <v>772</v>
      </c>
      <c r="AA21" s="225" t="s">
        <v>773</v>
      </c>
      <c r="AB21" s="287">
        <v>64</v>
      </c>
      <c r="AC21" s="287" t="s">
        <v>97</v>
      </c>
      <c r="AD21" s="225" t="s">
        <v>234</v>
      </c>
      <c r="AE21" s="192" t="s">
        <v>122</v>
      </c>
      <c r="AG21" s="375"/>
      <c r="AH21" s="391"/>
      <c r="AI21" s="438"/>
      <c r="AJ21" s="389"/>
      <c r="AK21" s="390"/>
      <c r="AL21" s="390"/>
      <c r="AM21" s="390"/>
      <c r="AN21" s="390"/>
      <c r="BI21" s="425">
        <v>19</v>
      </c>
      <c r="BJ21" s="492" t="s">
        <v>1216</v>
      </c>
      <c r="BK21" s="488" t="s">
        <v>1158</v>
      </c>
      <c r="BL21" s="427" t="s">
        <v>1210</v>
      </c>
      <c r="BM21" s="486">
        <v>65</v>
      </c>
      <c r="BN21" s="428" t="s">
        <v>120</v>
      </c>
      <c r="BO21" s="482"/>
      <c r="BP21" s="482"/>
      <c r="BQ21" s="482"/>
      <c r="BR21" s="482"/>
      <c r="BS21" s="466" t="s">
        <v>688</v>
      </c>
      <c r="BT21" s="5"/>
      <c r="CZ21" s="425">
        <v>19</v>
      </c>
      <c r="DA21" s="429" t="s">
        <v>1423</v>
      </c>
      <c r="DB21" s="426" t="s">
        <v>1396</v>
      </c>
      <c r="DC21" s="427" t="s">
        <v>1424</v>
      </c>
      <c r="DD21" s="427" t="s">
        <v>645</v>
      </c>
      <c r="DE21" s="428" t="s">
        <v>97</v>
      </c>
      <c r="DF21" s="427"/>
      <c r="DG21" s="482"/>
      <c r="DH21" s="482"/>
      <c r="DI21" s="482"/>
      <c r="DJ21" s="427" t="s">
        <v>79</v>
      </c>
      <c r="DK21" s="482"/>
      <c r="DP21" s="425">
        <v>19</v>
      </c>
      <c r="DQ21" s="492" t="s">
        <v>1502</v>
      </c>
      <c r="DR21" s="597" t="s">
        <v>1484</v>
      </c>
      <c r="DS21" s="486" t="s">
        <v>1503</v>
      </c>
      <c r="DT21" s="486">
        <v>86</v>
      </c>
      <c r="DU21" s="486" t="s">
        <v>98</v>
      </c>
      <c r="DV21" s="427"/>
      <c r="DW21" s="482"/>
      <c r="DX21" s="482"/>
      <c r="DY21" s="482"/>
      <c r="DZ21" s="486" t="s">
        <v>123</v>
      </c>
    </row>
    <row r="22" spans="1:130" ht="20.25" customHeight="1" thickBot="1" x14ac:dyDescent="0.3">
      <c r="A22" s="199" t="s">
        <v>356</v>
      </c>
      <c r="B22" s="218" t="s">
        <v>319</v>
      </c>
      <c r="C22" s="192" t="s">
        <v>320</v>
      </c>
      <c r="D22" s="193">
        <v>16</v>
      </c>
      <c r="E22" s="193" t="s">
        <v>97</v>
      </c>
      <c r="F22" s="192"/>
      <c r="G22" s="194" t="s">
        <v>119</v>
      </c>
      <c r="H22" s="153"/>
      <c r="K22" s="374">
        <v>20</v>
      </c>
      <c r="L22" s="378" t="s">
        <v>946</v>
      </c>
      <c r="M22" s="393" t="s">
        <v>947</v>
      </c>
      <c r="N22" s="371" t="s">
        <v>948</v>
      </c>
      <c r="O22" s="379">
        <v>25</v>
      </c>
      <c r="P22" s="379" t="s">
        <v>98</v>
      </c>
      <c r="Q22" s="379"/>
      <c r="R22" s="5"/>
      <c r="S22" s="286"/>
      <c r="T22" s="5"/>
      <c r="U22" s="379" t="s">
        <v>123</v>
      </c>
      <c r="Y22" s="330" t="s">
        <v>733</v>
      </c>
      <c r="Z22" s="324" t="s">
        <v>734</v>
      </c>
      <c r="AA22" s="192" t="s">
        <v>735</v>
      </c>
      <c r="AB22" s="264">
        <v>66</v>
      </c>
      <c r="AC22" s="264" t="s">
        <v>98</v>
      </c>
      <c r="AD22" s="192" t="s">
        <v>234</v>
      </c>
      <c r="AE22" s="192" t="s">
        <v>123</v>
      </c>
      <c r="AG22" s="375"/>
      <c r="AH22" s="391"/>
      <c r="AI22" s="438"/>
      <c r="AJ22" s="389"/>
      <c r="AK22" s="390"/>
      <c r="AL22" s="390"/>
      <c r="AM22" s="390"/>
      <c r="AN22" s="390"/>
      <c r="BI22" s="425">
        <v>20</v>
      </c>
      <c r="BJ22" s="492" t="s">
        <v>1211</v>
      </c>
      <c r="BK22" s="488" t="s">
        <v>1183</v>
      </c>
      <c r="BL22" s="427" t="s">
        <v>1212</v>
      </c>
      <c r="BM22" s="486">
        <v>26</v>
      </c>
      <c r="BN22" s="428" t="s">
        <v>242</v>
      </c>
      <c r="BO22" s="482"/>
      <c r="BP22" s="482"/>
      <c r="BQ22" s="482"/>
      <c r="BR22" s="482"/>
      <c r="BS22" s="466" t="s">
        <v>688</v>
      </c>
      <c r="BT22" s="5"/>
      <c r="CZ22" s="425">
        <v>20</v>
      </c>
      <c r="DA22" s="429" t="s">
        <v>1425</v>
      </c>
      <c r="DB22" s="426" t="s">
        <v>1426</v>
      </c>
      <c r="DC22" s="427" t="s">
        <v>1427</v>
      </c>
      <c r="DD22" s="427" t="s">
        <v>833</v>
      </c>
      <c r="DE22" s="428" t="s">
        <v>97</v>
      </c>
      <c r="DF22" s="427"/>
      <c r="DG22" s="482"/>
      <c r="DH22" s="482"/>
      <c r="DI22" s="482"/>
      <c r="DJ22" s="427" t="s">
        <v>79</v>
      </c>
      <c r="DK22" s="482"/>
      <c r="DP22" s="425">
        <v>20</v>
      </c>
      <c r="DQ22" s="492" t="s">
        <v>1505</v>
      </c>
      <c r="DR22" s="597" t="s">
        <v>1484</v>
      </c>
      <c r="DS22" s="486" t="s">
        <v>1504</v>
      </c>
      <c r="DT22" s="486">
        <v>48</v>
      </c>
      <c r="DU22" s="486" t="s">
        <v>98</v>
      </c>
      <c r="DV22" s="427"/>
      <c r="DW22" s="482"/>
      <c r="DX22" s="482"/>
      <c r="DY22" s="482"/>
      <c r="DZ22" s="486" t="s">
        <v>123</v>
      </c>
    </row>
    <row r="23" spans="1:130" ht="20.25" customHeight="1" thickBot="1" x14ac:dyDescent="0.3">
      <c r="A23" s="199" t="s">
        <v>321</v>
      </c>
      <c r="B23" s="218" t="s">
        <v>322</v>
      </c>
      <c r="C23" s="192" t="s">
        <v>323</v>
      </c>
      <c r="D23" s="193">
        <v>67</v>
      </c>
      <c r="E23" s="193" t="s">
        <v>98</v>
      </c>
      <c r="F23" s="192"/>
      <c r="G23" s="194" t="s">
        <v>119</v>
      </c>
      <c r="H23" s="153"/>
      <c r="K23" s="374">
        <v>21</v>
      </c>
      <c r="L23" s="378" t="s">
        <v>950</v>
      </c>
      <c r="M23" s="393" t="s">
        <v>947</v>
      </c>
      <c r="N23" s="371" t="s">
        <v>949</v>
      </c>
      <c r="O23" s="379">
        <v>42</v>
      </c>
      <c r="P23" s="379" t="s">
        <v>98</v>
      </c>
      <c r="Q23" s="379"/>
      <c r="R23" s="5"/>
      <c r="S23" s="286"/>
      <c r="T23" s="5"/>
      <c r="U23" s="379" t="s">
        <v>123</v>
      </c>
      <c r="Y23" s="249" t="s">
        <v>753</v>
      </c>
      <c r="Z23" s="323" t="s">
        <v>751</v>
      </c>
      <c r="AA23" s="192" t="s">
        <v>755</v>
      </c>
      <c r="AB23" s="264">
        <v>66</v>
      </c>
      <c r="AC23" s="264" t="s">
        <v>97</v>
      </c>
      <c r="AD23" s="192" t="s">
        <v>234</v>
      </c>
      <c r="AE23" s="192" t="s">
        <v>122</v>
      </c>
      <c r="AG23" s="375"/>
      <c r="AH23" s="391"/>
      <c r="AI23" s="438"/>
      <c r="AJ23" s="389"/>
      <c r="AK23" s="390"/>
      <c r="AL23" s="390"/>
      <c r="AM23" s="390"/>
      <c r="AN23" s="390"/>
      <c r="BI23" s="425">
        <v>21</v>
      </c>
      <c r="BJ23" s="492" t="s">
        <v>1213</v>
      </c>
      <c r="BK23" s="488" t="s">
        <v>1185</v>
      </c>
      <c r="BL23" s="427" t="s">
        <v>1214</v>
      </c>
      <c r="BM23" s="486">
        <v>85</v>
      </c>
      <c r="BN23" s="428" t="s">
        <v>120</v>
      </c>
      <c r="BO23" s="482"/>
      <c r="BP23" s="482"/>
      <c r="BQ23" s="482"/>
      <c r="BR23" s="482"/>
      <c r="BS23" s="466" t="s">
        <v>688</v>
      </c>
      <c r="BT23" s="5"/>
      <c r="CZ23" s="425">
        <v>21</v>
      </c>
      <c r="DA23" s="429" t="s">
        <v>1428</v>
      </c>
      <c r="DB23" s="426" t="s">
        <v>1429</v>
      </c>
      <c r="DC23" s="427" t="s">
        <v>1430</v>
      </c>
      <c r="DD23" s="427">
        <v>44</v>
      </c>
      <c r="DE23" s="428" t="s">
        <v>98</v>
      </c>
      <c r="DF23" s="427"/>
      <c r="DG23" s="482"/>
      <c r="DH23" s="482"/>
      <c r="DI23" s="482"/>
      <c r="DJ23" s="427" t="s">
        <v>688</v>
      </c>
      <c r="DK23" s="482"/>
      <c r="DP23" s="425">
        <v>21</v>
      </c>
      <c r="DQ23" s="492" t="s">
        <v>1539</v>
      </c>
      <c r="DR23" s="597" t="s">
        <v>1453</v>
      </c>
      <c r="DS23" s="486" t="s">
        <v>1507</v>
      </c>
      <c r="DT23" s="486">
        <v>2</v>
      </c>
      <c r="DU23" s="486" t="s">
        <v>98</v>
      </c>
      <c r="DV23" s="427"/>
      <c r="DW23" s="482"/>
      <c r="DX23" s="482"/>
      <c r="DY23" s="482"/>
      <c r="DZ23" s="486" t="s">
        <v>134</v>
      </c>
    </row>
    <row r="24" spans="1:130" ht="20.25" customHeight="1" thickBot="1" x14ac:dyDescent="0.3">
      <c r="A24" s="199" t="s">
        <v>324</v>
      </c>
      <c r="B24" s="218" t="s">
        <v>325</v>
      </c>
      <c r="C24" s="192" t="s">
        <v>326</v>
      </c>
      <c r="D24" s="193">
        <v>43</v>
      </c>
      <c r="E24" s="193" t="s">
        <v>98</v>
      </c>
      <c r="F24" s="192"/>
      <c r="G24" s="194" t="s">
        <v>119</v>
      </c>
      <c r="H24" s="153"/>
      <c r="K24" s="374">
        <v>22</v>
      </c>
      <c r="L24" s="378" t="s">
        <v>951</v>
      </c>
      <c r="M24" s="393" t="s">
        <v>935</v>
      </c>
      <c r="N24" s="371" t="s">
        <v>952</v>
      </c>
      <c r="O24" s="379">
        <v>68</v>
      </c>
      <c r="P24" s="379" t="s">
        <v>98</v>
      </c>
      <c r="Q24" s="379"/>
      <c r="R24" s="5"/>
      <c r="S24" s="286"/>
      <c r="T24" s="5"/>
      <c r="U24" s="379" t="s">
        <v>123</v>
      </c>
      <c r="Y24" s="331" t="s">
        <v>783</v>
      </c>
      <c r="Z24" s="323" t="s">
        <v>784</v>
      </c>
      <c r="AA24" s="225" t="s">
        <v>785</v>
      </c>
      <c r="AB24" s="287">
        <v>67</v>
      </c>
      <c r="AC24" s="287" t="s">
        <v>97</v>
      </c>
      <c r="AD24" s="225" t="s">
        <v>234</v>
      </c>
      <c r="AE24" s="192" t="s">
        <v>688</v>
      </c>
      <c r="AG24" s="375"/>
      <c r="AH24" s="391"/>
      <c r="AI24" s="438"/>
      <c r="AJ24" s="389"/>
      <c r="AK24" s="390"/>
      <c r="AL24" s="390"/>
      <c r="AM24" s="390"/>
      <c r="AN24" s="390"/>
      <c r="BI24" s="425">
        <v>22</v>
      </c>
      <c r="BJ24" s="492" t="s">
        <v>1217</v>
      </c>
      <c r="BK24" s="488" t="s">
        <v>1192</v>
      </c>
      <c r="BL24" s="427" t="s">
        <v>1215</v>
      </c>
      <c r="BM24" s="486">
        <v>70</v>
      </c>
      <c r="BN24" s="428" t="s">
        <v>242</v>
      </c>
      <c r="BO24" s="482"/>
      <c r="BP24" s="482"/>
      <c r="BQ24" s="482"/>
      <c r="BR24" s="482"/>
      <c r="BS24" s="466" t="s">
        <v>688</v>
      </c>
      <c r="BT24" s="5"/>
      <c r="CZ24" s="425">
        <v>22</v>
      </c>
      <c r="DA24" s="429" t="s">
        <v>1431</v>
      </c>
      <c r="DB24" s="426" t="s">
        <v>1432</v>
      </c>
      <c r="DC24" s="427" t="s">
        <v>1433</v>
      </c>
      <c r="DD24" s="427">
        <v>76</v>
      </c>
      <c r="DE24" s="428" t="s">
        <v>97</v>
      </c>
      <c r="DF24" s="427"/>
      <c r="DG24" s="482"/>
      <c r="DH24" s="482"/>
      <c r="DI24" s="482"/>
      <c r="DJ24" s="427" t="s">
        <v>688</v>
      </c>
      <c r="DK24" s="482"/>
      <c r="DP24" s="425">
        <v>22</v>
      </c>
      <c r="DQ24" s="492" t="s">
        <v>1508</v>
      </c>
      <c r="DR24" s="597" t="s">
        <v>1449</v>
      </c>
      <c r="DS24" s="486" t="s">
        <v>1509</v>
      </c>
      <c r="DT24" s="486" t="s">
        <v>1510</v>
      </c>
      <c r="DU24" s="486" t="s">
        <v>98</v>
      </c>
      <c r="DV24" s="427"/>
      <c r="DW24" s="482"/>
      <c r="DX24" s="482"/>
      <c r="DY24" s="482"/>
      <c r="DZ24" s="486" t="s">
        <v>79</v>
      </c>
    </row>
    <row r="25" spans="1:130" ht="20.25" customHeight="1" thickBot="1" x14ac:dyDescent="0.3">
      <c r="A25" s="199" t="s">
        <v>357</v>
      </c>
      <c r="B25" s="218" t="s">
        <v>325</v>
      </c>
      <c r="C25" s="192" t="s">
        <v>327</v>
      </c>
      <c r="D25" s="193">
        <v>50</v>
      </c>
      <c r="E25" s="193" t="s">
        <v>98</v>
      </c>
      <c r="F25" s="192"/>
      <c r="G25" s="194" t="s">
        <v>119</v>
      </c>
      <c r="H25" s="153"/>
      <c r="K25" s="374">
        <v>23</v>
      </c>
      <c r="L25" s="261" t="s">
        <v>906</v>
      </c>
      <c r="M25" s="393" t="s">
        <v>905</v>
      </c>
      <c r="N25" s="371" t="s">
        <v>907</v>
      </c>
      <c r="O25" s="379">
        <v>72</v>
      </c>
      <c r="P25" s="379" t="s">
        <v>98</v>
      </c>
      <c r="Q25" s="379"/>
      <c r="R25" s="5"/>
      <c r="S25" s="286"/>
      <c r="T25" s="5"/>
      <c r="U25" s="379" t="s">
        <v>123</v>
      </c>
      <c r="Y25" s="249" t="s">
        <v>765</v>
      </c>
      <c r="Z25" s="323" t="s">
        <v>763</v>
      </c>
      <c r="AA25" s="192" t="s">
        <v>764</v>
      </c>
      <c r="AB25" s="264">
        <v>68</v>
      </c>
      <c r="AC25" s="264" t="s">
        <v>97</v>
      </c>
      <c r="AD25" s="192" t="s">
        <v>234</v>
      </c>
      <c r="AE25" s="192" t="s">
        <v>122</v>
      </c>
      <c r="AG25" s="375"/>
      <c r="AH25" s="215"/>
      <c r="AI25" s="438"/>
      <c r="AJ25" s="389"/>
      <c r="AK25" s="390"/>
      <c r="AL25" s="390"/>
      <c r="AM25" s="390"/>
      <c r="AN25" s="390"/>
      <c r="CZ25" s="425">
        <v>23</v>
      </c>
      <c r="DA25" s="429" t="s">
        <v>1434</v>
      </c>
      <c r="DB25" s="426" t="s">
        <v>1435</v>
      </c>
      <c r="DC25" s="427" t="s">
        <v>1436</v>
      </c>
      <c r="DD25" s="427">
        <v>60</v>
      </c>
      <c r="DE25" s="428" t="s">
        <v>98</v>
      </c>
      <c r="DF25" s="427"/>
      <c r="DG25" s="482"/>
      <c r="DH25" s="482"/>
      <c r="DI25" s="482"/>
      <c r="DJ25" s="427" t="s">
        <v>688</v>
      </c>
      <c r="DK25" s="482"/>
      <c r="DP25" s="425">
        <v>23</v>
      </c>
      <c r="DQ25" s="492" t="s">
        <v>1511</v>
      </c>
      <c r="DR25" s="597" t="s">
        <v>1454</v>
      </c>
      <c r="DS25" s="486" t="s">
        <v>1512</v>
      </c>
      <c r="DT25" s="486" t="s">
        <v>1513</v>
      </c>
      <c r="DU25" s="486" t="s">
        <v>98</v>
      </c>
      <c r="DV25" s="427"/>
      <c r="DW25" s="482"/>
      <c r="DX25" s="482"/>
      <c r="DY25" s="482"/>
      <c r="DZ25" s="486" t="s">
        <v>79</v>
      </c>
    </row>
    <row r="26" spans="1:130" ht="20.25" customHeight="1" thickBot="1" x14ac:dyDescent="0.3">
      <c r="A26" s="199" t="s">
        <v>334</v>
      </c>
      <c r="B26" s="218" t="s">
        <v>335</v>
      </c>
      <c r="C26" s="192" t="s">
        <v>336</v>
      </c>
      <c r="D26" s="193">
        <v>89</v>
      </c>
      <c r="E26" s="193" t="s">
        <v>97</v>
      </c>
      <c r="F26" s="192"/>
      <c r="G26" s="194" t="s">
        <v>119</v>
      </c>
      <c r="H26" s="153"/>
      <c r="K26" s="374">
        <v>24</v>
      </c>
      <c r="L26" s="261" t="s">
        <v>908</v>
      </c>
      <c r="M26" s="393" t="s">
        <v>896</v>
      </c>
      <c r="N26" s="371" t="s">
        <v>909</v>
      </c>
      <c r="O26" s="379">
        <v>47</v>
      </c>
      <c r="P26" s="379" t="s">
        <v>98</v>
      </c>
      <c r="Q26" s="379"/>
      <c r="R26" s="5"/>
      <c r="S26" s="286"/>
      <c r="T26" s="5"/>
      <c r="U26" s="379" t="s">
        <v>123</v>
      </c>
      <c r="Y26" s="249" t="s">
        <v>724</v>
      </c>
      <c r="Z26" s="323" t="s">
        <v>725</v>
      </c>
      <c r="AA26" s="192" t="s">
        <v>726</v>
      </c>
      <c r="AB26" s="264">
        <v>72</v>
      </c>
      <c r="AC26" s="264" t="s">
        <v>98</v>
      </c>
      <c r="AD26" s="192" t="s">
        <v>234</v>
      </c>
      <c r="AE26" s="192" t="s">
        <v>123</v>
      </c>
      <c r="AG26" s="375"/>
      <c r="AH26" s="215"/>
      <c r="AI26" s="438"/>
      <c r="AJ26" s="389"/>
      <c r="AK26" s="390"/>
      <c r="AL26" s="390"/>
      <c r="AM26" s="390"/>
      <c r="AN26" s="390"/>
      <c r="CZ26" s="425">
        <v>24</v>
      </c>
      <c r="DA26" s="429" t="s">
        <v>1437</v>
      </c>
      <c r="DB26" s="426" t="s">
        <v>1438</v>
      </c>
      <c r="DC26" s="427" t="s">
        <v>1439</v>
      </c>
      <c r="DD26" s="427">
        <v>45</v>
      </c>
      <c r="DE26" s="428" t="s">
        <v>98</v>
      </c>
      <c r="DF26" s="427"/>
      <c r="DG26" s="482"/>
      <c r="DH26" s="482"/>
      <c r="DI26" s="482"/>
      <c r="DJ26" s="427" t="s">
        <v>688</v>
      </c>
      <c r="DK26" s="482"/>
      <c r="DP26" s="425">
        <v>24</v>
      </c>
      <c r="DQ26" s="492" t="s">
        <v>1514</v>
      </c>
      <c r="DR26" s="597" t="s">
        <v>1457</v>
      </c>
      <c r="DS26" s="486" t="s">
        <v>1515</v>
      </c>
      <c r="DT26" s="486" t="s">
        <v>1516</v>
      </c>
      <c r="DU26" s="486" t="s">
        <v>97</v>
      </c>
      <c r="DV26" s="427"/>
      <c r="DW26" s="482"/>
      <c r="DX26" s="482"/>
      <c r="DY26" s="482"/>
      <c r="DZ26" s="486" t="s">
        <v>79</v>
      </c>
    </row>
    <row r="27" spans="1:130" ht="20.25" customHeight="1" thickBot="1" x14ac:dyDescent="0.3">
      <c r="A27" s="199" t="s">
        <v>337</v>
      </c>
      <c r="B27" s="218" t="s">
        <v>329</v>
      </c>
      <c r="C27" s="192" t="s">
        <v>338</v>
      </c>
      <c r="D27" s="193">
        <v>47</v>
      </c>
      <c r="E27" s="193" t="s">
        <v>98</v>
      </c>
      <c r="F27" s="192"/>
      <c r="G27" s="194" t="s">
        <v>119</v>
      </c>
      <c r="H27" s="153"/>
      <c r="K27" s="374">
        <v>25</v>
      </c>
      <c r="L27" s="261" t="s">
        <v>911</v>
      </c>
      <c r="M27" s="393" t="s">
        <v>910</v>
      </c>
      <c r="N27" s="371" t="s">
        <v>913</v>
      </c>
      <c r="O27" s="379">
        <v>68</v>
      </c>
      <c r="P27" s="379" t="s">
        <v>98</v>
      </c>
      <c r="Q27" s="379"/>
      <c r="R27" s="5"/>
      <c r="S27" s="286"/>
      <c r="T27" s="5"/>
      <c r="U27" s="379" t="s">
        <v>123</v>
      </c>
      <c r="Y27" s="249" t="s">
        <v>769</v>
      </c>
      <c r="Z27" s="323" t="s">
        <v>766</v>
      </c>
      <c r="AA27" s="192" t="s">
        <v>767</v>
      </c>
      <c r="AB27" s="264">
        <v>74</v>
      </c>
      <c r="AC27" s="264" t="s">
        <v>97</v>
      </c>
      <c r="AD27" s="192" t="s">
        <v>234</v>
      </c>
      <c r="AE27" s="192" t="s">
        <v>122</v>
      </c>
      <c r="AG27" s="375"/>
      <c r="AH27" s="215"/>
      <c r="AI27" s="438"/>
      <c r="AJ27" s="389"/>
      <c r="AK27" s="390"/>
      <c r="AL27" s="390"/>
      <c r="AM27" s="390"/>
      <c r="AN27" s="390"/>
      <c r="CZ27" s="425">
        <v>25</v>
      </c>
      <c r="DA27" s="429" t="s">
        <v>1440</v>
      </c>
      <c r="DB27" s="426" t="s">
        <v>1426</v>
      </c>
      <c r="DC27" s="427" t="s">
        <v>1441</v>
      </c>
      <c r="DD27" s="427">
        <v>72</v>
      </c>
      <c r="DE27" s="428" t="s">
        <v>97</v>
      </c>
      <c r="DF27" s="427"/>
      <c r="DG27" s="482"/>
      <c r="DH27" s="482"/>
      <c r="DI27" s="482"/>
      <c r="DJ27" s="427" t="s">
        <v>688</v>
      </c>
      <c r="DK27" s="482"/>
      <c r="DP27" s="425">
        <v>25</v>
      </c>
      <c r="DQ27" s="492" t="s">
        <v>1517</v>
      </c>
      <c r="DR27" s="599" t="s">
        <v>1518</v>
      </c>
      <c r="DS27" s="486" t="s">
        <v>1519</v>
      </c>
      <c r="DT27" s="486" t="s">
        <v>1520</v>
      </c>
      <c r="DU27" s="486" t="s">
        <v>97</v>
      </c>
      <c r="DV27" s="427"/>
      <c r="DW27" s="482"/>
      <c r="DX27" s="482"/>
      <c r="DY27" s="482"/>
      <c r="DZ27" s="486" t="s">
        <v>79</v>
      </c>
    </row>
    <row r="28" spans="1:130" ht="20.25" customHeight="1" thickBot="1" x14ac:dyDescent="0.3">
      <c r="A28" s="199" t="s">
        <v>339</v>
      </c>
      <c r="B28" s="218" t="s">
        <v>340</v>
      </c>
      <c r="C28" s="192" t="s">
        <v>341</v>
      </c>
      <c r="D28" s="193">
        <v>81</v>
      </c>
      <c r="E28" s="193" t="s">
        <v>97</v>
      </c>
      <c r="F28" s="192"/>
      <c r="G28" s="194" t="s">
        <v>119</v>
      </c>
      <c r="H28" s="153"/>
      <c r="K28" s="374">
        <v>26</v>
      </c>
      <c r="L28" s="261" t="s">
        <v>912</v>
      </c>
      <c r="M28" s="394" t="s">
        <v>910</v>
      </c>
      <c r="N28" s="371" t="s">
        <v>914</v>
      </c>
      <c r="O28" s="379">
        <v>70</v>
      </c>
      <c r="P28" s="379" t="s">
        <v>98</v>
      </c>
      <c r="Q28" s="379"/>
      <c r="R28" s="5"/>
      <c r="S28" s="193"/>
      <c r="T28" s="192"/>
      <c r="U28" s="379" t="s">
        <v>123</v>
      </c>
      <c r="Y28" s="249" t="s">
        <v>795</v>
      </c>
      <c r="Z28" s="323" t="s">
        <v>766</v>
      </c>
      <c r="AA28" s="192" t="s">
        <v>798</v>
      </c>
      <c r="AB28" s="264">
        <v>74</v>
      </c>
      <c r="AC28" s="264" t="s">
        <v>98</v>
      </c>
      <c r="AD28" s="192" t="s">
        <v>234</v>
      </c>
      <c r="AE28" s="192" t="s">
        <v>688</v>
      </c>
      <c r="AG28" s="375"/>
      <c r="AH28" s="215"/>
      <c r="AI28" s="438"/>
      <c r="AJ28" s="389"/>
      <c r="AK28" s="389"/>
      <c r="AL28" s="390"/>
      <c r="AM28" s="390"/>
      <c r="AN28" s="390"/>
      <c r="CZ28" s="425">
        <v>26</v>
      </c>
      <c r="DA28" s="429" t="s">
        <v>1444</v>
      </c>
      <c r="DB28" s="426" t="s">
        <v>1397</v>
      </c>
      <c r="DC28" s="427" t="s">
        <v>1445</v>
      </c>
      <c r="DD28" s="570">
        <v>65</v>
      </c>
      <c r="DE28" s="428" t="s">
        <v>97</v>
      </c>
      <c r="DF28" s="482"/>
      <c r="DG28" s="427"/>
      <c r="DH28" s="482"/>
      <c r="DI28" s="482"/>
      <c r="DJ28" s="427" t="s">
        <v>688</v>
      </c>
      <c r="DK28" s="482"/>
      <c r="DP28" s="425">
        <v>26</v>
      </c>
      <c r="DQ28" s="596" t="s">
        <v>1521</v>
      </c>
      <c r="DR28" s="597" t="s">
        <v>1500</v>
      </c>
      <c r="DS28" s="600" t="s">
        <v>1522</v>
      </c>
      <c r="DT28" s="486" t="s">
        <v>704</v>
      </c>
      <c r="DU28" s="486" t="s">
        <v>98</v>
      </c>
      <c r="DV28" s="482"/>
      <c r="DW28" s="427"/>
      <c r="DX28" s="482"/>
      <c r="DY28" s="482"/>
      <c r="DZ28" s="486" t="s">
        <v>79</v>
      </c>
    </row>
    <row r="29" spans="1:130" ht="15.75" x14ac:dyDescent="0.25">
      <c r="A29" s="199" t="s">
        <v>350</v>
      </c>
      <c r="B29" s="218" t="s">
        <v>351</v>
      </c>
      <c r="C29" s="192" t="s">
        <v>352</v>
      </c>
      <c r="D29" s="193">
        <v>32</v>
      </c>
      <c r="E29" s="193" t="s">
        <v>97</v>
      </c>
      <c r="F29" s="192"/>
      <c r="G29" s="194" t="s">
        <v>119</v>
      </c>
      <c r="H29" s="153"/>
      <c r="K29" s="374">
        <v>27</v>
      </c>
      <c r="L29" s="261" t="s">
        <v>916</v>
      </c>
      <c r="M29" s="394" t="s">
        <v>915</v>
      </c>
      <c r="N29" s="371" t="s">
        <v>917</v>
      </c>
      <c r="O29" s="379">
        <v>64</v>
      </c>
      <c r="P29" s="379" t="s">
        <v>98</v>
      </c>
      <c r="Q29" s="379"/>
      <c r="R29" s="5"/>
      <c r="S29" s="193"/>
      <c r="T29" s="192"/>
      <c r="U29" s="379" t="s">
        <v>123</v>
      </c>
      <c r="Y29" s="249" t="s">
        <v>736</v>
      </c>
      <c r="Z29" s="323" t="s">
        <v>737</v>
      </c>
      <c r="AA29" s="192" t="s">
        <v>738</v>
      </c>
      <c r="AB29" s="264">
        <v>79</v>
      </c>
      <c r="AC29" s="264" t="s">
        <v>98</v>
      </c>
      <c r="AD29" s="192" t="s">
        <v>234</v>
      </c>
      <c r="AE29" s="192" t="s">
        <v>123</v>
      </c>
      <c r="AG29" s="375"/>
      <c r="AH29" s="215"/>
      <c r="AI29" s="438"/>
      <c r="AJ29" s="389"/>
      <c r="AK29" s="389"/>
      <c r="AL29" s="390"/>
      <c r="AM29" s="390"/>
      <c r="AN29" s="390"/>
      <c r="DP29" s="425">
        <v>27</v>
      </c>
      <c r="DQ29" s="427" t="s">
        <v>1523</v>
      </c>
      <c r="DR29" s="468" t="s">
        <v>1453</v>
      </c>
      <c r="DS29" s="468" t="s">
        <v>1524</v>
      </c>
      <c r="DT29" s="486">
        <v>52</v>
      </c>
      <c r="DU29" s="486" t="s">
        <v>97</v>
      </c>
      <c r="DV29" s="482"/>
      <c r="DW29" s="482"/>
      <c r="DX29" s="482"/>
      <c r="DY29" s="482"/>
      <c r="DZ29" s="486" t="s">
        <v>688</v>
      </c>
    </row>
    <row r="30" spans="1:130" ht="15.75" x14ac:dyDescent="0.25">
      <c r="A30" s="153"/>
      <c r="Y30" s="330" t="s">
        <v>727</v>
      </c>
      <c r="Z30" s="324" t="s">
        <v>728</v>
      </c>
      <c r="AA30" s="192" t="s">
        <v>729</v>
      </c>
      <c r="AB30" s="264">
        <v>84</v>
      </c>
      <c r="AC30" s="264" t="s">
        <v>98</v>
      </c>
      <c r="AD30" s="192" t="s">
        <v>234</v>
      </c>
      <c r="AE30" s="192" t="s">
        <v>123</v>
      </c>
      <c r="DP30" s="425">
        <v>28</v>
      </c>
      <c r="DQ30" s="427" t="s">
        <v>1525</v>
      </c>
      <c r="DR30" s="468" t="s">
        <v>1456</v>
      </c>
      <c r="DS30" s="468" t="s">
        <v>1526</v>
      </c>
      <c r="DT30" s="486">
        <v>39</v>
      </c>
      <c r="DU30" s="486" t="s">
        <v>98</v>
      </c>
      <c r="DV30" s="482"/>
      <c r="DW30" s="482"/>
      <c r="DX30" s="482"/>
      <c r="DY30" s="482"/>
      <c r="DZ30" s="486" t="s">
        <v>688</v>
      </c>
    </row>
    <row r="31" spans="1:130" ht="15.75" x14ac:dyDescent="0.25">
      <c r="A31" s="153"/>
      <c r="Y31" s="330" t="s">
        <v>719</v>
      </c>
      <c r="Z31" s="324" t="s">
        <v>717</v>
      </c>
      <c r="AA31" s="192" t="s">
        <v>718</v>
      </c>
      <c r="AB31" s="264">
        <v>85</v>
      </c>
      <c r="AC31" s="264" t="s">
        <v>98</v>
      </c>
      <c r="AD31" s="192" t="s">
        <v>234</v>
      </c>
      <c r="AE31" s="192" t="s">
        <v>123</v>
      </c>
      <c r="DP31" s="425">
        <v>29</v>
      </c>
      <c r="DQ31" s="427" t="s">
        <v>1527</v>
      </c>
      <c r="DR31" s="468" t="s">
        <v>1457</v>
      </c>
      <c r="DS31" s="468" t="s">
        <v>1528</v>
      </c>
      <c r="DT31" s="486">
        <v>16</v>
      </c>
      <c r="DU31" s="486" t="s">
        <v>97</v>
      </c>
      <c r="DV31" s="482"/>
      <c r="DW31" s="482"/>
      <c r="DX31" s="482"/>
      <c r="DY31" s="482"/>
      <c r="DZ31" s="486" t="s">
        <v>688</v>
      </c>
    </row>
    <row r="32" spans="1:130" ht="15.75" x14ac:dyDescent="0.25">
      <c r="A32" s="153"/>
      <c r="Y32" s="330" t="s">
        <v>761</v>
      </c>
      <c r="Z32" s="324" t="s">
        <v>744</v>
      </c>
      <c r="AA32" s="192" t="s">
        <v>762</v>
      </c>
      <c r="AB32" s="264">
        <v>89</v>
      </c>
      <c r="AC32" s="264" t="s">
        <v>97</v>
      </c>
      <c r="AD32" s="192" t="s">
        <v>234</v>
      </c>
      <c r="AE32" s="192" t="s">
        <v>122</v>
      </c>
      <c r="DP32" s="425">
        <v>30</v>
      </c>
      <c r="DQ32" s="427" t="s">
        <v>1529</v>
      </c>
      <c r="DR32" s="468" t="s">
        <v>1466</v>
      </c>
      <c r="DS32" s="468" t="s">
        <v>1530</v>
      </c>
      <c r="DT32" s="486">
        <v>71</v>
      </c>
      <c r="DU32" s="486" t="s">
        <v>97</v>
      </c>
      <c r="DV32" s="482"/>
      <c r="DW32" s="482"/>
      <c r="DX32" s="482"/>
      <c r="DY32" s="482"/>
      <c r="DZ32" s="486" t="s">
        <v>688</v>
      </c>
    </row>
    <row r="33" spans="1:130" ht="15.75" x14ac:dyDescent="0.25">
      <c r="A33" s="153"/>
      <c r="Y33" s="331" t="s">
        <v>775</v>
      </c>
      <c r="Z33" s="345" t="s">
        <v>774</v>
      </c>
      <c r="AA33" s="225" t="s">
        <v>776</v>
      </c>
      <c r="AB33" s="287">
        <v>89</v>
      </c>
      <c r="AC33" s="287" t="s">
        <v>97</v>
      </c>
      <c r="AD33" s="225" t="s">
        <v>234</v>
      </c>
      <c r="AE33" s="192" t="s">
        <v>122</v>
      </c>
      <c r="DP33" s="425">
        <v>31</v>
      </c>
      <c r="DQ33" s="427" t="s">
        <v>1531</v>
      </c>
      <c r="DR33" s="468" t="s">
        <v>1497</v>
      </c>
      <c r="DS33" s="468" t="s">
        <v>1532</v>
      </c>
      <c r="DT33" s="486">
        <v>83</v>
      </c>
      <c r="DU33" s="486" t="s">
        <v>97</v>
      </c>
      <c r="DV33" s="482"/>
      <c r="DW33" s="482"/>
      <c r="DX33" s="482"/>
      <c r="DY33" s="482"/>
      <c r="DZ33" s="486" t="s">
        <v>688</v>
      </c>
    </row>
    <row r="34" spans="1:130" ht="15.75" x14ac:dyDescent="0.25">
      <c r="A34" s="153"/>
      <c r="Y34" s="330" t="s">
        <v>730</v>
      </c>
      <c r="Z34" s="324" t="s">
        <v>731</v>
      </c>
      <c r="AA34" s="192" t="s">
        <v>732</v>
      </c>
      <c r="AB34" s="264">
        <v>98</v>
      </c>
      <c r="AC34" s="264" t="s">
        <v>98</v>
      </c>
      <c r="AD34" s="192" t="s">
        <v>234</v>
      </c>
      <c r="AE34" s="192" t="s">
        <v>123</v>
      </c>
      <c r="DP34" s="425">
        <v>32</v>
      </c>
      <c r="DQ34" s="427" t="s">
        <v>1533</v>
      </c>
      <c r="DR34" s="468" t="s">
        <v>1478</v>
      </c>
      <c r="DS34" s="468" t="s">
        <v>1534</v>
      </c>
      <c r="DT34" s="486">
        <v>58</v>
      </c>
      <c r="DU34" s="486" t="s">
        <v>98</v>
      </c>
      <c r="DV34" s="482"/>
      <c r="DW34" s="482"/>
      <c r="DX34" s="482"/>
      <c r="DY34" s="482"/>
      <c r="DZ34" s="486" t="s">
        <v>688</v>
      </c>
    </row>
    <row r="35" spans="1:130" ht="15.75" x14ac:dyDescent="0.25">
      <c r="A35" s="153"/>
      <c r="Y35" s="330" t="s">
        <v>740</v>
      </c>
      <c r="Z35" s="324" t="s">
        <v>731</v>
      </c>
      <c r="AA35" s="192" t="s">
        <v>741</v>
      </c>
      <c r="AB35" s="264" t="s">
        <v>742</v>
      </c>
      <c r="AC35" s="264" t="s">
        <v>98</v>
      </c>
      <c r="AD35" s="192" t="s">
        <v>234</v>
      </c>
      <c r="AE35" s="192" t="s">
        <v>79</v>
      </c>
      <c r="DP35" s="425">
        <v>33</v>
      </c>
      <c r="DQ35" s="427" t="s">
        <v>1535</v>
      </c>
      <c r="DR35" s="468" t="s">
        <v>1536</v>
      </c>
      <c r="DS35" s="468" t="s">
        <v>1537</v>
      </c>
      <c r="DT35" s="486">
        <v>49</v>
      </c>
      <c r="DU35" s="486" t="s">
        <v>97</v>
      </c>
      <c r="DV35" s="482"/>
      <c r="DW35" s="482"/>
      <c r="DX35" s="482"/>
      <c r="DY35" s="482"/>
      <c r="DZ35" s="486" t="s">
        <v>688</v>
      </c>
    </row>
    <row r="36" spans="1:130" ht="15.75" x14ac:dyDescent="0.25">
      <c r="A36" s="153"/>
      <c r="Y36" s="330" t="s">
        <v>746</v>
      </c>
      <c r="Z36" s="324" t="s">
        <v>715</v>
      </c>
      <c r="AA36" s="192" t="s">
        <v>747</v>
      </c>
      <c r="AB36" s="264" t="s">
        <v>742</v>
      </c>
      <c r="AC36" s="264" t="s">
        <v>97</v>
      </c>
      <c r="AD36" s="192" t="s">
        <v>234</v>
      </c>
      <c r="AE36" s="192" t="s">
        <v>79</v>
      </c>
    </row>
    <row r="37" spans="1:130" ht="15.75" x14ac:dyDescent="0.25">
      <c r="A37" s="153"/>
      <c r="Y37" s="249" t="s">
        <v>743</v>
      </c>
      <c r="Z37" s="323" t="s">
        <v>744</v>
      </c>
      <c r="AA37" s="192" t="s">
        <v>745</v>
      </c>
      <c r="AB37" s="264" t="s">
        <v>173</v>
      </c>
      <c r="AC37" s="264" t="s">
        <v>97</v>
      </c>
      <c r="AD37" s="192" t="s">
        <v>234</v>
      </c>
      <c r="AE37" s="192" t="s">
        <v>79</v>
      </c>
    </row>
    <row r="38" spans="1:130" ht="15.75" x14ac:dyDescent="0.25">
      <c r="A38" s="153"/>
    </row>
    <row r="39" spans="1:130" ht="15.75" x14ac:dyDescent="0.25">
      <c r="A39" s="153"/>
      <c r="B39" s="153"/>
      <c r="C39" s="153"/>
      <c r="D39" s="153"/>
      <c r="E39" s="153"/>
      <c r="F39" s="153"/>
      <c r="G39" s="153"/>
      <c r="H39" s="153"/>
    </row>
  </sheetData>
  <mergeCells count="10">
    <mergeCell ref="A1:I1"/>
    <mergeCell ref="L1:U1"/>
    <mergeCell ref="AH2:AR2"/>
    <mergeCell ref="AV1:BF1"/>
    <mergeCell ref="BI1:BS1"/>
    <mergeCell ref="DP1:DZ1"/>
    <mergeCell ref="CZ1:DK1"/>
    <mergeCell ref="CL1:CW1"/>
    <mergeCell ref="BU1:BV1048576"/>
    <mergeCell ref="BW1:CH1"/>
  </mergeCells>
  <conditionalFormatting sqref="K3:K29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3:AG29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H4:AH19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V3:AV18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I3:BI24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3:BW16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L3:CL17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Z3:CZ27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Z28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P3:DP35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R29:DR35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25" right="0.25" top="0.22" bottom="0.31" header="0.18" footer="0.3"/>
  <pageSetup scale="79" fitToWidth="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0"/>
  <dimension ref="A1:C16"/>
  <sheetViews>
    <sheetView workbookViewId="0">
      <selection activeCell="G17" sqref="G17"/>
    </sheetView>
  </sheetViews>
  <sheetFormatPr defaultRowHeight="15" x14ac:dyDescent="0.25"/>
  <sheetData>
    <row r="1" spans="1:3" x14ac:dyDescent="0.25">
      <c r="A1" t="s">
        <v>73</v>
      </c>
      <c r="B1" t="s">
        <v>72</v>
      </c>
      <c r="C1" t="s">
        <v>124</v>
      </c>
    </row>
    <row r="2" spans="1:3" x14ac:dyDescent="0.25">
      <c r="A2">
        <v>55</v>
      </c>
      <c r="B2" t="s">
        <v>82</v>
      </c>
      <c r="C2" t="s">
        <v>126</v>
      </c>
    </row>
    <row r="3" spans="1:3" x14ac:dyDescent="0.25">
      <c r="A3">
        <v>44</v>
      </c>
      <c r="B3" t="s">
        <v>82</v>
      </c>
      <c r="C3" t="s">
        <v>126</v>
      </c>
    </row>
    <row r="4" spans="1:3" x14ac:dyDescent="0.25">
      <c r="A4">
        <v>49</v>
      </c>
      <c r="B4" t="s">
        <v>82</v>
      </c>
      <c r="C4" t="s">
        <v>125</v>
      </c>
    </row>
    <row r="5" spans="1:3" x14ac:dyDescent="0.25">
      <c r="A5">
        <v>77</v>
      </c>
      <c r="B5" t="s">
        <v>82</v>
      </c>
      <c r="C5" t="s">
        <v>126</v>
      </c>
    </row>
    <row r="6" spans="1:3" x14ac:dyDescent="0.25">
      <c r="A6">
        <v>73</v>
      </c>
      <c r="B6" t="s">
        <v>81</v>
      </c>
      <c r="C6" t="s">
        <v>126</v>
      </c>
    </row>
    <row r="7" spans="1:3" x14ac:dyDescent="0.25">
      <c r="A7">
        <v>86</v>
      </c>
      <c r="B7" t="s">
        <v>81</v>
      </c>
      <c r="C7" t="s">
        <v>126</v>
      </c>
    </row>
    <row r="8" spans="1:3" x14ac:dyDescent="0.25">
      <c r="A8">
        <v>91</v>
      </c>
      <c r="B8" t="s">
        <v>81</v>
      </c>
      <c r="C8" t="s">
        <v>126</v>
      </c>
    </row>
    <row r="9" spans="1:3" x14ac:dyDescent="0.25">
      <c r="A9">
        <v>52</v>
      </c>
      <c r="B9" t="s">
        <v>81</v>
      </c>
      <c r="C9" t="s">
        <v>126</v>
      </c>
    </row>
    <row r="10" spans="1:3" x14ac:dyDescent="0.25">
      <c r="A10">
        <v>47</v>
      </c>
      <c r="B10" t="s">
        <v>81</v>
      </c>
      <c r="C10" t="s">
        <v>126</v>
      </c>
    </row>
    <row r="11" spans="1:3" x14ac:dyDescent="0.25">
      <c r="A11">
        <v>26</v>
      </c>
      <c r="B11" t="s">
        <v>81</v>
      </c>
      <c r="C11" t="s">
        <v>125</v>
      </c>
    </row>
    <row r="12" spans="1:3" x14ac:dyDescent="0.25">
      <c r="A12">
        <v>39</v>
      </c>
      <c r="B12" t="s">
        <v>82</v>
      </c>
      <c r="C12" t="s">
        <v>125</v>
      </c>
    </row>
    <row r="13" spans="1:3" x14ac:dyDescent="0.25">
      <c r="A13">
        <v>59</v>
      </c>
      <c r="B13" t="s">
        <v>82</v>
      </c>
      <c r="C13" t="s">
        <v>126</v>
      </c>
    </row>
    <row r="14" spans="1:3" x14ac:dyDescent="0.25">
      <c r="A14">
        <v>48</v>
      </c>
      <c r="B14" t="s">
        <v>81</v>
      </c>
      <c r="C14" t="s">
        <v>125</v>
      </c>
    </row>
    <row r="15" spans="1:3" x14ac:dyDescent="0.25">
      <c r="A15">
        <v>81</v>
      </c>
      <c r="B15" t="s">
        <v>82</v>
      </c>
      <c r="C15" t="s">
        <v>126</v>
      </c>
    </row>
    <row r="16" spans="1:3" x14ac:dyDescent="0.25">
      <c r="A16">
        <v>11</v>
      </c>
      <c r="B16" t="s">
        <v>82</v>
      </c>
      <c r="C16" t="s">
        <v>125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1" filterMode="1"/>
  <dimension ref="A1:C628"/>
  <sheetViews>
    <sheetView workbookViewId="0">
      <selection activeCell="E629" sqref="E629"/>
    </sheetView>
  </sheetViews>
  <sheetFormatPr defaultRowHeight="15" x14ac:dyDescent="0.25"/>
  <sheetData>
    <row r="1" spans="1:3" x14ac:dyDescent="0.25">
      <c r="A1">
        <v>2021</v>
      </c>
      <c r="B1" t="s">
        <v>187</v>
      </c>
    </row>
    <row r="2" spans="1:3" x14ac:dyDescent="0.25">
      <c r="A2" t="s">
        <v>73</v>
      </c>
      <c r="B2" t="s">
        <v>72</v>
      </c>
      <c r="C2" t="s">
        <v>18</v>
      </c>
    </row>
    <row r="3" spans="1:3" hidden="1" x14ac:dyDescent="0.25">
      <c r="A3">
        <v>81</v>
      </c>
      <c r="B3" t="s">
        <v>82</v>
      </c>
      <c r="C3" t="s">
        <v>105</v>
      </c>
    </row>
    <row r="4" spans="1:3" hidden="1" x14ac:dyDescent="0.25">
      <c r="A4">
        <v>67</v>
      </c>
      <c r="B4" t="s">
        <v>82</v>
      </c>
      <c r="C4" t="s">
        <v>105</v>
      </c>
    </row>
    <row r="5" spans="1:3" hidden="1" x14ac:dyDescent="0.25">
      <c r="A5">
        <v>28</v>
      </c>
      <c r="B5" t="s">
        <v>82</v>
      </c>
      <c r="C5" t="s">
        <v>105</v>
      </c>
    </row>
    <row r="6" spans="1:3" hidden="1" x14ac:dyDescent="0.25">
      <c r="A6">
        <v>38</v>
      </c>
      <c r="B6" t="s">
        <v>82</v>
      </c>
      <c r="C6" t="s">
        <v>105</v>
      </c>
    </row>
    <row r="7" spans="1:3" hidden="1" x14ac:dyDescent="0.25">
      <c r="A7">
        <v>32</v>
      </c>
      <c r="B7" t="s">
        <v>82</v>
      </c>
      <c r="C7" t="s">
        <v>105</v>
      </c>
    </row>
    <row r="8" spans="1:3" hidden="1" x14ac:dyDescent="0.25">
      <c r="A8">
        <v>77</v>
      </c>
      <c r="B8" t="s">
        <v>82</v>
      </c>
      <c r="C8" t="s">
        <v>105</v>
      </c>
    </row>
    <row r="9" spans="1:3" hidden="1" x14ac:dyDescent="0.25">
      <c r="A9">
        <v>31</v>
      </c>
      <c r="B9" t="s">
        <v>82</v>
      </c>
      <c r="C9" t="s">
        <v>105</v>
      </c>
    </row>
    <row r="10" spans="1:3" hidden="1" x14ac:dyDescent="0.25">
      <c r="A10">
        <v>72</v>
      </c>
      <c r="B10" t="s">
        <v>82</v>
      </c>
      <c r="C10" t="s">
        <v>105</v>
      </c>
    </row>
    <row r="11" spans="1:3" hidden="1" x14ac:dyDescent="0.25">
      <c r="A11">
        <v>59</v>
      </c>
      <c r="B11" t="s">
        <v>82</v>
      </c>
      <c r="C11" t="s">
        <v>105</v>
      </c>
    </row>
    <row r="12" spans="1:3" hidden="1" x14ac:dyDescent="0.25">
      <c r="A12">
        <v>75</v>
      </c>
      <c r="B12" t="s">
        <v>82</v>
      </c>
      <c r="C12" t="s">
        <v>105</v>
      </c>
    </row>
    <row r="13" spans="1:3" hidden="1" x14ac:dyDescent="0.25">
      <c r="A13">
        <v>60</v>
      </c>
      <c r="B13" t="s">
        <v>82</v>
      </c>
      <c r="C13" t="s">
        <v>105</v>
      </c>
    </row>
    <row r="14" spans="1:3" hidden="1" x14ac:dyDescent="0.25">
      <c r="A14">
        <v>59</v>
      </c>
      <c r="B14" t="s">
        <v>82</v>
      </c>
      <c r="C14" t="s">
        <v>105</v>
      </c>
    </row>
    <row r="15" spans="1:3" hidden="1" x14ac:dyDescent="0.25">
      <c r="A15">
        <v>76</v>
      </c>
      <c r="B15" t="s">
        <v>82</v>
      </c>
      <c r="C15" t="s">
        <v>105</v>
      </c>
    </row>
    <row r="16" spans="1:3" hidden="1" x14ac:dyDescent="0.25">
      <c r="A16">
        <v>47</v>
      </c>
      <c r="B16" t="s">
        <v>82</v>
      </c>
      <c r="C16" t="s">
        <v>105</v>
      </c>
    </row>
    <row r="17" spans="1:3" hidden="1" x14ac:dyDescent="0.25">
      <c r="A17">
        <v>17</v>
      </c>
      <c r="B17" t="s">
        <v>82</v>
      </c>
      <c r="C17" t="s">
        <v>105</v>
      </c>
    </row>
    <row r="18" spans="1:3" hidden="1" x14ac:dyDescent="0.25">
      <c r="A18">
        <v>42</v>
      </c>
      <c r="B18" t="s">
        <v>82</v>
      </c>
      <c r="C18" t="s">
        <v>105</v>
      </c>
    </row>
    <row r="19" spans="1:3" hidden="1" x14ac:dyDescent="0.25">
      <c r="A19">
        <v>48</v>
      </c>
      <c r="B19" t="s">
        <v>82</v>
      </c>
      <c r="C19" t="s">
        <v>105</v>
      </c>
    </row>
    <row r="20" spans="1:3" hidden="1" x14ac:dyDescent="0.25">
      <c r="A20">
        <v>64</v>
      </c>
      <c r="B20" t="s">
        <v>82</v>
      </c>
      <c r="C20" t="s">
        <v>105</v>
      </c>
    </row>
    <row r="21" spans="1:3" hidden="1" x14ac:dyDescent="0.25">
      <c r="A21">
        <v>63</v>
      </c>
      <c r="B21" t="s">
        <v>82</v>
      </c>
      <c r="C21" t="s">
        <v>105</v>
      </c>
    </row>
    <row r="22" spans="1:3" hidden="1" x14ac:dyDescent="0.25">
      <c r="A22">
        <v>57</v>
      </c>
      <c r="B22" t="s">
        <v>82</v>
      </c>
      <c r="C22" t="s">
        <v>105</v>
      </c>
    </row>
    <row r="23" spans="1:3" hidden="1" x14ac:dyDescent="0.25">
      <c r="A23">
        <v>49</v>
      </c>
      <c r="B23" t="s">
        <v>82</v>
      </c>
      <c r="C23" t="s">
        <v>105</v>
      </c>
    </row>
    <row r="24" spans="1:3" hidden="1" x14ac:dyDescent="0.25">
      <c r="A24">
        <v>44</v>
      </c>
      <c r="B24" t="s">
        <v>82</v>
      </c>
      <c r="C24" t="s">
        <v>105</v>
      </c>
    </row>
    <row r="25" spans="1:3" hidden="1" x14ac:dyDescent="0.25">
      <c r="A25">
        <v>39</v>
      </c>
      <c r="B25" t="s">
        <v>82</v>
      </c>
      <c r="C25" t="s">
        <v>105</v>
      </c>
    </row>
    <row r="26" spans="1:3" hidden="1" x14ac:dyDescent="0.25">
      <c r="A26">
        <v>69</v>
      </c>
      <c r="B26" t="s">
        <v>82</v>
      </c>
      <c r="C26" t="s">
        <v>105</v>
      </c>
    </row>
    <row r="27" spans="1:3" hidden="1" x14ac:dyDescent="0.25">
      <c r="A27">
        <v>30</v>
      </c>
      <c r="B27" t="s">
        <v>82</v>
      </c>
      <c r="C27" t="s">
        <v>105</v>
      </c>
    </row>
    <row r="28" spans="1:3" hidden="1" x14ac:dyDescent="0.25">
      <c r="A28">
        <v>13</v>
      </c>
      <c r="B28" t="s">
        <v>82</v>
      </c>
      <c r="C28" t="s">
        <v>105</v>
      </c>
    </row>
    <row r="29" spans="1:3" hidden="1" x14ac:dyDescent="0.25">
      <c r="A29">
        <v>46</v>
      </c>
      <c r="B29" t="s">
        <v>82</v>
      </c>
      <c r="C29" t="s">
        <v>105</v>
      </c>
    </row>
    <row r="30" spans="1:3" hidden="1" x14ac:dyDescent="0.25">
      <c r="A30">
        <v>57</v>
      </c>
      <c r="B30" t="s">
        <v>82</v>
      </c>
      <c r="C30" t="s">
        <v>105</v>
      </c>
    </row>
    <row r="31" spans="1:3" hidden="1" x14ac:dyDescent="0.25">
      <c r="A31">
        <v>42</v>
      </c>
      <c r="B31" t="s">
        <v>82</v>
      </c>
      <c r="C31" t="s">
        <v>105</v>
      </c>
    </row>
    <row r="32" spans="1:3" hidden="1" x14ac:dyDescent="0.25">
      <c r="A32">
        <v>62</v>
      </c>
      <c r="B32" t="s">
        <v>82</v>
      </c>
      <c r="C32" t="s">
        <v>105</v>
      </c>
    </row>
    <row r="33" spans="1:3" hidden="1" x14ac:dyDescent="0.25">
      <c r="A33">
        <v>55</v>
      </c>
      <c r="B33" t="s">
        <v>82</v>
      </c>
      <c r="C33" t="s">
        <v>105</v>
      </c>
    </row>
    <row r="34" spans="1:3" hidden="1" x14ac:dyDescent="0.25">
      <c r="A34">
        <v>76</v>
      </c>
      <c r="B34" t="s">
        <v>82</v>
      </c>
      <c r="C34" t="s">
        <v>105</v>
      </c>
    </row>
    <row r="35" spans="1:3" hidden="1" x14ac:dyDescent="0.25">
      <c r="A35">
        <v>52</v>
      </c>
      <c r="B35" t="s">
        <v>82</v>
      </c>
      <c r="C35" t="s">
        <v>105</v>
      </c>
    </row>
    <row r="36" spans="1:3" hidden="1" x14ac:dyDescent="0.25">
      <c r="A36">
        <v>17</v>
      </c>
      <c r="B36" t="s">
        <v>82</v>
      </c>
      <c r="C36" t="s">
        <v>105</v>
      </c>
    </row>
    <row r="37" spans="1:3" hidden="1" x14ac:dyDescent="0.25">
      <c r="A37">
        <v>25</v>
      </c>
      <c r="B37" t="s">
        <v>82</v>
      </c>
      <c r="C37" t="s">
        <v>105</v>
      </c>
    </row>
    <row r="38" spans="1:3" hidden="1" x14ac:dyDescent="0.25">
      <c r="A38">
        <v>35</v>
      </c>
      <c r="B38" t="s">
        <v>82</v>
      </c>
      <c r="C38" t="s">
        <v>105</v>
      </c>
    </row>
    <row r="39" spans="1:3" hidden="1" x14ac:dyDescent="0.25">
      <c r="A39">
        <v>38</v>
      </c>
      <c r="B39" t="s">
        <v>82</v>
      </c>
      <c r="C39" t="s">
        <v>105</v>
      </c>
    </row>
    <row r="40" spans="1:3" hidden="1" x14ac:dyDescent="0.25">
      <c r="A40">
        <v>17</v>
      </c>
      <c r="B40" t="s">
        <v>82</v>
      </c>
      <c r="C40" t="s">
        <v>105</v>
      </c>
    </row>
    <row r="41" spans="1:3" hidden="1" x14ac:dyDescent="0.25">
      <c r="A41">
        <v>21</v>
      </c>
      <c r="B41" t="s">
        <v>82</v>
      </c>
      <c r="C41" t="s">
        <v>105</v>
      </c>
    </row>
    <row r="42" spans="1:3" hidden="1" x14ac:dyDescent="0.25">
      <c r="A42">
        <v>46</v>
      </c>
      <c r="B42" t="s">
        <v>82</v>
      </c>
      <c r="C42" t="s">
        <v>105</v>
      </c>
    </row>
    <row r="43" spans="1:3" hidden="1" x14ac:dyDescent="0.25">
      <c r="A43">
        <v>77</v>
      </c>
      <c r="B43" t="s">
        <v>82</v>
      </c>
      <c r="C43" t="s">
        <v>105</v>
      </c>
    </row>
    <row r="44" spans="1:3" hidden="1" x14ac:dyDescent="0.25">
      <c r="A44">
        <v>44</v>
      </c>
      <c r="B44" t="s">
        <v>82</v>
      </c>
      <c r="C44" t="s">
        <v>105</v>
      </c>
    </row>
    <row r="45" spans="1:3" hidden="1" x14ac:dyDescent="0.25">
      <c r="A45">
        <v>71</v>
      </c>
      <c r="B45" t="s">
        <v>82</v>
      </c>
      <c r="C45" t="s">
        <v>105</v>
      </c>
    </row>
    <row r="46" spans="1:3" hidden="1" x14ac:dyDescent="0.25">
      <c r="A46">
        <v>34</v>
      </c>
      <c r="B46" t="s">
        <v>82</v>
      </c>
      <c r="C46" t="s">
        <v>105</v>
      </c>
    </row>
    <row r="47" spans="1:3" hidden="1" x14ac:dyDescent="0.25">
      <c r="A47">
        <v>58</v>
      </c>
      <c r="B47" t="s">
        <v>82</v>
      </c>
      <c r="C47" t="s">
        <v>105</v>
      </c>
    </row>
    <row r="48" spans="1:3" hidden="1" x14ac:dyDescent="0.25">
      <c r="A48">
        <v>80</v>
      </c>
      <c r="B48" t="s">
        <v>82</v>
      </c>
      <c r="C48" t="s">
        <v>105</v>
      </c>
    </row>
    <row r="49" spans="1:3" hidden="1" x14ac:dyDescent="0.25">
      <c r="A49">
        <v>85</v>
      </c>
      <c r="B49" t="s">
        <v>82</v>
      </c>
      <c r="C49" t="s">
        <v>105</v>
      </c>
    </row>
    <row r="50" spans="1:3" hidden="1" x14ac:dyDescent="0.25">
      <c r="A50">
        <v>38</v>
      </c>
      <c r="B50" t="s">
        <v>82</v>
      </c>
      <c r="C50" t="s">
        <v>105</v>
      </c>
    </row>
    <row r="51" spans="1:3" hidden="1" x14ac:dyDescent="0.25">
      <c r="A51">
        <v>50</v>
      </c>
      <c r="B51" t="s">
        <v>82</v>
      </c>
      <c r="C51" t="s">
        <v>105</v>
      </c>
    </row>
    <row r="52" spans="1:3" hidden="1" x14ac:dyDescent="0.25">
      <c r="A52">
        <v>44</v>
      </c>
      <c r="B52" t="s">
        <v>82</v>
      </c>
      <c r="C52" t="s">
        <v>105</v>
      </c>
    </row>
    <row r="53" spans="1:3" x14ac:dyDescent="0.25">
      <c r="A53">
        <v>18</v>
      </c>
      <c r="B53" t="s">
        <v>82</v>
      </c>
      <c r="C53" t="s">
        <v>105</v>
      </c>
    </row>
    <row r="54" spans="1:3" hidden="1" x14ac:dyDescent="0.25">
      <c r="A54">
        <v>17</v>
      </c>
      <c r="B54" t="s">
        <v>82</v>
      </c>
      <c r="C54" t="s">
        <v>105</v>
      </c>
    </row>
    <row r="55" spans="1:3" hidden="1" x14ac:dyDescent="0.25">
      <c r="A55">
        <v>17</v>
      </c>
      <c r="B55" t="s">
        <v>82</v>
      </c>
      <c r="C55" t="s">
        <v>105</v>
      </c>
    </row>
    <row r="56" spans="1:3" hidden="1" x14ac:dyDescent="0.25">
      <c r="A56">
        <v>28</v>
      </c>
      <c r="B56" t="s">
        <v>82</v>
      </c>
      <c r="C56" t="s">
        <v>105</v>
      </c>
    </row>
    <row r="57" spans="1:3" hidden="1" x14ac:dyDescent="0.25">
      <c r="A57">
        <v>70</v>
      </c>
      <c r="B57" t="s">
        <v>82</v>
      </c>
      <c r="C57" t="s">
        <v>105</v>
      </c>
    </row>
    <row r="58" spans="1:3" hidden="1" x14ac:dyDescent="0.25">
      <c r="A58">
        <v>83</v>
      </c>
      <c r="B58" t="s">
        <v>82</v>
      </c>
      <c r="C58" t="s">
        <v>105</v>
      </c>
    </row>
    <row r="59" spans="1:3" hidden="1" x14ac:dyDescent="0.25">
      <c r="A59">
        <v>36</v>
      </c>
      <c r="B59" t="s">
        <v>82</v>
      </c>
      <c r="C59" t="s">
        <v>105</v>
      </c>
    </row>
    <row r="60" spans="1:3" x14ac:dyDescent="0.25">
      <c r="A60">
        <v>18</v>
      </c>
      <c r="B60" t="s">
        <v>82</v>
      </c>
      <c r="C60" t="s">
        <v>105</v>
      </c>
    </row>
    <row r="61" spans="1:3" hidden="1" x14ac:dyDescent="0.25">
      <c r="A61">
        <v>67</v>
      </c>
      <c r="B61" t="s">
        <v>82</v>
      </c>
      <c r="C61" t="s">
        <v>105</v>
      </c>
    </row>
    <row r="62" spans="1:3" hidden="1" x14ac:dyDescent="0.25">
      <c r="A62">
        <v>55</v>
      </c>
      <c r="B62" t="s">
        <v>81</v>
      </c>
      <c r="C62" t="s">
        <v>106</v>
      </c>
    </row>
    <row r="63" spans="1:3" hidden="1" x14ac:dyDescent="0.25">
      <c r="A63">
        <v>80</v>
      </c>
      <c r="B63" t="s">
        <v>81</v>
      </c>
      <c r="C63" t="s">
        <v>106</v>
      </c>
    </row>
    <row r="64" spans="1:3" hidden="1" x14ac:dyDescent="0.25">
      <c r="A64">
        <v>84</v>
      </c>
      <c r="B64" t="s">
        <v>81</v>
      </c>
      <c r="C64" t="s">
        <v>106</v>
      </c>
    </row>
    <row r="65" spans="1:3" hidden="1" x14ac:dyDescent="0.25">
      <c r="A65">
        <v>31</v>
      </c>
      <c r="B65" t="s">
        <v>81</v>
      </c>
      <c r="C65" t="s">
        <v>106</v>
      </c>
    </row>
    <row r="66" spans="1:3" hidden="1" x14ac:dyDescent="0.25">
      <c r="A66">
        <v>25</v>
      </c>
      <c r="B66" t="s">
        <v>81</v>
      </c>
      <c r="C66" t="s">
        <v>106</v>
      </c>
    </row>
    <row r="67" spans="1:3" hidden="1" x14ac:dyDescent="0.25">
      <c r="A67">
        <v>21</v>
      </c>
      <c r="B67" t="s">
        <v>81</v>
      </c>
      <c r="C67" t="s">
        <v>106</v>
      </c>
    </row>
    <row r="68" spans="1:3" hidden="1" x14ac:dyDescent="0.25">
      <c r="A68">
        <v>27</v>
      </c>
      <c r="B68" t="s">
        <v>81</v>
      </c>
      <c r="C68" t="s">
        <v>106</v>
      </c>
    </row>
    <row r="69" spans="1:3" hidden="1" x14ac:dyDescent="0.25">
      <c r="A69">
        <v>40</v>
      </c>
      <c r="B69" t="s">
        <v>81</v>
      </c>
      <c r="C69" t="s">
        <v>106</v>
      </c>
    </row>
    <row r="70" spans="1:3" hidden="1" x14ac:dyDescent="0.25">
      <c r="A70">
        <v>49</v>
      </c>
      <c r="B70" t="s">
        <v>81</v>
      </c>
      <c r="C70" t="s">
        <v>106</v>
      </c>
    </row>
    <row r="71" spans="1:3" hidden="1" x14ac:dyDescent="0.25">
      <c r="A71">
        <v>48</v>
      </c>
      <c r="B71" t="s">
        <v>81</v>
      </c>
      <c r="C71" t="s">
        <v>106</v>
      </c>
    </row>
    <row r="72" spans="1:3" hidden="1" x14ac:dyDescent="0.25">
      <c r="A72">
        <v>37</v>
      </c>
      <c r="B72" t="s">
        <v>81</v>
      </c>
      <c r="C72" t="s">
        <v>106</v>
      </c>
    </row>
    <row r="73" spans="1:3" hidden="1" x14ac:dyDescent="0.25">
      <c r="A73">
        <v>59</v>
      </c>
      <c r="B73" t="s">
        <v>81</v>
      </c>
      <c r="C73" t="s">
        <v>106</v>
      </c>
    </row>
    <row r="74" spans="1:3" hidden="1" x14ac:dyDescent="0.25">
      <c r="A74">
        <v>23</v>
      </c>
      <c r="B74" t="s">
        <v>81</v>
      </c>
      <c r="C74" t="s">
        <v>106</v>
      </c>
    </row>
    <row r="75" spans="1:3" hidden="1" x14ac:dyDescent="0.25">
      <c r="A75">
        <v>63</v>
      </c>
      <c r="B75" t="s">
        <v>81</v>
      </c>
      <c r="C75" t="s">
        <v>106</v>
      </c>
    </row>
    <row r="76" spans="1:3" hidden="1" x14ac:dyDescent="0.25">
      <c r="A76">
        <v>51</v>
      </c>
      <c r="B76" t="s">
        <v>81</v>
      </c>
      <c r="C76" t="s">
        <v>106</v>
      </c>
    </row>
    <row r="77" spans="1:3" hidden="1" x14ac:dyDescent="0.25">
      <c r="A77">
        <v>64</v>
      </c>
      <c r="B77" t="s">
        <v>81</v>
      </c>
      <c r="C77" t="s">
        <v>106</v>
      </c>
    </row>
    <row r="78" spans="1:3" hidden="1" x14ac:dyDescent="0.25">
      <c r="A78">
        <v>21</v>
      </c>
      <c r="B78" t="s">
        <v>81</v>
      </c>
      <c r="C78" t="s">
        <v>106</v>
      </c>
    </row>
    <row r="79" spans="1:3" hidden="1" x14ac:dyDescent="0.25">
      <c r="A79">
        <v>31</v>
      </c>
      <c r="B79" t="s">
        <v>81</v>
      </c>
      <c r="C79" t="s">
        <v>106</v>
      </c>
    </row>
    <row r="80" spans="1:3" hidden="1" x14ac:dyDescent="0.25">
      <c r="A80">
        <v>23</v>
      </c>
      <c r="B80" t="s">
        <v>81</v>
      </c>
      <c r="C80" t="s">
        <v>106</v>
      </c>
    </row>
    <row r="81" spans="1:3" hidden="1" x14ac:dyDescent="0.25">
      <c r="A81">
        <v>45</v>
      </c>
      <c r="B81" t="s">
        <v>81</v>
      </c>
      <c r="C81" t="s">
        <v>106</v>
      </c>
    </row>
    <row r="82" spans="1:3" hidden="1" x14ac:dyDescent="0.25">
      <c r="A82">
        <v>58</v>
      </c>
      <c r="B82" t="s">
        <v>81</v>
      </c>
      <c r="C82" t="s">
        <v>106</v>
      </c>
    </row>
    <row r="83" spans="1:3" hidden="1" x14ac:dyDescent="0.25">
      <c r="A83">
        <v>65</v>
      </c>
      <c r="B83" t="s">
        <v>81</v>
      </c>
      <c r="C83" t="s">
        <v>106</v>
      </c>
    </row>
    <row r="84" spans="1:3" hidden="1" x14ac:dyDescent="0.25">
      <c r="A84">
        <v>56</v>
      </c>
      <c r="B84" t="s">
        <v>81</v>
      </c>
      <c r="C84" t="s">
        <v>106</v>
      </c>
    </row>
    <row r="85" spans="1:3" hidden="1" x14ac:dyDescent="0.25">
      <c r="A85">
        <v>61</v>
      </c>
      <c r="B85" t="s">
        <v>81</v>
      </c>
      <c r="C85" t="s">
        <v>106</v>
      </c>
    </row>
    <row r="86" spans="1:3" hidden="1" x14ac:dyDescent="0.25">
      <c r="A86">
        <v>28</v>
      </c>
      <c r="B86" t="s">
        <v>81</v>
      </c>
      <c r="C86" t="s">
        <v>106</v>
      </c>
    </row>
    <row r="87" spans="1:3" hidden="1" x14ac:dyDescent="0.25">
      <c r="A87">
        <v>35</v>
      </c>
      <c r="B87" t="s">
        <v>81</v>
      </c>
      <c r="C87" t="s">
        <v>106</v>
      </c>
    </row>
    <row r="88" spans="1:3" hidden="1" x14ac:dyDescent="0.25">
      <c r="A88">
        <v>77</v>
      </c>
      <c r="B88" t="s">
        <v>81</v>
      </c>
      <c r="C88" t="s">
        <v>106</v>
      </c>
    </row>
    <row r="89" spans="1:3" hidden="1" x14ac:dyDescent="0.25">
      <c r="A89">
        <v>22</v>
      </c>
      <c r="B89" t="s">
        <v>81</v>
      </c>
      <c r="C89" t="s">
        <v>106</v>
      </c>
    </row>
    <row r="90" spans="1:3" hidden="1" x14ac:dyDescent="0.25">
      <c r="A90">
        <v>29</v>
      </c>
      <c r="B90" t="s">
        <v>81</v>
      </c>
      <c r="C90" t="s">
        <v>106</v>
      </c>
    </row>
    <row r="91" spans="1:3" hidden="1" x14ac:dyDescent="0.25">
      <c r="A91">
        <v>44</v>
      </c>
      <c r="B91" t="s">
        <v>81</v>
      </c>
      <c r="C91" t="s">
        <v>106</v>
      </c>
    </row>
    <row r="92" spans="1:3" hidden="1" x14ac:dyDescent="0.25">
      <c r="A92">
        <v>31</v>
      </c>
      <c r="B92" t="s">
        <v>81</v>
      </c>
      <c r="C92" t="s">
        <v>106</v>
      </c>
    </row>
    <row r="93" spans="1:3" hidden="1" x14ac:dyDescent="0.25">
      <c r="A93">
        <v>26</v>
      </c>
      <c r="B93" t="s">
        <v>81</v>
      </c>
      <c r="C93" t="s">
        <v>106</v>
      </c>
    </row>
    <row r="94" spans="1:3" hidden="1" x14ac:dyDescent="0.25">
      <c r="A94">
        <v>22</v>
      </c>
      <c r="B94" t="s">
        <v>81</v>
      </c>
      <c r="C94" t="s">
        <v>106</v>
      </c>
    </row>
    <row r="95" spans="1:3" hidden="1" x14ac:dyDescent="0.25">
      <c r="A95">
        <v>76</v>
      </c>
      <c r="B95" t="s">
        <v>81</v>
      </c>
      <c r="C95" t="s">
        <v>106</v>
      </c>
    </row>
    <row r="96" spans="1:3" hidden="1" x14ac:dyDescent="0.25">
      <c r="A96">
        <v>23</v>
      </c>
      <c r="B96" t="s">
        <v>81</v>
      </c>
      <c r="C96" t="s">
        <v>106</v>
      </c>
    </row>
    <row r="97" spans="1:3" hidden="1" x14ac:dyDescent="0.25">
      <c r="A97">
        <v>17</v>
      </c>
      <c r="B97" t="s">
        <v>81</v>
      </c>
      <c r="C97" t="s">
        <v>106</v>
      </c>
    </row>
    <row r="98" spans="1:3" hidden="1" x14ac:dyDescent="0.25">
      <c r="A98">
        <v>24</v>
      </c>
      <c r="B98" t="s">
        <v>81</v>
      </c>
      <c r="C98" t="s">
        <v>106</v>
      </c>
    </row>
    <row r="99" spans="1:3" hidden="1" x14ac:dyDescent="0.25">
      <c r="A99">
        <v>27</v>
      </c>
      <c r="B99" t="s">
        <v>81</v>
      </c>
      <c r="C99" t="s">
        <v>106</v>
      </c>
    </row>
    <row r="100" spans="1:3" hidden="1" x14ac:dyDescent="0.25">
      <c r="A100">
        <v>22</v>
      </c>
      <c r="B100" t="s">
        <v>81</v>
      </c>
      <c r="C100" t="s">
        <v>106</v>
      </c>
    </row>
    <row r="101" spans="1:3" hidden="1" x14ac:dyDescent="0.25">
      <c r="A101">
        <v>71</v>
      </c>
      <c r="B101" t="s">
        <v>81</v>
      </c>
      <c r="C101" t="s">
        <v>106</v>
      </c>
    </row>
    <row r="102" spans="1:3" hidden="1" x14ac:dyDescent="0.25">
      <c r="A102">
        <v>53</v>
      </c>
      <c r="B102" t="s">
        <v>81</v>
      </c>
      <c r="C102" t="s">
        <v>106</v>
      </c>
    </row>
    <row r="103" spans="1:3" hidden="1" x14ac:dyDescent="0.25">
      <c r="A103">
        <v>32</v>
      </c>
      <c r="B103" t="s">
        <v>81</v>
      </c>
      <c r="C103" t="s">
        <v>106</v>
      </c>
    </row>
    <row r="104" spans="1:3" hidden="1" x14ac:dyDescent="0.25">
      <c r="A104">
        <v>68</v>
      </c>
      <c r="B104" t="s">
        <v>81</v>
      </c>
      <c r="C104" t="s">
        <v>106</v>
      </c>
    </row>
    <row r="105" spans="1:3" hidden="1" x14ac:dyDescent="0.25">
      <c r="A105">
        <v>16</v>
      </c>
      <c r="B105" t="s">
        <v>81</v>
      </c>
      <c r="C105" t="s">
        <v>106</v>
      </c>
    </row>
    <row r="106" spans="1:3" hidden="1" x14ac:dyDescent="0.25">
      <c r="A106">
        <v>78</v>
      </c>
      <c r="B106" t="s">
        <v>81</v>
      </c>
      <c r="C106" t="s">
        <v>106</v>
      </c>
    </row>
    <row r="107" spans="1:3" hidden="1" x14ac:dyDescent="0.25">
      <c r="A107">
        <v>47</v>
      </c>
      <c r="B107" t="s">
        <v>81</v>
      </c>
      <c r="C107" t="s">
        <v>106</v>
      </c>
    </row>
    <row r="108" spans="1:3" hidden="1" x14ac:dyDescent="0.25">
      <c r="A108">
        <v>70</v>
      </c>
      <c r="B108" t="s">
        <v>81</v>
      </c>
      <c r="C108" t="s">
        <v>106</v>
      </c>
    </row>
    <row r="109" spans="1:3" hidden="1" x14ac:dyDescent="0.25">
      <c r="A109">
        <v>59</v>
      </c>
      <c r="B109" t="s">
        <v>81</v>
      </c>
      <c r="C109" t="s">
        <v>106</v>
      </c>
    </row>
    <row r="110" spans="1:3" hidden="1" x14ac:dyDescent="0.25">
      <c r="A110">
        <v>53</v>
      </c>
      <c r="B110" t="s">
        <v>81</v>
      </c>
      <c r="C110" t="s">
        <v>106</v>
      </c>
    </row>
    <row r="111" spans="1:3" hidden="1" x14ac:dyDescent="0.25">
      <c r="A111">
        <v>27</v>
      </c>
      <c r="B111" t="s">
        <v>81</v>
      </c>
      <c r="C111" t="s">
        <v>106</v>
      </c>
    </row>
    <row r="112" spans="1:3" hidden="1" x14ac:dyDescent="0.25">
      <c r="A112">
        <v>17</v>
      </c>
      <c r="B112" t="s">
        <v>81</v>
      </c>
      <c r="C112" t="s">
        <v>106</v>
      </c>
    </row>
    <row r="113" spans="1:3" hidden="1" x14ac:dyDescent="0.25">
      <c r="A113">
        <v>19</v>
      </c>
      <c r="B113" t="s">
        <v>81</v>
      </c>
      <c r="C113" t="s">
        <v>106</v>
      </c>
    </row>
    <row r="114" spans="1:3" hidden="1" x14ac:dyDescent="0.25">
      <c r="A114">
        <v>21</v>
      </c>
      <c r="B114" t="s">
        <v>81</v>
      </c>
      <c r="C114" t="s">
        <v>106</v>
      </c>
    </row>
    <row r="115" spans="1:3" hidden="1" x14ac:dyDescent="0.25">
      <c r="A115">
        <v>71</v>
      </c>
      <c r="B115" t="s">
        <v>81</v>
      </c>
      <c r="C115" t="s">
        <v>106</v>
      </c>
    </row>
    <row r="116" spans="1:3" hidden="1" x14ac:dyDescent="0.25">
      <c r="A116">
        <v>33</v>
      </c>
      <c r="B116" t="s">
        <v>81</v>
      </c>
      <c r="C116" t="s">
        <v>106</v>
      </c>
    </row>
    <row r="117" spans="1:3" hidden="1" x14ac:dyDescent="0.25">
      <c r="A117">
        <v>19</v>
      </c>
      <c r="B117" t="s">
        <v>81</v>
      </c>
      <c r="C117" t="s">
        <v>106</v>
      </c>
    </row>
    <row r="118" spans="1:3" hidden="1" x14ac:dyDescent="0.25">
      <c r="A118">
        <v>48</v>
      </c>
      <c r="B118" t="s">
        <v>81</v>
      </c>
      <c r="C118" t="s">
        <v>106</v>
      </c>
    </row>
    <row r="119" spans="1:3" hidden="1" x14ac:dyDescent="0.25">
      <c r="A119">
        <v>14</v>
      </c>
      <c r="B119" t="s">
        <v>81</v>
      </c>
      <c r="C119" t="s">
        <v>106</v>
      </c>
    </row>
    <row r="120" spans="1:3" hidden="1" x14ac:dyDescent="0.25">
      <c r="A120">
        <v>58</v>
      </c>
      <c r="B120" t="s">
        <v>81</v>
      </c>
      <c r="C120" t="s">
        <v>106</v>
      </c>
    </row>
    <row r="121" spans="1:3" hidden="1" x14ac:dyDescent="0.25">
      <c r="A121">
        <v>50</v>
      </c>
      <c r="B121" t="s">
        <v>81</v>
      </c>
      <c r="C121" t="s">
        <v>106</v>
      </c>
    </row>
    <row r="122" spans="1:3" hidden="1" x14ac:dyDescent="0.25">
      <c r="A122">
        <v>18</v>
      </c>
      <c r="B122" t="s">
        <v>81</v>
      </c>
      <c r="C122" t="s">
        <v>106</v>
      </c>
    </row>
    <row r="123" spans="1:3" hidden="1" x14ac:dyDescent="0.25">
      <c r="A123">
        <v>31</v>
      </c>
      <c r="B123" t="s">
        <v>81</v>
      </c>
      <c r="C123" t="s">
        <v>106</v>
      </c>
    </row>
    <row r="124" spans="1:3" hidden="1" x14ac:dyDescent="0.25">
      <c r="A124">
        <v>19</v>
      </c>
      <c r="B124" t="s">
        <v>81</v>
      </c>
      <c r="C124" t="s">
        <v>106</v>
      </c>
    </row>
    <row r="125" spans="1:3" hidden="1" x14ac:dyDescent="0.25">
      <c r="A125">
        <v>21</v>
      </c>
      <c r="B125" t="s">
        <v>81</v>
      </c>
      <c r="C125" t="s">
        <v>106</v>
      </c>
    </row>
    <row r="126" spans="1:3" hidden="1" x14ac:dyDescent="0.25">
      <c r="A126">
        <v>81</v>
      </c>
      <c r="B126" t="s">
        <v>81</v>
      </c>
      <c r="C126" t="s">
        <v>106</v>
      </c>
    </row>
    <row r="127" spans="1:3" hidden="1" x14ac:dyDescent="0.25">
      <c r="A127">
        <v>73</v>
      </c>
      <c r="B127" t="s">
        <v>81</v>
      </c>
      <c r="C127" t="s">
        <v>106</v>
      </c>
    </row>
    <row r="128" spans="1:3" hidden="1" x14ac:dyDescent="0.25">
      <c r="A128">
        <v>68</v>
      </c>
      <c r="B128" t="s">
        <v>81</v>
      </c>
      <c r="C128" t="s">
        <v>106</v>
      </c>
    </row>
    <row r="129" spans="1:3" hidden="1" x14ac:dyDescent="0.25">
      <c r="A129">
        <v>67</v>
      </c>
      <c r="B129" t="s">
        <v>81</v>
      </c>
      <c r="C129" t="s">
        <v>106</v>
      </c>
    </row>
    <row r="130" spans="1:3" hidden="1" x14ac:dyDescent="0.25">
      <c r="A130">
        <v>64</v>
      </c>
      <c r="B130" t="s">
        <v>81</v>
      </c>
      <c r="C130" t="s">
        <v>106</v>
      </c>
    </row>
    <row r="131" spans="1:3" hidden="1" x14ac:dyDescent="0.25">
      <c r="A131">
        <v>48</v>
      </c>
      <c r="B131" t="s">
        <v>81</v>
      </c>
      <c r="C131" t="s">
        <v>106</v>
      </c>
    </row>
    <row r="132" spans="1:3" hidden="1" x14ac:dyDescent="0.25">
      <c r="A132">
        <v>57</v>
      </c>
      <c r="B132" t="s">
        <v>81</v>
      </c>
      <c r="C132" t="s">
        <v>106</v>
      </c>
    </row>
    <row r="133" spans="1:3" hidden="1" x14ac:dyDescent="0.25">
      <c r="A133">
        <v>76</v>
      </c>
      <c r="B133" t="s">
        <v>81</v>
      </c>
      <c r="C133" t="s">
        <v>106</v>
      </c>
    </row>
    <row r="134" spans="1:3" hidden="1" x14ac:dyDescent="0.25">
      <c r="A134">
        <v>66</v>
      </c>
      <c r="B134" t="s">
        <v>81</v>
      </c>
      <c r="C134" t="s">
        <v>106</v>
      </c>
    </row>
    <row r="135" spans="1:3" hidden="1" x14ac:dyDescent="0.25">
      <c r="A135">
        <v>28</v>
      </c>
      <c r="B135" t="s">
        <v>81</v>
      </c>
      <c r="C135" t="s">
        <v>106</v>
      </c>
    </row>
    <row r="136" spans="1:3" hidden="1" x14ac:dyDescent="0.25">
      <c r="A136">
        <v>41</v>
      </c>
      <c r="B136" t="s">
        <v>81</v>
      </c>
      <c r="C136" t="s">
        <v>106</v>
      </c>
    </row>
    <row r="137" spans="1:3" hidden="1" x14ac:dyDescent="0.25">
      <c r="A137">
        <v>71</v>
      </c>
      <c r="B137" t="s">
        <v>81</v>
      </c>
      <c r="C137" t="s">
        <v>106</v>
      </c>
    </row>
    <row r="138" spans="1:3" hidden="1" x14ac:dyDescent="0.25">
      <c r="A138">
        <v>40</v>
      </c>
      <c r="B138" t="s">
        <v>81</v>
      </c>
      <c r="C138" t="s">
        <v>106</v>
      </c>
    </row>
    <row r="139" spans="1:3" hidden="1" x14ac:dyDescent="0.25">
      <c r="A139">
        <v>63</v>
      </c>
      <c r="B139" t="s">
        <v>81</v>
      </c>
      <c r="C139" t="s">
        <v>106</v>
      </c>
    </row>
    <row r="140" spans="1:3" hidden="1" x14ac:dyDescent="0.25">
      <c r="A140">
        <v>14</v>
      </c>
      <c r="B140" t="s">
        <v>81</v>
      </c>
      <c r="C140" t="s">
        <v>106</v>
      </c>
    </row>
    <row r="141" spans="1:3" hidden="1" x14ac:dyDescent="0.25">
      <c r="A141">
        <v>85</v>
      </c>
      <c r="B141" t="s">
        <v>81</v>
      </c>
      <c r="C141" t="s">
        <v>106</v>
      </c>
    </row>
    <row r="142" spans="1:3" hidden="1" x14ac:dyDescent="0.25">
      <c r="A142">
        <v>70</v>
      </c>
      <c r="B142" t="s">
        <v>81</v>
      </c>
      <c r="C142" t="s">
        <v>106</v>
      </c>
    </row>
    <row r="143" spans="1:3" hidden="1" x14ac:dyDescent="0.25">
      <c r="A143">
        <v>38</v>
      </c>
      <c r="B143" t="s">
        <v>81</v>
      </c>
      <c r="C143" t="s">
        <v>106</v>
      </c>
    </row>
    <row r="144" spans="1:3" hidden="1" x14ac:dyDescent="0.25">
      <c r="A144">
        <v>21</v>
      </c>
      <c r="B144" t="s">
        <v>81</v>
      </c>
      <c r="C144" t="s">
        <v>106</v>
      </c>
    </row>
    <row r="145" spans="1:3" hidden="1" x14ac:dyDescent="0.25">
      <c r="A145">
        <v>1</v>
      </c>
      <c r="B145" t="s">
        <v>82</v>
      </c>
      <c r="C145" t="s">
        <v>107</v>
      </c>
    </row>
    <row r="146" spans="1:3" hidden="1" x14ac:dyDescent="0.25">
      <c r="A146">
        <v>1</v>
      </c>
      <c r="B146" t="s">
        <v>81</v>
      </c>
      <c r="C146" t="s">
        <v>107</v>
      </c>
    </row>
    <row r="147" spans="1:3" hidden="1" x14ac:dyDescent="0.25">
      <c r="A147">
        <v>6</v>
      </c>
      <c r="B147" t="s">
        <v>81</v>
      </c>
      <c r="C147" t="s">
        <v>107</v>
      </c>
    </row>
    <row r="148" spans="1:3" hidden="1" x14ac:dyDescent="0.25">
      <c r="A148">
        <v>1</v>
      </c>
      <c r="B148" t="s">
        <v>82</v>
      </c>
      <c r="C148" t="s">
        <v>107</v>
      </c>
    </row>
    <row r="149" spans="1:3" hidden="1" x14ac:dyDescent="0.25">
      <c r="A149">
        <v>6</v>
      </c>
      <c r="B149" t="s">
        <v>81</v>
      </c>
      <c r="C149" t="s">
        <v>107</v>
      </c>
    </row>
    <row r="150" spans="1:3" hidden="1" x14ac:dyDescent="0.25">
      <c r="A150">
        <v>3</v>
      </c>
      <c r="B150" t="s">
        <v>82</v>
      </c>
      <c r="C150" t="s">
        <v>107</v>
      </c>
    </row>
    <row r="151" spans="1:3" hidden="1" x14ac:dyDescent="0.25">
      <c r="A151" t="s">
        <v>112</v>
      </c>
      <c r="B151" t="s">
        <v>81</v>
      </c>
      <c r="C151" t="s">
        <v>107</v>
      </c>
    </row>
    <row r="152" spans="1:3" hidden="1" x14ac:dyDescent="0.25">
      <c r="A152">
        <v>1</v>
      </c>
      <c r="B152" t="s">
        <v>81</v>
      </c>
      <c r="C152" t="s">
        <v>107</v>
      </c>
    </row>
    <row r="153" spans="1:3" hidden="1" x14ac:dyDescent="0.25">
      <c r="A153" t="s">
        <v>109</v>
      </c>
      <c r="B153" t="s">
        <v>82</v>
      </c>
      <c r="C153" t="s">
        <v>107</v>
      </c>
    </row>
    <row r="154" spans="1:3" hidden="1" x14ac:dyDescent="0.25">
      <c r="A154" t="s">
        <v>109</v>
      </c>
      <c r="B154" t="s">
        <v>82</v>
      </c>
      <c r="C154" t="s">
        <v>107</v>
      </c>
    </row>
    <row r="155" spans="1:3" hidden="1" x14ac:dyDescent="0.25">
      <c r="A155">
        <v>7</v>
      </c>
      <c r="B155" t="s">
        <v>81</v>
      </c>
      <c r="C155" t="s">
        <v>107</v>
      </c>
    </row>
    <row r="156" spans="1:3" hidden="1" x14ac:dyDescent="0.25">
      <c r="A156">
        <v>5</v>
      </c>
      <c r="B156" t="s">
        <v>82</v>
      </c>
      <c r="C156" t="s">
        <v>107</v>
      </c>
    </row>
    <row r="157" spans="1:3" hidden="1" x14ac:dyDescent="0.25">
      <c r="A157">
        <v>1</v>
      </c>
      <c r="B157" t="s">
        <v>82</v>
      </c>
      <c r="C157" t="s">
        <v>107</v>
      </c>
    </row>
    <row r="158" spans="1:3" hidden="1" x14ac:dyDescent="0.25">
      <c r="A158">
        <v>7</v>
      </c>
      <c r="B158" t="s">
        <v>82</v>
      </c>
      <c r="C158" t="s">
        <v>107</v>
      </c>
    </row>
    <row r="159" spans="1:3" hidden="1" x14ac:dyDescent="0.25">
      <c r="A159" t="s">
        <v>113</v>
      </c>
      <c r="B159" t="s">
        <v>82</v>
      </c>
      <c r="C159" t="s">
        <v>107</v>
      </c>
    </row>
    <row r="160" spans="1:3" hidden="1" x14ac:dyDescent="0.25">
      <c r="A160">
        <v>7</v>
      </c>
      <c r="B160" t="s">
        <v>82</v>
      </c>
      <c r="C160" t="s">
        <v>107</v>
      </c>
    </row>
    <row r="161" spans="1:3" hidden="1" x14ac:dyDescent="0.25">
      <c r="A161">
        <v>7</v>
      </c>
      <c r="B161" t="s">
        <v>82</v>
      </c>
      <c r="C161" t="s">
        <v>107</v>
      </c>
    </row>
    <row r="162" spans="1:3" hidden="1" x14ac:dyDescent="0.25">
      <c r="A162">
        <v>1</v>
      </c>
      <c r="B162" t="s">
        <v>82</v>
      </c>
      <c r="C162" t="s">
        <v>107</v>
      </c>
    </row>
    <row r="163" spans="1:3" hidden="1" x14ac:dyDescent="0.25">
      <c r="A163">
        <v>2</v>
      </c>
      <c r="B163" t="s">
        <v>81</v>
      </c>
      <c r="C163" t="s">
        <v>107</v>
      </c>
    </row>
    <row r="164" spans="1:3" hidden="1" x14ac:dyDescent="0.25">
      <c r="A164" t="s">
        <v>111</v>
      </c>
      <c r="B164" t="s">
        <v>82</v>
      </c>
      <c r="C164" t="s">
        <v>107</v>
      </c>
    </row>
    <row r="165" spans="1:3" hidden="1" x14ac:dyDescent="0.25">
      <c r="A165">
        <v>1</v>
      </c>
      <c r="B165" t="s">
        <v>81</v>
      </c>
      <c r="C165" t="s">
        <v>107</v>
      </c>
    </row>
    <row r="166" spans="1:3" hidden="1" x14ac:dyDescent="0.25">
      <c r="A166" t="s">
        <v>108</v>
      </c>
      <c r="B166" t="s">
        <v>82</v>
      </c>
      <c r="C166" t="s">
        <v>107</v>
      </c>
    </row>
    <row r="167" spans="1:3" hidden="1" x14ac:dyDescent="0.25">
      <c r="A167" t="s">
        <v>113</v>
      </c>
      <c r="B167" t="s">
        <v>81</v>
      </c>
      <c r="C167" t="s">
        <v>107</v>
      </c>
    </row>
    <row r="168" spans="1:3" hidden="1" x14ac:dyDescent="0.25">
      <c r="A168">
        <v>11</v>
      </c>
      <c r="B168" t="s">
        <v>82</v>
      </c>
      <c r="C168" t="s">
        <v>107</v>
      </c>
    </row>
    <row r="169" spans="1:3" hidden="1" x14ac:dyDescent="0.25">
      <c r="A169">
        <v>12</v>
      </c>
      <c r="B169" t="s">
        <v>81</v>
      </c>
      <c r="C169" t="s">
        <v>107</v>
      </c>
    </row>
    <row r="170" spans="1:3" hidden="1" x14ac:dyDescent="0.25">
      <c r="A170">
        <v>2</v>
      </c>
      <c r="B170" t="s">
        <v>82</v>
      </c>
      <c r="C170" t="s">
        <v>107</v>
      </c>
    </row>
    <row r="171" spans="1:3" hidden="1" x14ac:dyDescent="0.25">
      <c r="A171">
        <v>1</v>
      </c>
      <c r="B171" t="s">
        <v>81</v>
      </c>
      <c r="C171" t="s">
        <v>107</v>
      </c>
    </row>
    <row r="172" spans="1:3" hidden="1" x14ac:dyDescent="0.25">
      <c r="A172">
        <v>2</v>
      </c>
      <c r="B172" t="s">
        <v>81</v>
      </c>
      <c r="C172" t="s">
        <v>107</v>
      </c>
    </row>
    <row r="173" spans="1:3" hidden="1" x14ac:dyDescent="0.25">
      <c r="A173">
        <v>1</v>
      </c>
      <c r="B173" t="s">
        <v>82</v>
      </c>
      <c r="C173" t="s">
        <v>107</v>
      </c>
    </row>
    <row r="174" spans="1:3" hidden="1" x14ac:dyDescent="0.25">
      <c r="A174">
        <v>1</v>
      </c>
      <c r="B174" t="s">
        <v>82</v>
      </c>
      <c r="C174" t="s">
        <v>107</v>
      </c>
    </row>
    <row r="175" spans="1:3" hidden="1" x14ac:dyDescent="0.25">
      <c r="A175">
        <v>2</v>
      </c>
      <c r="B175" t="s">
        <v>81</v>
      </c>
      <c r="C175" t="s">
        <v>107</v>
      </c>
    </row>
    <row r="176" spans="1:3" hidden="1" x14ac:dyDescent="0.25">
      <c r="A176" t="s">
        <v>108</v>
      </c>
      <c r="B176" t="s">
        <v>81</v>
      </c>
      <c r="C176" t="s">
        <v>107</v>
      </c>
    </row>
    <row r="177" spans="1:3" hidden="1" x14ac:dyDescent="0.25">
      <c r="A177">
        <v>1</v>
      </c>
      <c r="B177" t="s">
        <v>82</v>
      </c>
      <c r="C177" t="s">
        <v>107</v>
      </c>
    </row>
    <row r="178" spans="1:3" hidden="1" x14ac:dyDescent="0.25">
      <c r="A178" t="s">
        <v>108</v>
      </c>
      <c r="B178" t="s">
        <v>81</v>
      </c>
      <c r="C178" t="s">
        <v>107</v>
      </c>
    </row>
    <row r="179" spans="1:3" hidden="1" x14ac:dyDescent="0.25">
      <c r="A179">
        <v>1</v>
      </c>
      <c r="B179" t="s">
        <v>82</v>
      </c>
      <c r="C179" t="s">
        <v>107</v>
      </c>
    </row>
    <row r="180" spans="1:3" hidden="1" x14ac:dyDescent="0.25">
      <c r="A180">
        <v>11</v>
      </c>
      <c r="B180" t="s">
        <v>82</v>
      </c>
      <c r="C180" t="s">
        <v>107</v>
      </c>
    </row>
    <row r="181" spans="1:3" hidden="1" x14ac:dyDescent="0.25">
      <c r="A181" t="s">
        <v>108</v>
      </c>
      <c r="B181" t="s">
        <v>82</v>
      </c>
      <c r="C181" t="s">
        <v>107</v>
      </c>
    </row>
    <row r="182" spans="1:3" hidden="1" x14ac:dyDescent="0.25">
      <c r="A182">
        <v>6</v>
      </c>
      <c r="B182" t="s">
        <v>82</v>
      </c>
      <c r="C182" t="s">
        <v>107</v>
      </c>
    </row>
    <row r="183" spans="1:3" hidden="1" x14ac:dyDescent="0.25">
      <c r="A183">
        <v>1</v>
      </c>
      <c r="B183" t="s">
        <v>82</v>
      </c>
      <c r="C183" t="s">
        <v>107</v>
      </c>
    </row>
    <row r="184" spans="1:3" hidden="1" x14ac:dyDescent="0.25">
      <c r="A184">
        <v>2</v>
      </c>
      <c r="B184" t="s">
        <v>81</v>
      </c>
      <c r="C184" t="s">
        <v>107</v>
      </c>
    </row>
    <row r="185" spans="1:3" hidden="1" x14ac:dyDescent="0.25">
      <c r="A185" t="s">
        <v>115</v>
      </c>
      <c r="B185" t="s">
        <v>82</v>
      </c>
      <c r="C185" t="s">
        <v>107</v>
      </c>
    </row>
    <row r="186" spans="1:3" hidden="1" x14ac:dyDescent="0.25">
      <c r="A186">
        <v>1</v>
      </c>
      <c r="B186" t="s">
        <v>82</v>
      </c>
      <c r="C186" t="s">
        <v>107</v>
      </c>
    </row>
    <row r="187" spans="1:3" hidden="1" x14ac:dyDescent="0.25">
      <c r="A187">
        <v>4</v>
      </c>
      <c r="B187" t="s">
        <v>82</v>
      </c>
      <c r="C187" t="s">
        <v>107</v>
      </c>
    </row>
    <row r="188" spans="1:3" hidden="1" x14ac:dyDescent="0.25">
      <c r="A188">
        <v>12</v>
      </c>
      <c r="B188" t="s">
        <v>81</v>
      </c>
      <c r="C188" t="s">
        <v>107</v>
      </c>
    </row>
    <row r="189" spans="1:3" hidden="1" x14ac:dyDescent="0.25">
      <c r="A189">
        <v>1</v>
      </c>
      <c r="B189" t="s">
        <v>82</v>
      </c>
      <c r="C189" t="s">
        <v>107</v>
      </c>
    </row>
    <row r="190" spans="1:3" hidden="1" x14ac:dyDescent="0.25">
      <c r="A190">
        <v>2</v>
      </c>
      <c r="B190" t="s">
        <v>81</v>
      </c>
      <c r="C190" t="s">
        <v>107</v>
      </c>
    </row>
    <row r="191" spans="1:3" hidden="1" x14ac:dyDescent="0.25">
      <c r="A191" t="s">
        <v>110</v>
      </c>
      <c r="B191" t="s">
        <v>82</v>
      </c>
      <c r="C191" t="s">
        <v>107</v>
      </c>
    </row>
    <row r="192" spans="1:3" hidden="1" x14ac:dyDescent="0.25">
      <c r="A192">
        <v>8</v>
      </c>
      <c r="B192" t="s">
        <v>81</v>
      </c>
      <c r="C192" t="s">
        <v>107</v>
      </c>
    </row>
    <row r="193" spans="1:3" hidden="1" x14ac:dyDescent="0.25">
      <c r="A193">
        <v>1</v>
      </c>
      <c r="B193" t="s">
        <v>81</v>
      </c>
      <c r="C193" t="s">
        <v>107</v>
      </c>
    </row>
    <row r="194" spans="1:3" hidden="1" x14ac:dyDescent="0.25">
      <c r="A194" t="s">
        <v>110</v>
      </c>
      <c r="B194" t="s">
        <v>82</v>
      </c>
      <c r="C194" t="s">
        <v>107</v>
      </c>
    </row>
    <row r="195" spans="1:3" hidden="1" x14ac:dyDescent="0.25">
      <c r="A195" t="s">
        <v>115</v>
      </c>
      <c r="B195" t="s">
        <v>82</v>
      </c>
      <c r="C195" t="s">
        <v>107</v>
      </c>
    </row>
    <row r="196" spans="1:3" hidden="1" x14ac:dyDescent="0.25">
      <c r="A196">
        <v>1</v>
      </c>
      <c r="B196" t="s">
        <v>82</v>
      </c>
      <c r="C196" t="s">
        <v>107</v>
      </c>
    </row>
    <row r="197" spans="1:3" hidden="1" x14ac:dyDescent="0.25">
      <c r="A197" t="s">
        <v>113</v>
      </c>
      <c r="B197" t="s">
        <v>81</v>
      </c>
      <c r="C197" t="s">
        <v>107</v>
      </c>
    </row>
    <row r="198" spans="1:3" hidden="1" x14ac:dyDescent="0.25">
      <c r="A198">
        <v>1</v>
      </c>
      <c r="B198" t="s">
        <v>81</v>
      </c>
      <c r="C198" t="s">
        <v>107</v>
      </c>
    </row>
    <row r="199" spans="1:3" hidden="1" x14ac:dyDescent="0.25">
      <c r="A199" t="s">
        <v>115</v>
      </c>
      <c r="B199" t="s">
        <v>82</v>
      </c>
      <c r="C199" t="s">
        <v>107</v>
      </c>
    </row>
    <row r="200" spans="1:3" hidden="1" x14ac:dyDescent="0.25">
      <c r="A200">
        <v>1</v>
      </c>
      <c r="B200" t="s">
        <v>81</v>
      </c>
      <c r="C200" t="s">
        <v>107</v>
      </c>
    </row>
    <row r="201" spans="1:3" hidden="1" x14ac:dyDescent="0.25">
      <c r="A201" t="s">
        <v>115</v>
      </c>
      <c r="B201" t="s">
        <v>82</v>
      </c>
      <c r="C201" t="s">
        <v>107</v>
      </c>
    </row>
    <row r="202" spans="1:3" hidden="1" x14ac:dyDescent="0.25">
      <c r="A202">
        <v>9</v>
      </c>
      <c r="B202" t="s">
        <v>82</v>
      </c>
      <c r="C202" t="s">
        <v>107</v>
      </c>
    </row>
    <row r="203" spans="1:3" hidden="1" x14ac:dyDescent="0.25">
      <c r="A203">
        <v>38</v>
      </c>
      <c r="B203" t="s">
        <v>81</v>
      </c>
      <c r="C203" t="s">
        <v>130</v>
      </c>
    </row>
    <row r="204" spans="1:3" hidden="1" x14ac:dyDescent="0.25">
      <c r="A204">
        <v>24</v>
      </c>
      <c r="B204" t="s">
        <v>81</v>
      </c>
      <c r="C204" t="s">
        <v>130</v>
      </c>
    </row>
    <row r="205" spans="1:3" hidden="1" x14ac:dyDescent="0.25">
      <c r="A205">
        <v>21</v>
      </c>
      <c r="B205" t="s">
        <v>81</v>
      </c>
      <c r="C205" t="s">
        <v>130</v>
      </c>
    </row>
    <row r="206" spans="1:3" hidden="1" x14ac:dyDescent="0.25">
      <c r="A206">
        <v>23</v>
      </c>
      <c r="B206" t="s">
        <v>81</v>
      </c>
      <c r="C206" t="s">
        <v>130</v>
      </c>
    </row>
    <row r="207" spans="1:3" hidden="1" x14ac:dyDescent="0.25">
      <c r="A207">
        <v>30</v>
      </c>
      <c r="B207" t="s">
        <v>81</v>
      </c>
      <c r="C207" t="s">
        <v>130</v>
      </c>
    </row>
    <row r="208" spans="1:3" hidden="1" x14ac:dyDescent="0.25">
      <c r="A208">
        <v>25</v>
      </c>
      <c r="B208" t="s">
        <v>81</v>
      </c>
      <c r="C208" t="s">
        <v>130</v>
      </c>
    </row>
    <row r="209" spans="1:3" hidden="1" x14ac:dyDescent="0.25">
      <c r="A209">
        <v>31</v>
      </c>
      <c r="B209" t="s">
        <v>81</v>
      </c>
      <c r="C209" t="s">
        <v>130</v>
      </c>
    </row>
    <row r="210" spans="1:3" hidden="1" x14ac:dyDescent="0.25">
      <c r="A210">
        <v>19</v>
      </c>
      <c r="B210" t="s">
        <v>81</v>
      </c>
      <c r="C210" t="s">
        <v>130</v>
      </c>
    </row>
    <row r="211" spans="1:3" hidden="1" x14ac:dyDescent="0.25">
      <c r="A211">
        <v>41</v>
      </c>
      <c r="B211" t="s">
        <v>81</v>
      </c>
      <c r="C211" t="s">
        <v>130</v>
      </c>
    </row>
    <row r="212" spans="1:3" hidden="1" x14ac:dyDescent="0.25">
      <c r="A212">
        <v>37</v>
      </c>
      <c r="B212" t="s">
        <v>81</v>
      </c>
      <c r="C212" t="s">
        <v>130</v>
      </c>
    </row>
    <row r="213" spans="1:3" hidden="1" x14ac:dyDescent="0.25">
      <c r="A213">
        <v>28</v>
      </c>
      <c r="B213" t="s">
        <v>81</v>
      </c>
      <c r="C213" t="s">
        <v>130</v>
      </c>
    </row>
    <row r="214" spans="1:3" hidden="1" x14ac:dyDescent="0.25">
      <c r="A214">
        <v>31</v>
      </c>
      <c r="B214" t="s">
        <v>81</v>
      </c>
      <c r="C214" t="s">
        <v>130</v>
      </c>
    </row>
    <row r="215" spans="1:3" hidden="1" x14ac:dyDescent="0.25">
      <c r="A215">
        <v>38</v>
      </c>
      <c r="B215" t="s">
        <v>81</v>
      </c>
      <c r="C215" t="s">
        <v>130</v>
      </c>
    </row>
    <row r="216" spans="1:3" hidden="1" x14ac:dyDescent="0.25">
      <c r="A216">
        <v>24</v>
      </c>
      <c r="B216" t="s">
        <v>81</v>
      </c>
      <c r="C216" t="s">
        <v>130</v>
      </c>
    </row>
    <row r="217" spans="1:3" hidden="1" x14ac:dyDescent="0.25">
      <c r="A217">
        <v>35</v>
      </c>
      <c r="B217" t="s">
        <v>81</v>
      </c>
      <c r="C217" t="s">
        <v>130</v>
      </c>
    </row>
    <row r="218" spans="1:3" hidden="1" x14ac:dyDescent="0.25">
      <c r="A218">
        <v>20</v>
      </c>
      <c r="B218" t="s">
        <v>81</v>
      </c>
      <c r="C218" t="s">
        <v>130</v>
      </c>
    </row>
    <row r="219" spans="1:3" hidden="1" x14ac:dyDescent="0.25">
      <c r="A219">
        <v>26</v>
      </c>
      <c r="B219" t="s">
        <v>81</v>
      </c>
      <c r="C219" t="s">
        <v>130</v>
      </c>
    </row>
    <row r="220" spans="1:3" hidden="1" x14ac:dyDescent="0.25">
      <c r="A220">
        <v>19</v>
      </c>
      <c r="B220" t="s">
        <v>81</v>
      </c>
      <c r="C220" t="s">
        <v>130</v>
      </c>
    </row>
    <row r="221" spans="1:3" hidden="1" x14ac:dyDescent="0.25">
      <c r="A221">
        <v>22</v>
      </c>
      <c r="B221" t="s">
        <v>81</v>
      </c>
      <c r="C221" t="s">
        <v>130</v>
      </c>
    </row>
    <row r="222" spans="1:3" hidden="1" x14ac:dyDescent="0.25">
      <c r="A222">
        <v>28</v>
      </c>
      <c r="B222" t="s">
        <v>81</v>
      </c>
      <c r="C222" t="s">
        <v>130</v>
      </c>
    </row>
    <row r="223" spans="1:3" hidden="1" x14ac:dyDescent="0.25">
      <c r="A223">
        <v>70</v>
      </c>
      <c r="B223" t="s">
        <v>81</v>
      </c>
      <c r="C223" t="s">
        <v>130</v>
      </c>
    </row>
    <row r="224" spans="1:3" hidden="1" x14ac:dyDescent="0.25">
      <c r="A224">
        <v>35</v>
      </c>
      <c r="B224" t="s">
        <v>81</v>
      </c>
      <c r="C224" t="s">
        <v>130</v>
      </c>
    </row>
    <row r="225" spans="1:3" hidden="1" x14ac:dyDescent="0.25">
      <c r="A225">
        <v>23</v>
      </c>
      <c r="B225" t="s">
        <v>81</v>
      </c>
      <c r="C225" t="s">
        <v>130</v>
      </c>
    </row>
    <row r="226" spans="1:3" hidden="1" x14ac:dyDescent="0.25">
      <c r="A226">
        <v>22</v>
      </c>
      <c r="B226" t="s">
        <v>81</v>
      </c>
      <c r="C226" t="s">
        <v>130</v>
      </c>
    </row>
    <row r="227" spans="1:3" hidden="1" x14ac:dyDescent="0.25">
      <c r="A227">
        <v>38</v>
      </c>
      <c r="B227" t="s">
        <v>81</v>
      </c>
      <c r="C227" t="s">
        <v>130</v>
      </c>
    </row>
    <row r="228" spans="1:3" hidden="1" x14ac:dyDescent="0.25">
      <c r="A228">
        <v>33</v>
      </c>
      <c r="B228" t="s">
        <v>81</v>
      </c>
      <c r="C228" t="s">
        <v>130</v>
      </c>
    </row>
    <row r="229" spans="1:3" hidden="1" x14ac:dyDescent="0.25">
      <c r="A229">
        <v>33</v>
      </c>
      <c r="B229" t="s">
        <v>81</v>
      </c>
      <c r="C229" t="s">
        <v>130</v>
      </c>
    </row>
    <row r="230" spans="1:3" hidden="1" x14ac:dyDescent="0.25">
      <c r="A230">
        <v>14</v>
      </c>
      <c r="B230" t="s">
        <v>81</v>
      </c>
      <c r="C230" t="s">
        <v>130</v>
      </c>
    </row>
    <row r="231" spans="1:3" hidden="1" x14ac:dyDescent="0.25">
      <c r="A231">
        <v>32</v>
      </c>
      <c r="B231" t="s">
        <v>81</v>
      </c>
      <c r="C231" t="s">
        <v>130</v>
      </c>
    </row>
    <row r="232" spans="1:3" hidden="1" x14ac:dyDescent="0.25">
      <c r="A232">
        <v>23</v>
      </c>
      <c r="B232" t="s">
        <v>81</v>
      </c>
      <c r="C232" t="s">
        <v>130</v>
      </c>
    </row>
    <row r="233" spans="1:3" hidden="1" x14ac:dyDescent="0.25">
      <c r="A233">
        <v>38</v>
      </c>
      <c r="B233" t="s">
        <v>81</v>
      </c>
      <c r="C233" t="s">
        <v>130</v>
      </c>
    </row>
    <row r="234" spans="1:3" hidden="1" x14ac:dyDescent="0.25">
      <c r="A234">
        <v>28</v>
      </c>
      <c r="B234" t="s">
        <v>81</v>
      </c>
      <c r="C234" t="s">
        <v>130</v>
      </c>
    </row>
    <row r="235" spans="1:3" hidden="1" x14ac:dyDescent="0.25">
      <c r="A235">
        <v>32</v>
      </c>
      <c r="B235" t="s">
        <v>81</v>
      </c>
      <c r="C235" t="s">
        <v>130</v>
      </c>
    </row>
    <row r="236" spans="1:3" hidden="1" x14ac:dyDescent="0.25">
      <c r="A236">
        <v>36</v>
      </c>
      <c r="B236" t="s">
        <v>81</v>
      </c>
      <c r="C236" t="s">
        <v>130</v>
      </c>
    </row>
    <row r="237" spans="1:3" hidden="1" x14ac:dyDescent="0.25">
      <c r="A237">
        <v>65</v>
      </c>
      <c r="B237" t="s">
        <v>81</v>
      </c>
      <c r="C237" t="s">
        <v>130</v>
      </c>
    </row>
    <row r="238" spans="1:3" hidden="1" x14ac:dyDescent="0.25">
      <c r="A238">
        <v>25</v>
      </c>
      <c r="B238" t="s">
        <v>81</v>
      </c>
      <c r="C238" t="s">
        <v>130</v>
      </c>
    </row>
    <row r="239" spans="1:3" hidden="1" x14ac:dyDescent="0.25">
      <c r="A239">
        <v>31</v>
      </c>
      <c r="B239" t="s">
        <v>81</v>
      </c>
      <c r="C239" t="s">
        <v>130</v>
      </c>
    </row>
    <row r="240" spans="1:3" hidden="1" x14ac:dyDescent="0.25">
      <c r="A240">
        <v>31</v>
      </c>
      <c r="B240" t="s">
        <v>81</v>
      </c>
      <c r="C240" t="s">
        <v>130</v>
      </c>
    </row>
    <row r="241" spans="1:3" hidden="1" x14ac:dyDescent="0.25">
      <c r="A241">
        <v>35</v>
      </c>
      <c r="B241" t="s">
        <v>81</v>
      </c>
      <c r="C241" t="s">
        <v>130</v>
      </c>
    </row>
    <row r="242" spans="1:3" hidden="1" x14ac:dyDescent="0.25">
      <c r="A242">
        <v>37</v>
      </c>
      <c r="B242" t="s">
        <v>81</v>
      </c>
      <c r="C242" t="s">
        <v>130</v>
      </c>
    </row>
    <row r="243" spans="1:3" hidden="1" x14ac:dyDescent="0.25">
      <c r="A243">
        <v>32</v>
      </c>
      <c r="B243" t="s">
        <v>81</v>
      </c>
      <c r="C243" t="s">
        <v>130</v>
      </c>
    </row>
    <row r="244" spans="1:3" hidden="1" x14ac:dyDescent="0.25">
      <c r="A244">
        <v>81</v>
      </c>
      <c r="B244" t="s">
        <v>81</v>
      </c>
      <c r="C244" t="s">
        <v>130</v>
      </c>
    </row>
    <row r="245" spans="1:3" hidden="1" x14ac:dyDescent="0.25">
      <c r="A245">
        <v>31</v>
      </c>
      <c r="B245" t="s">
        <v>81</v>
      </c>
      <c r="C245" t="s">
        <v>130</v>
      </c>
    </row>
    <row r="246" spans="1:3" hidden="1" x14ac:dyDescent="0.25">
      <c r="A246">
        <v>23</v>
      </c>
      <c r="B246" t="s">
        <v>81</v>
      </c>
      <c r="C246" t="s">
        <v>130</v>
      </c>
    </row>
    <row r="247" spans="1:3" hidden="1" x14ac:dyDescent="0.25">
      <c r="A247">
        <v>35</v>
      </c>
      <c r="B247" t="s">
        <v>81</v>
      </c>
      <c r="C247" t="s">
        <v>130</v>
      </c>
    </row>
    <row r="248" spans="1:3" hidden="1" x14ac:dyDescent="0.25">
      <c r="A248">
        <v>33</v>
      </c>
      <c r="B248" t="s">
        <v>81</v>
      </c>
      <c r="C248" t="s">
        <v>130</v>
      </c>
    </row>
    <row r="249" spans="1:3" hidden="1" x14ac:dyDescent="0.25">
      <c r="A249">
        <v>38</v>
      </c>
      <c r="B249" t="s">
        <v>81</v>
      </c>
      <c r="C249" t="s">
        <v>130</v>
      </c>
    </row>
    <row r="250" spans="1:3" hidden="1" x14ac:dyDescent="0.25">
      <c r="A250">
        <v>25</v>
      </c>
      <c r="B250" t="s">
        <v>81</v>
      </c>
      <c r="C250" t="s">
        <v>130</v>
      </c>
    </row>
    <row r="251" spans="1:3" hidden="1" x14ac:dyDescent="0.25">
      <c r="A251">
        <v>82</v>
      </c>
      <c r="B251" t="s">
        <v>81</v>
      </c>
      <c r="C251" t="s">
        <v>130</v>
      </c>
    </row>
    <row r="252" spans="1:3" hidden="1" x14ac:dyDescent="0.25">
      <c r="A252">
        <v>33</v>
      </c>
      <c r="B252" t="s">
        <v>81</v>
      </c>
      <c r="C252" t="s">
        <v>130</v>
      </c>
    </row>
    <row r="253" spans="1:3" hidden="1" x14ac:dyDescent="0.25">
      <c r="A253">
        <v>24</v>
      </c>
      <c r="B253" t="s">
        <v>81</v>
      </c>
      <c r="C253" t="s">
        <v>130</v>
      </c>
    </row>
    <row r="254" spans="1:3" hidden="1" x14ac:dyDescent="0.25">
      <c r="A254">
        <v>20</v>
      </c>
      <c r="B254" t="s">
        <v>81</v>
      </c>
      <c r="C254" t="s">
        <v>130</v>
      </c>
    </row>
    <row r="255" spans="1:3" hidden="1" x14ac:dyDescent="0.25">
      <c r="A255">
        <v>70</v>
      </c>
      <c r="B255" t="s">
        <v>81</v>
      </c>
      <c r="C255" t="s">
        <v>130</v>
      </c>
    </row>
    <row r="256" spans="1:3" hidden="1" x14ac:dyDescent="0.25">
      <c r="A256">
        <v>31</v>
      </c>
      <c r="B256" t="s">
        <v>81</v>
      </c>
      <c r="C256" t="s">
        <v>130</v>
      </c>
    </row>
    <row r="257" spans="1:3" hidden="1" x14ac:dyDescent="0.25">
      <c r="A257">
        <v>29</v>
      </c>
      <c r="B257" t="s">
        <v>81</v>
      </c>
      <c r="C257" t="s">
        <v>130</v>
      </c>
    </row>
    <row r="258" spans="1:3" hidden="1" x14ac:dyDescent="0.25">
      <c r="A258">
        <v>35</v>
      </c>
      <c r="B258" t="s">
        <v>81</v>
      </c>
      <c r="C258" t="s">
        <v>130</v>
      </c>
    </row>
    <row r="259" spans="1:3" hidden="1" x14ac:dyDescent="0.25">
      <c r="A259">
        <v>70</v>
      </c>
      <c r="B259" t="s">
        <v>81</v>
      </c>
      <c r="C259" t="s">
        <v>130</v>
      </c>
    </row>
    <row r="260" spans="1:3" hidden="1" x14ac:dyDescent="0.25">
      <c r="A260">
        <v>36</v>
      </c>
      <c r="B260" t="s">
        <v>81</v>
      </c>
      <c r="C260" t="s">
        <v>130</v>
      </c>
    </row>
    <row r="261" spans="1:3" hidden="1" x14ac:dyDescent="0.25">
      <c r="A261">
        <v>34</v>
      </c>
      <c r="B261" t="s">
        <v>81</v>
      </c>
      <c r="C261" t="s">
        <v>130</v>
      </c>
    </row>
    <row r="262" spans="1:3" hidden="1" x14ac:dyDescent="0.25">
      <c r="A262">
        <v>33</v>
      </c>
      <c r="B262" t="s">
        <v>81</v>
      </c>
      <c r="C262" t="s">
        <v>130</v>
      </c>
    </row>
    <row r="263" spans="1:3" hidden="1" x14ac:dyDescent="0.25">
      <c r="A263">
        <v>31</v>
      </c>
      <c r="B263" t="s">
        <v>81</v>
      </c>
      <c r="C263" t="s">
        <v>130</v>
      </c>
    </row>
    <row r="264" spans="1:3" hidden="1" x14ac:dyDescent="0.25">
      <c r="A264">
        <v>27</v>
      </c>
      <c r="B264" t="s">
        <v>81</v>
      </c>
      <c r="C264" t="s">
        <v>130</v>
      </c>
    </row>
    <row r="265" spans="1:3" hidden="1" x14ac:dyDescent="0.25">
      <c r="A265">
        <v>26</v>
      </c>
      <c r="B265" t="s">
        <v>81</v>
      </c>
      <c r="C265" t="s">
        <v>130</v>
      </c>
    </row>
    <row r="266" spans="1:3" hidden="1" x14ac:dyDescent="0.25">
      <c r="A266">
        <v>33</v>
      </c>
      <c r="B266" t="s">
        <v>81</v>
      </c>
      <c r="C266" t="s">
        <v>130</v>
      </c>
    </row>
    <row r="267" spans="1:3" hidden="1" x14ac:dyDescent="0.25">
      <c r="A267">
        <v>14</v>
      </c>
      <c r="B267" t="s">
        <v>81</v>
      </c>
      <c r="C267" t="s">
        <v>130</v>
      </c>
    </row>
    <row r="268" spans="1:3" hidden="1" x14ac:dyDescent="0.25">
      <c r="A268">
        <v>28</v>
      </c>
      <c r="B268" t="s">
        <v>81</v>
      </c>
      <c r="C268" t="s">
        <v>130</v>
      </c>
    </row>
    <row r="269" spans="1:3" hidden="1" x14ac:dyDescent="0.25">
      <c r="A269">
        <v>25</v>
      </c>
      <c r="B269" t="s">
        <v>98</v>
      </c>
      <c r="C269" t="s">
        <v>131</v>
      </c>
    </row>
    <row r="270" spans="1:3" hidden="1" x14ac:dyDescent="0.25">
      <c r="A270">
        <v>39</v>
      </c>
      <c r="B270" t="s">
        <v>98</v>
      </c>
      <c r="C270" t="s">
        <v>131</v>
      </c>
    </row>
    <row r="271" spans="1:3" hidden="1" x14ac:dyDescent="0.25">
      <c r="A271">
        <v>26</v>
      </c>
      <c r="B271" t="s">
        <v>98</v>
      </c>
      <c r="C271" t="s">
        <v>131</v>
      </c>
    </row>
    <row r="272" spans="1:3" hidden="1" x14ac:dyDescent="0.25">
      <c r="A272">
        <v>23</v>
      </c>
      <c r="B272" t="s">
        <v>98</v>
      </c>
      <c r="C272" t="s">
        <v>131</v>
      </c>
    </row>
    <row r="273" spans="1:3" hidden="1" x14ac:dyDescent="0.25">
      <c r="A273">
        <v>31</v>
      </c>
      <c r="B273" t="s">
        <v>98</v>
      </c>
      <c r="C273" t="s">
        <v>131</v>
      </c>
    </row>
    <row r="274" spans="1:3" hidden="1" x14ac:dyDescent="0.25">
      <c r="A274">
        <v>33</v>
      </c>
      <c r="B274" t="s">
        <v>98</v>
      </c>
      <c r="C274" t="s">
        <v>131</v>
      </c>
    </row>
    <row r="275" spans="1:3" hidden="1" x14ac:dyDescent="0.25">
      <c r="A275">
        <v>40</v>
      </c>
      <c r="B275" t="s">
        <v>98</v>
      </c>
      <c r="C275" t="s">
        <v>131</v>
      </c>
    </row>
    <row r="276" spans="1:3" hidden="1" x14ac:dyDescent="0.25">
      <c r="A276">
        <v>25</v>
      </c>
      <c r="B276" t="s">
        <v>98</v>
      </c>
      <c r="C276" t="s">
        <v>131</v>
      </c>
    </row>
    <row r="277" spans="1:3" hidden="1" x14ac:dyDescent="0.25">
      <c r="A277">
        <v>36</v>
      </c>
      <c r="B277" t="s">
        <v>98</v>
      </c>
      <c r="C277" t="s">
        <v>131</v>
      </c>
    </row>
    <row r="278" spans="1:3" hidden="1" x14ac:dyDescent="0.25">
      <c r="A278">
        <v>25</v>
      </c>
      <c r="B278" t="s">
        <v>98</v>
      </c>
      <c r="C278" t="s">
        <v>131</v>
      </c>
    </row>
    <row r="279" spans="1:3" hidden="1" x14ac:dyDescent="0.25">
      <c r="A279">
        <v>44</v>
      </c>
      <c r="B279" t="s">
        <v>98</v>
      </c>
      <c r="C279" t="s">
        <v>131</v>
      </c>
    </row>
    <row r="280" spans="1:3" hidden="1" x14ac:dyDescent="0.25">
      <c r="A280">
        <v>33</v>
      </c>
      <c r="B280" t="s">
        <v>98</v>
      </c>
      <c r="C280" t="s">
        <v>131</v>
      </c>
    </row>
    <row r="281" spans="1:3" hidden="1" x14ac:dyDescent="0.25">
      <c r="A281">
        <v>32</v>
      </c>
      <c r="B281" t="s">
        <v>98</v>
      </c>
      <c r="C281" t="s">
        <v>131</v>
      </c>
    </row>
    <row r="282" spans="1:3" hidden="1" x14ac:dyDescent="0.25">
      <c r="A282">
        <v>32</v>
      </c>
      <c r="B282" t="s">
        <v>98</v>
      </c>
      <c r="C282" t="s">
        <v>131</v>
      </c>
    </row>
    <row r="283" spans="1:3" hidden="1" x14ac:dyDescent="0.25">
      <c r="A283">
        <v>20</v>
      </c>
      <c r="B283" t="s">
        <v>98</v>
      </c>
      <c r="C283" t="s">
        <v>131</v>
      </c>
    </row>
    <row r="284" spans="1:3" hidden="1" x14ac:dyDescent="0.25">
      <c r="A284">
        <v>34</v>
      </c>
      <c r="B284" t="s">
        <v>98</v>
      </c>
      <c r="C284" t="s">
        <v>131</v>
      </c>
    </row>
    <row r="285" spans="1:3" hidden="1" x14ac:dyDescent="0.25">
      <c r="A285">
        <v>24</v>
      </c>
      <c r="B285" t="s">
        <v>98</v>
      </c>
      <c r="C285" t="s">
        <v>131</v>
      </c>
    </row>
    <row r="286" spans="1:3" hidden="1" x14ac:dyDescent="0.25">
      <c r="A286">
        <v>24</v>
      </c>
      <c r="B286" t="s">
        <v>98</v>
      </c>
      <c r="C286" t="s">
        <v>131</v>
      </c>
    </row>
    <row r="287" spans="1:3" hidden="1" x14ac:dyDescent="0.25">
      <c r="A287">
        <v>31</v>
      </c>
      <c r="B287" t="s">
        <v>98</v>
      </c>
      <c r="C287" t="s">
        <v>131</v>
      </c>
    </row>
    <row r="288" spans="1:3" hidden="1" x14ac:dyDescent="0.25">
      <c r="A288">
        <v>36</v>
      </c>
      <c r="B288" t="s">
        <v>98</v>
      </c>
      <c r="C288" t="s">
        <v>131</v>
      </c>
    </row>
    <row r="289" spans="1:3" hidden="1" x14ac:dyDescent="0.25">
      <c r="A289">
        <v>33</v>
      </c>
      <c r="B289" t="s">
        <v>98</v>
      </c>
      <c r="C289" t="s">
        <v>131</v>
      </c>
    </row>
    <row r="290" spans="1:3" hidden="1" x14ac:dyDescent="0.25">
      <c r="A290">
        <v>26</v>
      </c>
      <c r="B290" t="s">
        <v>98</v>
      </c>
      <c r="C290" t="s">
        <v>131</v>
      </c>
    </row>
    <row r="291" spans="1:3" hidden="1" x14ac:dyDescent="0.25">
      <c r="A291">
        <v>24</v>
      </c>
      <c r="B291" t="s">
        <v>98</v>
      </c>
      <c r="C291" t="s">
        <v>131</v>
      </c>
    </row>
    <row r="292" spans="1:3" hidden="1" x14ac:dyDescent="0.25">
      <c r="A292">
        <v>29</v>
      </c>
      <c r="B292" t="s">
        <v>98</v>
      </c>
      <c r="C292" t="s">
        <v>131</v>
      </c>
    </row>
    <row r="293" spans="1:3" hidden="1" x14ac:dyDescent="0.25">
      <c r="A293">
        <v>31</v>
      </c>
      <c r="B293" t="s">
        <v>98</v>
      </c>
      <c r="C293" t="s">
        <v>131</v>
      </c>
    </row>
    <row r="294" spans="1:3" hidden="1" x14ac:dyDescent="0.25">
      <c r="A294">
        <v>33</v>
      </c>
      <c r="B294" t="s">
        <v>98</v>
      </c>
      <c r="C294" t="s">
        <v>131</v>
      </c>
    </row>
    <row r="295" spans="1:3" hidden="1" x14ac:dyDescent="0.25">
      <c r="A295">
        <v>34</v>
      </c>
      <c r="B295" t="s">
        <v>98</v>
      </c>
      <c r="C295" t="s">
        <v>131</v>
      </c>
    </row>
    <row r="296" spans="1:3" hidden="1" x14ac:dyDescent="0.25">
      <c r="A296">
        <v>29</v>
      </c>
      <c r="B296" t="s">
        <v>98</v>
      </c>
      <c r="C296" t="s">
        <v>131</v>
      </c>
    </row>
    <row r="297" spans="1:3" hidden="1" x14ac:dyDescent="0.25">
      <c r="A297">
        <v>27</v>
      </c>
      <c r="B297" t="s">
        <v>98</v>
      </c>
      <c r="C297" t="s">
        <v>131</v>
      </c>
    </row>
    <row r="298" spans="1:3" hidden="1" x14ac:dyDescent="0.25">
      <c r="A298">
        <v>22</v>
      </c>
      <c r="B298" t="s">
        <v>98</v>
      </c>
      <c r="C298" t="s">
        <v>131</v>
      </c>
    </row>
    <row r="299" spans="1:3" hidden="1" x14ac:dyDescent="0.25">
      <c r="A299">
        <v>24</v>
      </c>
      <c r="B299" t="s">
        <v>98</v>
      </c>
      <c r="C299" t="s">
        <v>131</v>
      </c>
    </row>
    <row r="300" spans="1:3" hidden="1" x14ac:dyDescent="0.25">
      <c r="A300">
        <v>24</v>
      </c>
      <c r="B300" t="s">
        <v>98</v>
      </c>
      <c r="C300" t="s">
        <v>131</v>
      </c>
    </row>
    <row r="301" spans="1:3" hidden="1" x14ac:dyDescent="0.25">
      <c r="A301">
        <v>34</v>
      </c>
      <c r="B301" t="s">
        <v>98</v>
      </c>
      <c r="C301" t="s">
        <v>131</v>
      </c>
    </row>
    <row r="302" spans="1:3" hidden="1" x14ac:dyDescent="0.25">
      <c r="A302">
        <v>20</v>
      </c>
      <c r="B302" t="s">
        <v>98</v>
      </c>
      <c r="C302" t="s">
        <v>131</v>
      </c>
    </row>
    <row r="303" spans="1:3" hidden="1" x14ac:dyDescent="0.25">
      <c r="A303">
        <v>27</v>
      </c>
      <c r="B303" t="s">
        <v>98</v>
      </c>
      <c r="C303" t="s">
        <v>131</v>
      </c>
    </row>
    <row r="304" spans="1:3" hidden="1" x14ac:dyDescent="0.25">
      <c r="A304">
        <v>38</v>
      </c>
      <c r="B304" t="s">
        <v>98</v>
      </c>
      <c r="C304" t="s">
        <v>131</v>
      </c>
    </row>
    <row r="305" spans="1:3" hidden="1" x14ac:dyDescent="0.25">
      <c r="A305">
        <v>35</v>
      </c>
      <c r="B305" t="s">
        <v>98</v>
      </c>
      <c r="C305" t="s">
        <v>131</v>
      </c>
    </row>
    <row r="306" spans="1:3" hidden="1" x14ac:dyDescent="0.25">
      <c r="A306">
        <v>41</v>
      </c>
      <c r="B306" t="s">
        <v>98</v>
      </c>
      <c r="C306" t="s">
        <v>131</v>
      </c>
    </row>
    <row r="307" spans="1:3" hidden="1" x14ac:dyDescent="0.25">
      <c r="A307">
        <v>27</v>
      </c>
      <c r="B307" t="s">
        <v>98</v>
      </c>
      <c r="C307" t="s">
        <v>131</v>
      </c>
    </row>
    <row r="308" spans="1:3" hidden="1" x14ac:dyDescent="0.25">
      <c r="A308">
        <v>31</v>
      </c>
      <c r="B308" t="s">
        <v>98</v>
      </c>
      <c r="C308" t="s">
        <v>131</v>
      </c>
    </row>
    <row r="309" spans="1:3" hidden="1" x14ac:dyDescent="0.25">
      <c r="A309">
        <v>31</v>
      </c>
      <c r="B309" t="s">
        <v>98</v>
      </c>
      <c r="C309" t="s">
        <v>131</v>
      </c>
    </row>
    <row r="310" spans="1:3" hidden="1" x14ac:dyDescent="0.25">
      <c r="A310">
        <v>31</v>
      </c>
      <c r="B310" t="s">
        <v>98</v>
      </c>
      <c r="C310" t="s">
        <v>131</v>
      </c>
    </row>
    <row r="311" spans="1:3" hidden="1" x14ac:dyDescent="0.25">
      <c r="A311">
        <v>24</v>
      </c>
      <c r="B311" t="s">
        <v>98</v>
      </c>
      <c r="C311" t="s">
        <v>131</v>
      </c>
    </row>
    <row r="312" spans="1:3" hidden="1" x14ac:dyDescent="0.25">
      <c r="A312">
        <v>24</v>
      </c>
      <c r="B312" t="s">
        <v>98</v>
      </c>
      <c r="C312" t="s">
        <v>131</v>
      </c>
    </row>
    <row r="313" spans="1:3" hidden="1" x14ac:dyDescent="0.25">
      <c r="A313">
        <v>27</v>
      </c>
      <c r="B313" t="s">
        <v>98</v>
      </c>
      <c r="C313" t="s">
        <v>131</v>
      </c>
    </row>
    <row r="314" spans="1:3" hidden="1" x14ac:dyDescent="0.25">
      <c r="A314">
        <v>31</v>
      </c>
      <c r="B314" t="s">
        <v>98</v>
      </c>
      <c r="C314" t="s">
        <v>131</v>
      </c>
    </row>
    <row r="315" spans="1:3" hidden="1" x14ac:dyDescent="0.25">
      <c r="A315">
        <v>27</v>
      </c>
      <c r="B315" t="s">
        <v>98</v>
      </c>
      <c r="C315" t="s">
        <v>131</v>
      </c>
    </row>
    <row r="316" spans="1:3" hidden="1" x14ac:dyDescent="0.25">
      <c r="A316">
        <v>26</v>
      </c>
      <c r="B316" t="s">
        <v>98</v>
      </c>
      <c r="C316" t="s">
        <v>131</v>
      </c>
    </row>
    <row r="317" spans="1:3" hidden="1" x14ac:dyDescent="0.25">
      <c r="A317">
        <v>35</v>
      </c>
      <c r="B317" t="s">
        <v>98</v>
      </c>
      <c r="C317" t="s">
        <v>131</v>
      </c>
    </row>
    <row r="318" spans="1:3" hidden="1" x14ac:dyDescent="0.25">
      <c r="A318">
        <v>33</v>
      </c>
      <c r="B318" t="s">
        <v>98</v>
      </c>
      <c r="C318" t="s">
        <v>131</v>
      </c>
    </row>
    <row r="319" spans="1:3" hidden="1" x14ac:dyDescent="0.25">
      <c r="A319">
        <v>20</v>
      </c>
      <c r="B319" t="s">
        <v>98</v>
      </c>
      <c r="C319" t="s">
        <v>131</v>
      </c>
    </row>
    <row r="320" spans="1:3" hidden="1" x14ac:dyDescent="0.25">
      <c r="A320">
        <v>33</v>
      </c>
      <c r="B320" t="s">
        <v>98</v>
      </c>
      <c r="C320" t="s">
        <v>131</v>
      </c>
    </row>
    <row r="321" spans="1:3" hidden="1" x14ac:dyDescent="0.25">
      <c r="A321">
        <v>42</v>
      </c>
      <c r="B321" t="s">
        <v>98</v>
      </c>
      <c r="C321" t="s">
        <v>131</v>
      </c>
    </row>
    <row r="322" spans="1:3" hidden="1" x14ac:dyDescent="0.25">
      <c r="A322">
        <v>33</v>
      </c>
      <c r="B322" t="s">
        <v>98</v>
      </c>
      <c r="C322" t="s">
        <v>131</v>
      </c>
    </row>
    <row r="323" spans="1:3" hidden="1" x14ac:dyDescent="0.25">
      <c r="A323">
        <v>28</v>
      </c>
      <c r="B323" t="s">
        <v>98</v>
      </c>
      <c r="C323" t="s">
        <v>131</v>
      </c>
    </row>
    <row r="324" spans="1:3" hidden="1" x14ac:dyDescent="0.25">
      <c r="A324">
        <v>33</v>
      </c>
      <c r="B324" t="s">
        <v>98</v>
      </c>
      <c r="C324" t="s">
        <v>131</v>
      </c>
    </row>
    <row r="325" spans="1:3" hidden="1" x14ac:dyDescent="0.25">
      <c r="A325">
        <v>43</v>
      </c>
      <c r="B325" t="s">
        <v>98</v>
      </c>
      <c r="C325" t="s">
        <v>131</v>
      </c>
    </row>
    <row r="326" spans="1:3" hidden="1" x14ac:dyDescent="0.25">
      <c r="A326">
        <v>35</v>
      </c>
      <c r="B326" t="s">
        <v>98</v>
      </c>
      <c r="C326" t="s">
        <v>131</v>
      </c>
    </row>
    <row r="327" spans="1:3" hidden="1" x14ac:dyDescent="0.25">
      <c r="A327">
        <v>28</v>
      </c>
      <c r="B327" t="s">
        <v>98</v>
      </c>
      <c r="C327" t="s">
        <v>131</v>
      </c>
    </row>
    <row r="328" spans="1:3" hidden="1" x14ac:dyDescent="0.25">
      <c r="A328">
        <v>29</v>
      </c>
      <c r="B328" t="s">
        <v>98</v>
      </c>
      <c r="C328" t="s">
        <v>131</v>
      </c>
    </row>
    <row r="329" spans="1:3" hidden="1" x14ac:dyDescent="0.25">
      <c r="A329">
        <v>27</v>
      </c>
      <c r="B329" t="s">
        <v>98</v>
      </c>
      <c r="C329" t="s">
        <v>131</v>
      </c>
    </row>
    <row r="330" spans="1:3" hidden="1" x14ac:dyDescent="0.25">
      <c r="A330">
        <v>41</v>
      </c>
      <c r="B330" t="s">
        <v>98</v>
      </c>
      <c r="C330" t="s">
        <v>131</v>
      </c>
    </row>
    <row r="331" spans="1:3" hidden="1" x14ac:dyDescent="0.25">
      <c r="A331">
        <v>31</v>
      </c>
      <c r="B331" t="s">
        <v>98</v>
      </c>
      <c r="C331" t="s">
        <v>131</v>
      </c>
    </row>
    <row r="332" spans="1:3" hidden="1" x14ac:dyDescent="0.25">
      <c r="A332">
        <v>41</v>
      </c>
      <c r="B332" t="s">
        <v>98</v>
      </c>
      <c r="C332" t="s">
        <v>131</v>
      </c>
    </row>
    <row r="333" spans="1:3" hidden="1" x14ac:dyDescent="0.25">
      <c r="A333">
        <v>23</v>
      </c>
      <c r="B333" t="s">
        <v>98</v>
      </c>
      <c r="C333" t="s">
        <v>131</v>
      </c>
    </row>
    <row r="334" spans="1:3" hidden="1" x14ac:dyDescent="0.25">
      <c r="A334">
        <v>26</v>
      </c>
      <c r="B334" t="s">
        <v>98</v>
      </c>
      <c r="C334" t="s">
        <v>131</v>
      </c>
    </row>
    <row r="335" spans="1:3" hidden="1" x14ac:dyDescent="0.25">
      <c r="A335">
        <v>40</v>
      </c>
      <c r="B335" t="s">
        <v>98</v>
      </c>
      <c r="C335" t="s">
        <v>131</v>
      </c>
    </row>
    <row r="336" spans="1:3" hidden="1" x14ac:dyDescent="0.25">
      <c r="A336">
        <v>30</v>
      </c>
      <c r="B336" t="s">
        <v>98</v>
      </c>
      <c r="C336" t="s">
        <v>131</v>
      </c>
    </row>
    <row r="337" spans="1:3" hidden="1" x14ac:dyDescent="0.25">
      <c r="A337">
        <v>27</v>
      </c>
      <c r="B337" t="s">
        <v>98</v>
      </c>
      <c r="C337" t="s">
        <v>131</v>
      </c>
    </row>
    <row r="338" spans="1:3" hidden="1" x14ac:dyDescent="0.25">
      <c r="A338">
        <v>36</v>
      </c>
      <c r="B338" t="s">
        <v>98</v>
      </c>
      <c r="C338" t="s">
        <v>131</v>
      </c>
    </row>
    <row r="339" spans="1:3" hidden="1" x14ac:dyDescent="0.25">
      <c r="A339">
        <v>25</v>
      </c>
      <c r="B339" t="s">
        <v>98</v>
      </c>
      <c r="C339" t="s">
        <v>131</v>
      </c>
    </row>
    <row r="340" spans="1:3" hidden="1" x14ac:dyDescent="0.25">
      <c r="A340">
        <v>31</v>
      </c>
      <c r="B340" t="s">
        <v>98</v>
      </c>
      <c r="C340" t="s">
        <v>131</v>
      </c>
    </row>
    <row r="341" spans="1:3" hidden="1" x14ac:dyDescent="0.25">
      <c r="A341">
        <v>21</v>
      </c>
      <c r="B341" t="s">
        <v>98</v>
      </c>
      <c r="C341" t="s">
        <v>131</v>
      </c>
    </row>
    <row r="342" spans="1:3" hidden="1" x14ac:dyDescent="0.25">
      <c r="A342">
        <v>34</v>
      </c>
      <c r="B342" t="s">
        <v>98</v>
      </c>
      <c r="C342" t="s">
        <v>131</v>
      </c>
    </row>
    <row r="343" spans="1:3" hidden="1" x14ac:dyDescent="0.25">
      <c r="A343">
        <v>24</v>
      </c>
      <c r="B343" t="s">
        <v>98</v>
      </c>
      <c r="C343" t="s">
        <v>131</v>
      </c>
    </row>
    <row r="344" spans="1:3" hidden="1" x14ac:dyDescent="0.25">
      <c r="A344">
        <v>19</v>
      </c>
      <c r="B344" t="s">
        <v>98</v>
      </c>
      <c r="C344" t="s">
        <v>131</v>
      </c>
    </row>
    <row r="345" spans="1:3" hidden="1" x14ac:dyDescent="0.25">
      <c r="A345">
        <v>24</v>
      </c>
      <c r="B345" t="s">
        <v>98</v>
      </c>
      <c r="C345" t="s">
        <v>131</v>
      </c>
    </row>
    <row r="346" spans="1:3" hidden="1" x14ac:dyDescent="0.25">
      <c r="A346">
        <v>27</v>
      </c>
      <c r="B346" t="s">
        <v>98</v>
      </c>
      <c r="C346" t="s">
        <v>131</v>
      </c>
    </row>
    <row r="347" spans="1:3" hidden="1" x14ac:dyDescent="0.25">
      <c r="A347">
        <v>39</v>
      </c>
      <c r="B347" t="s">
        <v>98</v>
      </c>
      <c r="C347" t="s">
        <v>131</v>
      </c>
    </row>
    <row r="348" spans="1:3" hidden="1" x14ac:dyDescent="0.25">
      <c r="A348">
        <v>17</v>
      </c>
      <c r="B348" t="s">
        <v>98</v>
      </c>
      <c r="C348" t="s">
        <v>131</v>
      </c>
    </row>
    <row r="349" spans="1:3" hidden="1" x14ac:dyDescent="0.25">
      <c r="A349">
        <v>29</v>
      </c>
      <c r="B349" t="s">
        <v>98</v>
      </c>
      <c r="C349" t="s">
        <v>131</v>
      </c>
    </row>
    <row r="350" spans="1:3" hidden="1" x14ac:dyDescent="0.25">
      <c r="A350">
        <v>33</v>
      </c>
      <c r="B350" t="s">
        <v>98</v>
      </c>
      <c r="C350" t="s">
        <v>131</v>
      </c>
    </row>
    <row r="351" spans="1:3" hidden="1" x14ac:dyDescent="0.25">
      <c r="A351">
        <v>32</v>
      </c>
      <c r="B351" t="s">
        <v>98</v>
      </c>
      <c r="C351" t="s">
        <v>131</v>
      </c>
    </row>
    <row r="352" spans="1:3" hidden="1" x14ac:dyDescent="0.25">
      <c r="A352">
        <v>24</v>
      </c>
      <c r="B352" t="s">
        <v>98</v>
      </c>
      <c r="C352" t="s">
        <v>131</v>
      </c>
    </row>
    <row r="353" spans="1:3" hidden="1" x14ac:dyDescent="0.25">
      <c r="A353">
        <v>20</v>
      </c>
      <c r="B353" t="s">
        <v>98</v>
      </c>
      <c r="C353" t="s">
        <v>131</v>
      </c>
    </row>
    <row r="354" spans="1:3" hidden="1" x14ac:dyDescent="0.25">
      <c r="A354">
        <v>17</v>
      </c>
      <c r="B354" t="s">
        <v>98</v>
      </c>
      <c r="C354" t="s">
        <v>131</v>
      </c>
    </row>
    <row r="355" spans="1:3" hidden="1" x14ac:dyDescent="0.25">
      <c r="A355">
        <v>20</v>
      </c>
      <c r="B355" t="s">
        <v>98</v>
      </c>
      <c r="C355" t="s">
        <v>131</v>
      </c>
    </row>
    <row r="356" spans="1:3" hidden="1" x14ac:dyDescent="0.25">
      <c r="A356">
        <v>29</v>
      </c>
      <c r="B356" t="s">
        <v>98</v>
      </c>
      <c r="C356" t="s">
        <v>131</v>
      </c>
    </row>
    <row r="357" spans="1:3" hidden="1" x14ac:dyDescent="0.25">
      <c r="A357">
        <v>26</v>
      </c>
      <c r="B357" t="s">
        <v>98</v>
      </c>
      <c r="C357" t="s">
        <v>131</v>
      </c>
    </row>
    <row r="358" spans="1:3" hidden="1" x14ac:dyDescent="0.25">
      <c r="A358">
        <v>23</v>
      </c>
      <c r="B358" t="s">
        <v>98</v>
      </c>
      <c r="C358" t="s">
        <v>131</v>
      </c>
    </row>
    <row r="359" spans="1:3" hidden="1" x14ac:dyDescent="0.25">
      <c r="A359">
        <v>30</v>
      </c>
      <c r="B359" t="s">
        <v>98</v>
      </c>
      <c r="C359" t="s">
        <v>131</v>
      </c>
    </row>
    <row r="360" spans="1:3" hidden="1" x14ac:dyDescent="0.25">
      <c r="A360">
        <v>37</v>
      </c>
      <c r="B360" t="s">
        <v>98</v>
      </c>
      <c r="C360" t="s">
        <v>131</v>
      </c>
    </row>
    <row r="361" spans="1:3" hidden="1" x14ac:dyDescent="0.25">
      <c r="A361">
        <v>21</v>
      </c>
      <c r="B361" t="s">
        <v>98</v>
      </c>
      <c r="C361" t="s">
        <v>131</v>
      </c>
    </row>
    <row r="362" spans="1:3" hidden="1" x14ac:dyDescent="0.25">
      <c r="A362">
        <v>22</v>
      </c>
      <c r="B362" t="s">
        <v>98</v>
      </c>
      <c r="C362" t="s">
        <v>131</v>
      </c>
    </row>
    <row r="363" spans="1:3" hidden="1" x14ac:dyDescent="0.25">
      <c r="A363">
        <v>39</v>
      </c>
      <c r="B363" t="s">
        <v>98</v>
      </c>
      <c r="C363" t="s">
        <v>131</v>
      </c>
    </row>
    <row r="364" spans="1:3" hidden="1" x14ac:dyDescent="0.25">
      <c r="A364">
        <v>25</v>
      </c>
      <c r="B364" t="s">
        <v>98</v>
      </c>
      <c r="C364" t="s">
        <v>131</v>
      </c>
    </row>
    <row r="365" spans="1:3" hidden="1" x14ac:dyDescent="0.25">
      <c r="A365">
        <v>35</v>
      </c>
      <c r="B365" t="s">
        <v>98</v>
      </c>
      <c r="C365" t="s">
        <v>131</v>
      </c>
    </row>
    <row r="366" spans="1:3" hidden="1" x14ac:dyDescent="0.25">
      <c r="A366">
        <v>25</v>
      </c>
      <c r="B366" t="s">
        <v>98</v>
      </c>
      <c r="C366" t="s">
        <v>131</v>
      </c>
    </row>
    <row r="367" spans="1:3" hidden="1" x14ac:dyDescent="0.25">
      <c r="A367">
        <v>19</v>
      </c>
      <c r="B367" t="s">
        <v>98</v>
      </c>
      <c r="C367" t="s">
        <v>131</v>
      </c>
    </row>
    <row r="368" spans="1:3" hidden="1" x14ac:dyDescent="0.25">
      <c r="A368">
        <v>19</v>
      </c>
      <c r="B368" t="s">
        <v>98</v>
      </c>
      <c r="C368" t="s">
        <v>131</v>
      </c>
    </row>
    <row r="369" spans="1:3" hidden="1" x14ac:dyDescent="0.25">
      <c r="A369">
        <v>43</v>
      </c>
      <c r="B369" t="s">
        <v>98</v>
      </c>
      <c r="C369" t="s">
        <v>131</v>
      </c>
    </row>
    <row r="370" spans="1:3" hidden="1" x14ac:dyDescent="0.25">
      <c r="A370">
        <v>20</v>
      </c>
      <c r="B370" t="s">
        <v>98</v>
      </c>
      <c r="C370" t="s">
        <v>131</v>
      </c>
    </row>
    <row r="371" spans="1:3" hidden="1" x14ac:dyDescent="0.25">
      <c r="A371">
        <v>29</v>
      </c>
      <c r="B371" t="s">
        <v>98</v>
      </c>
      <c r="C371" t="s">
        <v>131</v>
      </c>
    </row>
    <row r="372" spans="1:3" hidden="1" x14ac:dyDescent="0.25">
      <c r="A372">
        <v>35</v>
      </c>
      <c r="B372" t="s">
        <v>98</v>
      </c>
      <c r="C372" t="s">
        <v>131</v>
      </c>
    </row>
    <row r="373" spans="1:3" hidden="1" x14ac:dyDescent="0.25">
      <c r="A373">
        <v>19</v>
      </c>
      <c r="B373" t="s">
        <v>98</v>
      </c>
      <c r="C373" t="s">
        <v>131</v>
      </c>
    </row>
    <row r="374" spans="1:3" hidden="1" x14ac:dyDescent="0.25">
      <c r="A374">
        <v>27</v>
      </c>
      <c r="B374" t="s">
        <v>98</v>
      </c>
      <c r="C374" t="s">
        <v>131</v>
      </c>
    </row>
    <row r="375" spans="1:3" hidden="1" x14ac:dyDescent="0.25">
      <c r="A375">
        <v>19</v>
      </c>
      <c r="B375" t="s">
        <v>98</v>
      </c>
      <c r="C375" t="s">
        <v>131</v>
      </c>
    </row>
    <row r="376" spans="1:3" hidden="1" x14ac:dyDescent="0.25">
      <c r="A376">
        <v>19</v>
      </c>
      <c r="B376" t="s">
        <v>98</v>
      </c>
      <c r="C376" t="s">
        <v>131</v>
      </c>
    </row>
    <row r="377" spans="1:3" hidden="1" x14ac:dyDescent="0.25">
      <c r="A377">
        <v>25</v>
      </c>
      <c r="B377" t="s">
        <v>98</v>
      </c>
      <c r="C377" t="s">
        <v>131</v>
      </c>
    </row>
    <row r="378" spans="1:3" hidden="1" x14ac:dyDescent="0.25">
      <c r="A378">
        <v>27</v>
      </c>
      <c r="B378" t="s">
        <v>98</v>
      </c>
      <c r="C378" t="s">
        <v>131</v>
      </c>
    </row>
    <row r="379" spans="1:3" hidden="1" x14ac:dyDescent="0.25">
      <c r="A379">
        <v>17</v>
      </c>
      <c r="B379" t="s">
        <v>98</v>
      </c>
      <c r="C379" t="s">
        <v>131</v>
      </c>
    </row>
    <row r="380" spans="1:3" hidden="1" x14ac:dyDescent="0.25">
      <c r="A380">
        <v>32</v>
      </c>
      <c r="B380" t="s">
        <v>98</v>
      </c>
      <c r="C380" t="s">
        <v>131</v>
      </c>
    </row>
    <row r="381" spans="1:3" hidden="1" x14ac:dyDescent="0.25">
      <c r="A381">
        <v>21</v>
      </c>
      <c r="B381" t="s">
        <v>98</v>
      </c>
      <c r="C381" t="s">
        <v>131</v>
      </c>
    </row>
    <row r="382" spans="1:3" hidden="1" x14ac:dyDescent="0.25">
      <c r="A382">
        <v>20</v>
      </c>
      <c r="B382" t="s">
        <v>98</v>
      </c>
      <c r="C382" t="s">
        <v>131</v>
      </c>
    </row>
    <row r="383" spans="1:3" hidden="1" x14ac:dyDescent="0.25">
      <c r="A383">
        <v>33</v>
      </c>
      <c r="B383" t="s">
        <v>98</v>
      </c>
      <c r="C383" t="s">
        <v>131</v>
      </c>
    </row>
    <row r="384" spans="1:3" hidden="1" x14ac:dyDescent="0.25">
      <c r="A384">
        <v>30</v>
      </c>
      <c r="B384" t="s">
        <v>98</v>
      </c>
      <c r="C384" t="s">
        <v>131</v>
      </c>
    </row>
    <row r="385" spans="1:3" hidden="1" x14ac:dyDescent="0.25">
      <c r="A385">
        <v>18</v>
      </c>
      <c r="B385" t="s">
        <v>98</v>
      </c>
      <c r="C385" t="s">
        <v>131</v>
      </c>
    </row>
    <row r="386" spans="1:3" hidden="1" x14ac:dyDescent="0.25">
      <c r="A386">
        <v>41</v>
      </c>
      <c r="B386" t="s">
        <v>98</v>
      </c>
      <c r="C386" t="s">
        <v>131</v>
      </c>
    </row>
    <row r="387" spans="1:3" hidden="1" x14ac:dyDescent="0.25">
      <c r="A387">
        <v>24</v>
      </c>
      <c r="B387" t="s">
        <v>98</v>
      </c>
      <c r="C387" t="s">
        <v>131</v>
      </c>
    </row>
    <row r="388" spans="1:3" hidden="1" x14ac:dyDescent="0.25">
      <c r="A388">
        <v>25</v>
      </c>
      <c r="B388" t="s">
        <v>98</v>
      </c>
      <c r="C388" t="s">
        <v>131</v>
      </c>
    </row>
    <row r="389" spans="1:3" hidden="1" x14ac:dyDescent="0.25">
      <c r="A389">
        <v>21</v>
      </c>
      <c r="B389" t="s">
        <v>98</v>
      </c>
      <c r="C389" t="s">
        <v>131</v>
      </c>
    </row>
    <row r="390" spans="1:3" hidden="1" x14ac:dyDescent="0.25">
      <c r="A390">
        <v>23</v>
      </c>
      <c r="B390" t="s">
        <v>98</v>
      </c>
      <c r="C390" t="s">
        <v>131</v>
      </c>
    </row>
    <row r="391" spans="1:3" hidden="1" x14ac:dyDescent="0.25">
      <c r="A391">
        <v>27</v>
      </c>
      <c r="B391" t="s">
        <v>98</v>
      </c>
      <c r="C391" t="s">
        <v>131</v>
      </c>
    </row>
    <row r="392" spans="1:3" hidden="1" x14ac:dyDescent="0.25">
      <c r="A392">
        <v>25</v>
      </c>
      <c r="B392" t="s">
        <v>98</v>
      </c>
      <c r="C392" t="s">
        <v>131</v>
      </c>
    </row>
    <row r="393" spans="1:3" hidden="1" x14ac:dyDescent="0.25">
      <c r="A393">
        <v>17</v>
      </c>
      <c r="B393" t="s">
        <v>98</v>
      </c>
      <c r="C393" t="s">
        <v>131</v>
      </c>
    </row>
    <row r="394" spans="1:3" hidden="1" x14ac:dyDescent="0.25">
      <c r="A394">
        <v>34</v>
      </c>
      <c r="B394" t="s">
        <v>98</v>
      </c>
      <c r="C394" t="s">
        <v>131</v>
      </c>
    </row>
    <row r="395" spans="1:3" hidden="1" x14ac:dyDescent="0.25">
      <c r="A395">
        <v>18</v>
      </c>
      <c r="B395" t="s">
        <v>98</v>
      </c>
      <c r="C395" t="s">
        <v>131</v>
      </c>
    </row>
    <row r="396" spans="1:3" hidden="1" x14ac:dyDescent="0.25">
      <c r="A396">
        <v>29</v>
      </c>
      <c r="B396" t="s">
        <v>98</v>
      </c>
      <c r="C396" t="s">
        <v>131</v>
      </c>
    </row>
    <row r="397" spans="1:3" hidden="1" x14ac:dyDescent="0.25">
      <c r="A397">
        <v>20</v>
      </c>
      <c r="B397" t="s">
        <v>98</v>
      </c>
      <c r="C397" t="s">
        <v>131</v>
      </c>
    </row>
    <row r="398" spans="1:3" hidden="1" x14ac:dyDescent="0.25">
      <c r="A398">
        <v>34</v>
      </c>
      <c r="B398" t="s">
        <v>98</v>
      </c>
      <c r="C398" t="s">
        <v>131</v>
      </c>
    </row>
    <row r="399" spans="1:3" hidden="1" x14ac:dyDescent="0.25">
      <c r="A399">
        <v>35</v>
      </c>
      <c r="B399" t="s">
        <v>98</v>
      </c>
      <c r="C399" t="s">
        <v>131</v>
      </c>
    </row>
    <row r="400" spans="1:3" hidden="1" x14ac:dyDescent="0.25">
      <c r="A400">
        <v>25</v>
      </c>
      <c r="B400" t="s">
        <v>98</v>
      </c>
      <c r="C400" t="s">
        <v>131</v>
      </c>
    </row>
    <row r="401" spans="1:3" hidden="1" x14ac:dyDescent="0.25">
      <c r="A401">
        <v>39</v>
      </c>
      <c r="B401" t="s">
        <v>98</v>
      </c>
      <c r="C401" t="s">
        <v>131</v>
      </c>
    </row>
    <row r="402" spans="1:3" hidden="1" x14ac:dyDescent="0.25">
      <c r="A402">
        <v>35</v>
      </c>
      <c r="B402" t="s">
        <v>98</v>
      </c>
      <c r="C402" t="s">
        <v>131</v>
      </c>
    </row>
    <row r="403" spans="1:3" hidden="1" x14ac:dyDescent="0.25">
      <c r="A403">
        <v>34</v>
      </c>
      <c r="B403" t="s">
        <v>98</v>
      </c>
      <c r="C403" t="s">
        <v>131</v>
      </c>
    </row>
    <row r="404" spans="1:3" hidden="1" x14ac:dyDescent="0.25">
      <c r="A404">
        <v>15</v>
      </c>
      <c r="B404" t="s">
        <v>98</v>
      </c>
      <c r="C404" t="s">
        <v>131</v>
      </c>
    </row>
    <row r="405" spans="1:3" hidden="1" x14ac:dyDescent="0.25">
      <c r="A405">
        <v>32</v>
      </c>
      <c r="B405" t="s">
        <v>98</v>
      </c>
      <c r="C405" t="s">
        <v>132</v>
      </c>
    </row>
    <row r="406" spans="1:3" hidden="1" x14ac:dyDescent="0.25">
      <c r="A406">
        <v>22</v>
      </c>
      <c r="B406" t="s">
        <v>98</v>
      </c>
      <c r="C406" t="s">
        <v>132</v>
      </c>
    </row>
    <row r="407" spans="1:3" hidden="1" x14ac:dyDescent="0.25">
      <c r="A407">
        <v>25</v>
      </c>
      <c r="B407" t="s">
        <v>98</v>
      </c>
      <c r="C407" t="s">
        <v>132</v>
      </c>
    </row>
    <row r="408" spans="1:3" hidden="1" x14ac:dyDescent="0.25">
      <c r="A408">
        <v>33</v>
      </c>
      <c r="B408" t="s">
        <v>98</v>
      </c>
      <c r="C408" t="s">
        <v>132</v>
      </c>
    </row>
    <row r="409" spans="1:3" hidden="1" x14ac:dyDescent="0.25">
      <c r="A409">
        <v>30</v>
      </c>
      <c r="B409" t="s">
        <v>98</v>
      </c>
      <c r="C409" t="s">
        <v>132</v>
      </c>
    </row>
    <row r="410" spans="1:3" hidden="1" x14ac:dyDescent="0.25">
      <c r="A410">
        <v>37</v>
      </c>
      <c r="B410" t="s">
        <v>98</v>
      </c>
      <c r="C410" t="s">
        <v>132</v>
      </c>
    </row>
    <row r="411" spans="1:3" hidden="1" x14ac:dyDescent="0.25">
      <c r="A411">
        <v>38</v>
      </c>
      <c r="B411" t="s">
        <v>98</v>
      </c>
      <c r="C411" t="s">
        <v>132</v>
      </c>
    </row>
    <row r="412" spans="1:3" hidden="1" x14ac:dyDescent="0.25">
      <c r="A412">
        <v>39</v>
      </c>
      <c r="B412" t="s">
        <v>98</v>
      </c>
      <c r="C412" t="s">
        <v>132</v>
      </c>
    </row>
    <row r="413" spans="1:3" hidden="1" x14ac:dyDescent="0.25">
      <c r="A413">
        <v>36</v>
      </c>
      <c r="B413" t="s">
        <v>98</v>
      </c>
      <c r="C413" t="s">
        <v>132</v>
      </c>
    </row>
    <row r="414" spans="1:3" hidden="1" x14ac:dyDescent="0.25">
      <c r="A414">
        <v>32</v>
      </c>
      <c r="B414" t="s">
        <v>98</v>
      </c>
      <c r="C414" t="s">
        <v>132</v>
      </c>
    </row>
    <row r="415" spans="1:3" hidden="1" x14ac:dyDescent="0.25">
      <c r="A415">
        <v>21</v>
      </c>
      <c r="B415" t="s">
        <v>98</v>
      </c>
      <c r="C415" t="s">
        <v>132</v>
      </c>
    </row>
    <row r="416" spans="1:3" hidden="1" x14ac:dyDescent="0.25">
      <c r="A416">
        <v>33</v>
      </c>
      <c r="B416" t="s">
        <v>98</v>
      </c>
      <c r="C416" t="s">
        <v>132</v>
      </c>
    </row>
    <row r="417" spans="1:3" hidden="1" x14ac:dyDescent="0.25">
      <c r="A417">
        <v>18</v>
      </c>
      <c r="B417" t="s">
        <v>98</v>
      </c>
      <c r="C417" t="s">
        <v>132</v>
      </c>
    </row>
    <row r="418" spans="1:3" hidden="1" x14ac:dyDescent="0.25">
      <c r="A418">
        <v>36</v>
      </c>
      <c r="B418" t="s">
        <v>98</v>
      </c>
      <c r="C418" t="s">
        <v>132</v>
      </c>
    </row>
    <row r="419" spans="1:3" hidden="1" x14ac:dyDescent="0.25">
      <c r="A419">
        <v>24</v>
      </c>
      <c r="B419" t="s">
        <v>98</v>
      </c>
      <c r="C419" t="s">
        <v>132</v>
      </c>
    </row>
    <row r="420" spans="1:3" hidden="1" x14ac:dyDescent="0.25">
      <c r="A420">
        <v>29</v>
      </c>
      <c r="B420" t="s">
        <v>98</v>
      </c>
      <c r="C420" t="s">
        <v>132</v>
      </c>
    </row>
    <row r="421" spans="1:3" hidden="1" x14ac:dyDescent="0.25">
      <c r="A421">
        <v>32</v>
      </c>
      <c r="B421" t="s">
        <v>98</v>
      </c>
      <c r="C421" t="s">
        <v>132</v>
      </c>
    </row>
    <row r="422" spans="1:3" hidden="1" x14ac:dyDescent="0.25">
      <c r="A422">
        <v>21</v>
      </c>
      <c r="B422" t="s">
        <v>98</v>
      </c>
      <c r="C422" t="s">
        <v>132</v>
      </c>
    </row>
    <row r="423" spans="1:3" hidden="1" x14ac:dyDescent="0.25">
      <c r="A423">
        <v>21</v>
      </c>
      <c r="B423" t="s">
        <v>98</v>
      </c>
      <c r="C423" t="s">
        <v>132</v>
      </c>
    </row>
    <row r="424" spans="1:3" hidden="1" x14ac:dyDescent="0.25">
      <c r="A424">
        <v>20</v>
      </c>
      <c r="B424" t="s">
        <v>98</v>
      </c>
      <c r="C424" t="s">
        <v>132</v>
      </c>
    </row>
    <row r="425" spans="1:3" hidden="1" x14ac:dyDescent="0.25">
      <c r="A425">
        <v>35</v>
      </c>
      <c r="B425" t="s">
        <v>98</v>
      </c>
      <c r="C425" t="s">
        <v>132</v>
      </c>
    </row>
    <row r="426" spans="1:3" hidden="1" x14ac:dyDescent="0.25">
      <c r="A426">
        <v>30</v>
      </c>
      <c r="B426" t="s">
        <v>98</v>
      </c>
      <c r="C426" t="s">
        <v>132</v>
      </c>
    </row>
    <row r="427" spans="1:3" hidden="1" x14ac:dyDescent="0.25">
      <c r="A427">
        <v>27</v>
      </c>
      <c r="B427" t="s">
        <v>98</v>
      </c>
      <c r="C427" t="s">
        <v>132</v>
      </c>
    </row>
    <row r="428" spans="1:3" hidden="1" x14ac:dyDescent="0.25">
      <c r="A428">
        <v>19</v>
      </c>
      <c r="B428" t="s">
        <v>98</v>
      </c>
      <c r="C428" t="s">
        <v>132</v>
      </c>
    </row>
    <row r="429" spans="1:3" hidden="1" x14ac:dyDescent="0.25">
      <c r="A429">
        <v>18</v>
      </c>
      <c r="B429" t="s">
        <v>98</v>
      </c>
      <c r="C429" t="s">
        <v>132</v>
      </c>
    </row>
    <row r="430" spans="1:3" hidden="1" x14ac:dyDescent="0.25">
      <c r="A430">
        <v>42</v>
      </c>
      <c r="B430" t="s">
        <v>98</v>
      </c>
      <c r="C430" t="s">
        <v>132</v>
      </c>
    </row>
    <row r="431" spans="1:3" hidden="1" x14ac:dyDescent="0.25">
      <c r="A431">
        <v>30</v>
      </c>
      <c r="B431" t="s">
        <v>98</v>
      </c>
      <c r="C431" t="s">
        <v>132</v>
      </c>
    </row>
    <row r="432" spans="1:3" hidden="1" x14ac:dyDescent="0.25">
      <c r="A432">
        <v>19</v>
      </c>
      <c r="B432" t="s">
        <v>98</v>
      </c>
      <c r="C432" t="s">
        <v>132</v>
      </c>
    </row>
    <row r="433" spans="1:3" hidden="1" x14ac:dyDescent="0.25">
      <c r="A433">
        <v>21</v>
      </c>
      <c r="B433" t="s">
        <v>98</v>
      </c>
      <c r="C433" t="s">
        <v>132</v>
      </c>
    </row>
    <row r="434" spans="1:3" hidden="1" x14ac:dyDescent="0.25">
      <c r="A434">
        <v>17</v>
      </c>
      <c r="B434" t="s">
        <v>98</v>
      </c>
      <c r="C434" t="s">
        <v>132</v>
      </c>
    </row>
    <row r="435" spans="1:3" hidden="1" x14ac:dyDescent="0.25">
      <c r="A435">
        <v>21</v>
      </c>
      <c r="B435" t="s">
        <v>98</v>
      </c>
      <c r="C435" t="s">
        <v>132</v>
      </c>
    </row>
    <row r="436" spans="1:3" hidden="1" x14ac:dyDescent="0.25">
      <c r="A436">
        <v>27</v>
      </c>
      <c r="B436" t="s">
        <v>98</v>
      </c>
      <c r="C436" t="s">
        <v>132</v>
      </c>
    </row>
    <row r="437" spans="1:3" hidden="1" x14ac:dyDescent="0.25">
      <c r="A437">
        <v>15</v>
      </c>
      <c r="B437" t="s">
        <v>98</v>
      </c>
      <c r="C437" t="s">
        <v>132</v>
      </c>
    </row>
    <row r="438" spans="1:3" hidden="1" x14ac:dyDescent="0.25">
      <c r="A438">
        <v>27</v>
      </c>
      <c r="B438" t="s">
        <v>98</v>
      </c>
      <c r="C438" t="s">
        <v>132</v>
      </c>
    </row>
    <row r="439" spans="1:3" hidden="1" x14ac:dyDescent="0.25">
      <c r="A439">
        <v>21</v>
      </c>
      <c r="B439" t="s">
        <v>98</v>
      </c>
      <c r="C439" t="s">
        <v>132</v>
      </c>
    </row>
    <row r="440" spans="1:3" hidden="1" x14ac:dyDescent="0.25">
      <c r="A440">
        <v>27</v>
      </c>
      <c r="B440" t="s">
        <v>98</v>
      </c>
      <c r="C440" t="s">
        <v>132</v>
      </c>
    </row>
    <row r="441" spans="1:3" hidden="1" x14ac:dyDescent="0.25">
      <c r="A441">
        <v>31</v>
      </c>
      <c r="B441" t="s">
        <v>98</v>
      </c>
      <c r="C441" t="s">
        <v>132</v>
      </c>
    </row>
    <row r="442" spans="1:3" hidden="1" x14ac:dyDescent="0.25">
      <c r="A442">
        <v>20</v>
      </c>
      <c r="B442" t="s">
        <v>98</v>
      </c>
      <c r="C442" t="s">
        <v>132</v>
      </c>
    </row>
    <row r="443" spans="1:3" hidden="1" x14ac:dyDescent="0.25">
      <c r="A443">
        <v>21</v>
      </c>
      <c r="B443" t="s">
        <v>98</v>
      </c>
      <c r="C443" t="s">
        <v>132</v>
      </c>
    </row>
    <row r="444" spans="1:3" hidden="1" x14ac:dyDescent="0.25">
      <c r="A444">
        <v>25</v>
      </c>
      <c r="B444" t="s">
        <v>98</v>
      </c>
      <c r="C444" t="s">
        <v>132</v>
      </c>
    </row>
    <row r="445" spans="1:3" hidden="1" x14ac:dyDescent="0.25">
      <c r="A445">
        <v>25</v>
      </c>
      <c r="B445" t="s">
        <v>98</v>
      </c>
      <c r="C445" t="s">
        <v>132</v>
      </c>
    </row>
    <row r="446" spans="1:3" hidden="1" x14ac:dyDescent="0.25">
      <c r="A446">
        <v>34</v>
      </c>
      <c r="B446" t="s">
        <v>98</v>
      </c>
      <c r="C446" t="s">
        <v>132</v>
      </c>
    </row>
    <row r="447" spans="1:3" hidden="1" x14ac:dyDescent="0.25">
      <c r="A447">
        <v>22</v>
      </c>
      <c r="B447" t="s">
        <v>98</v>
      </c>
      <c r="C447" t="s">
        <v>132</v>
      </c>
    </row>
    <row r="448" spans="1:3" hidden="1" x14ac:dyDescent="0.25">
      <c r="A448">
        <v>20</v>
      </c>
      <c r="B448" t="s">
        <v>98</v>
      </c>
      <c r="C448" t="s">
        <v>132</v>
      </c>
    </row>
    <row r="449" spans="1:3" hidden="1" x14ac:dyDescent="0.25">
      <c r="A449">
        <v>21</v>
      </c>
      <c r="B449" t="s">
        <v>98</v>
      </c>
      <c r="C449" t="s">
        <v>132</v>
      </c>
    </row>
    <row r="450" spans="1:3" hidden="1" x14ac:dyDescent="0.25">
      <c r="A450">
        <v>32</v>
      </c>
      <c r="B450" t="s">
        <v>98</v>
      </c>
      <c r="C450" t="s">
        <v>132</v>
      </c>
    </row>
    <row r="451" spans="1:3" hidden="1" x14ac:dyDescent="0.25">
      <c r="A451">
        <v>32</v>
      </c>
      <c r="B451" t="s">
        <v>98</v>
      </c>
      <c r="C451" t="s">
        <v>132</v>
      </c>
    </row>
    <row r="452" spans="1:3" hidden="1" x14ac:dyDescent="0.25">
      <c r="A452">
        <v>20</v>
      </c>
      <c r="B452" t="s">
        <v>98</v>
      </c>
      <c r="C452" t="s">
        <v>132</v>
      </c>
    </row>
    <row r="453" spans="1:3" hidden="1" x14ac:dyDescent="0.25">
      <c r="A453">
        <v>19</v>
      </c>
      <c r="B453" t="s">
        <v>98</v>
      </c>
      <c r="C453" t="s">
        <v>132</v>
      </c>
    </row>
    <row r="454" spans="1:3" hidden="1" x14ac:dyDescent="0.25">
      <c r="A454">
        <v>27</v>
      </c>
      <c r="B454" t="s">
        <v>98</v>
      </c>
      <c r="C454" t="s">
        <v>132</v>
      </c>
    </row>
    <row r="455" spans="1:3" hidden="1" x14ac:dyDescent="0.25">
      <c r="A455">
        <v>25</v>
      </c>
      <c r="B455" t="s">
        <v>98</v>
      </c>
      <c r="C455" t="s">
        <v>132</v>
      </c>
    </row>
    <row r="456" spans="1:3" hidden="1" x14ac:dyDescent="0.25">
      <c r="A456">
        <v>20</v>
      </c>
      <c r="B456" t="s">
        <v>98</v>
      </c>
      <c r="C456" t="s">
        <v>132</v>
      </c>
    </row>
    <row r="457" spans="1:3" hidden="1" x14ac:dyDescent="0.25">
      <c r="A457">
        <v>20</v>
      </c>
      <c r="B457" t="s">
        <v>98</v>
      </c>
      <c r="C457" t="s">
        <v>132</v>
      </c>
    </row>
    <row r="458" spans="1:3" hidden="1" x14ac:dyDescent="0.25">
      <c r="A458">
        <v>31</v>
      </c>
      <c r="B458" t="s">
        <v>98</v>
      </c>
      <c r="C458" t="s">
        <v>132</v>
      </c>
    </row>
    <row r="459" spans="1:3" hidden="1" x14ac:dyDescent="0.25">
      <c r="A459" t="s">
        <v>136</v>
      </c>
      <c r="B459" t="s">
        <v>98</v>
      </c>
      <c r="C459" t="s">
        <v>51</v>
      </c>
    </row>
    <row r="460" spans="1:3" hidden="1" x14ac:dyDescent="0.25">
      <c r="A460" t="s">
        <v>136</v>
      </c>
      <c r="B460" t="s">
        <v>98</v>
      </c>
      <c r="C460" t="s">
        <v>51</v>
      </c>
    </row>
    <row r="461" spans="1:3" hidden="1" x14ac:dyDescent="0.25">
      <c r="A461" t="s">
        <v>139</v>
      </c>
      <c r="B461" t="s">
        <v>98</v>
      </c>
      <c r="C461" t="s">
        <v>51</v>
      </c>
    </row>
    <row r="462" spans="1:3" hidden="1" x14ac:dyDescent="0.25">
      <c r="A462" t="s">
        <v>136</v>
      </c>
      <c r="B462" t="s">
        <v>97</v>
      </c>
      <c r="C462" t="s">
        <v>51</v>
      </c>
    </row>
    <row r="463" spans="1:3" hidden="1" x14ac:dyDescent="0.25">
      <c r="A463" t="s">
        <v>147</v>
      </c>
      <c r="B463" t="s">
        <v>97</v>
      </c>
      <c r="C463" t="s">
        <v>51</v>
      </c>
    </row>
    <row r="464" spans="1:3" hidden="1" x14ac:dyDescent="0.25">
      <c r="A464" t="s">
        <v>136</v>
      </c>
      <c r="B464" t="s">
        <v>98</v>
      </c>
      <c r="C464" t="s">
        <v>51</v>
      </c>
    </row>
    <row r="465" spans="1:3" hidden="1" x14ac:dyDescent="0.25">
      <c r="A465" t="s">
        <v>116</v>
      </c>
      <c r="B465" t="s">
        <v>82</v>
      </c>
      <c r="C465" t="s">
        <v>51</v>
      </c>
    </row>
    <row r="466" spans="1:3" hidden="1" x14ac:dyDescent="0.25">
      <c r="A466" t="s">
        <v>136</v>
      </c>
      <c r="B466" t="s">
        <v>82</v>
      </c>
      <c r="C466" t="s">
        <v>51</v>
      </c>
    </row>
    <row r="467" spans="1:3" hidden="1" x14ac:dyDescent="0.25">
      <c r="A467" t="s">
        <v>136</v>
      </c>
      <c r="B467" t="s">
        <v>81</v>
      </c>
      <c r="C467" t="s">
        <v>51</v>
      </c>
    </row>
    <row r="468" spans="1:3" hidden="1" x14ac:dyDescent="0.25">
      <c r="A468" t="s">
        <v>117</v>
      </c>
      <c r="B468" t="s">
        <v>82</v>
      </c>
      <c r="C468" t="s">
        <v>51</v>
      </c>
    </row>
    <row r="469" spans="1:3" hidden="1" x14ac:dyDescent="0.25">
      <c r="A469" t="s">
        <v>117</v>
      </c>
      <c r="B469" t="s">
        <v>82</v>
      </c>
      <c r="C469" t="s">
        <v>51</v>
      </c>
    </row>
    <row r="470" spans="1:3" hidden="1" x14ac:dyDescent="0.25">
      <c r="A470" t="s">
        <v>136</v>
      </c>
      <c r="B470" t="s">
        <v>81</v>
      </c>
      <c r="C470" t="s">
        <v>51</v>
      </c>
    </row>
    <row r="471" spans="1:3" hidden="1" x14ac:dyDescent="0.25">
      <c r="A471" t="s">
        <v>118</v>
      </c>
      <c r="B471" t="s">
        <v>82</v>
      </c>
      <c r="C471" t="s">
        <v>51</v>
      </c>
    </row>
    <row r="472" spans="1:3" hidden="1" x14ac:dyDescent="0.25">
      <c r="A472" t="s">
        <v>135</v>
      </c>
      <c r="B472" t="s">
        <v>81</v>
      </c>
      <c r="C472" t="s">
        <v>51</v>
      </c>
    </row>
    <row r="473" spans="1:3" hidden="1" x14ac:dyDescent="0.25">
      <c r="A473" t="s">
        <v>136</v>
      </c>
      <c r="B473" t="s">
        <v>81</v>
      </c>
      <c r="C473" t="s">
        <v>51</v>
      </c>
    </row>
    <row r="474" spans="1:3" hidden="1" x14ac:dyDescent="0.25">
      <c r="A474" t="s">
        <v>127</v>
      </c>
      <c r="B474" t="s">
        <v>82</v>
      </c>
      <c r="C474" t="s">
        <v>51</v>
      </c>
    </row>
    <row r="475" spans="1:3" hidden="1" x14ac:dyDescent="0.25">
      <c r="A475" t="s">
        <v>136</v>
      </c>
      <c r="B475" t="s">
        <v>81</v>
      </c>
      <c r="C475" t="s">
        <v>51</v>
      </c>
    </row>
    <row r="476" spans="1:3" hidden="1" x14ac:dyDescent="0.25">
      <c r="A476" t="s">
        <v>136</v>
      </c>
      <c r="B476" t="s">
        <v>82</v>
      </c>
      <c r="C476" t="s">
        <v>51</v>
      </c>
    </row>
    <row r="477" spans="1:3" hidden="1" x14ac:dyDescent="0.25">
      <c r="A477" t="s">
        <v>136</v>
      </c>
      <c r="B477" t="s">
        <v>82</v>
      </c>
      <c r="C477" t="s">
        <v>51</v>
      </c>
    </row>
    <row r="478" spans="1:3" hidden="1" x14ac:dyDescent="0.25">
      <c r="A478" t="s">
        <v>136</v>
      </c>
      <c r="B478" t="s">
        <v>82</v>
      </c>
      <c r="C478" t="s">
        <v>51</v>
      </c>
    </row>
    <row r="479" spans="1:3" hidden="1" x14ac:dyDescent="0.25">
      <c r="A479" t="s">
        <v>136</v>
      </c>
      <c r="B479" t="s">
        <v>81</v>
      </c>
      <c r="C479" t="s">
        <v>51</v>
      </c>
    </row>
    <row r="480" spans="1:3" hidden="1" x14ac:dyDescent="0.25">
      <c r="A480" t="s">
        <v>136</v>
      </c>
      <c r="B480" t="s">
        <v>82</v>
      </c>
      <c r="C480" t="s">
        <v>51</v>
      </c>
    </row>
    <row r="481" spans="1:3" hidden="1" x14ac:dyDescent="0.25">
      <c r="A481" t="s">
        <v>117</v>
      </c>
      <c r="B481" t="s">
        <v>81</v>
      </c>
      <c r="C481" t="s">
        <v>51</v>
      </c>
    </row>
    <row r="482" spans="1:3" hidden="1" x14ac:dyDescent="0.25">
      <c r="A482" t="s">
        <v>128</v>
      </c>
      <c r="B482" t="s">
        <v>81</v>
      </c>
      <c r="C482" t="s">
        <v>51</v>
      </c>
    </row>
    <row r="483" spans="1:3" hidden="1" x14ac:dyDescent="0.25">
      <c r="A483" t="s">
        <v>136</v>
      </c>
      <c r="B483" t="s">
        <v>82</v>
      </c>
      <c r="C483" t="s">
        <v>51</v>
      </c>
    </row>
    <row r="484" spans="1:3" hidden="1" x14ac:dyDescent="0.25">
      <c r="A484" t="s">
        <v>136</v>
      </c>
      <c r="B484" t="s">
        <v>82</v>
      </c>
      <c r="C484" t="s">
        <v>51</v>
      </c>
    </row>
    <row r="485" spans="1:3" hidden="1" x14ac:dyDescent="0.25">
      <c r="A485" t="s">
        <v>136</v>
      </c>
      <c r="B485" t="s">
        <v>82</v>
      </c>
      <c r="C485" t="s">
        <v>51</v>
      </c>
    </row>
    <row r="486" spans="1:3" hidden="1" x14ac:dyDescent="0.25">
      <c r="A486" t="s">
        <v>136</v>
      </c>
      <c r="B486" t="s">
        <v>82</v>
      </c>
      <c r="C486" t="s">
        <v>51</v>
      </c>
    </row>
    <row r="487" spans="1:3" hidden="1" x14ac:dyDescent="0.25">
      <c r="A487" t="s">
        <v>136</v>
      </c>
      <c r="B487" t="s">
        <v>81</v>
      </c>
      <c r="C487" t="s">
        <v>51</v>
      </c>
    </row>
    <row r="488" spans="1:3" hidden="1" x14ac:dyDescent="0.25">
      <c r="A488" t="s">
        <v>136</v>
      </c>
      <c r="B488" t="s">
        <v>81</v>
      </c>
      <c r="C488" t="s">
        <v>51</v>
      </c>
    </row>
    <row r="489" spans="1:3" hidden="1" x14ac:dyDescent="0.25">
      <c r="A489" t="s">
        <v>136</v>
      </c>
      <c r="B489" t="s">
        <v>82</v>
      </c>
      <c r="C489" t="s">
        <v>51</v>
      </c>
    </row>
    <row r="490" spans="1:3" hidden="1" x14ac:dyDescent="0.25">
      <c r="A490" t="s">
        <v>188</v>
      </c>
      <c r="B490" t="s">
        <v>82</v>
      </c>
      <c r="C490" t="s">
        <v>119</v>
      </c>
    </row>
    <row r="491" spans="1:3" hidden="1" x14ac:dyDescent="0.25">
      <c r="A491" t="s">
        <v>189</v>
      </c>
      <c r="B491" t="s">
        <v>81</v>
      </c>
      <c r="C491" t="s">
        <v>119</v>
      </c>
    </row>
    <row r="492" spans="1:3" hidden="1" x14ac:dyDescent="0.25">
      <c r="A492">
        <v>2</v>
      </c>
      <c r="B492" t="s">
        <v>81</v>
      </c>
      <c r="C492" t="s">
        <v>119</v>
      </c>
    </row>
    <row r="493" spans="1:3" hidden="1" x14ac:dyDescent="0.25">
      <c r="A493">
        <v>35</v>
      </c>
      <c r="B493" t="s">
        <v>82</v>
      </c>
      <c r="C493" t="s">
        <v>119</v>
      </c>
    </row>
    <row r="494" spans="1:3" hidden="1" x14ac:dyDescent="0.25">
      <c r="A494">
        <v>6</v>
      </c>
      <c r="B494" t="s">
        <v>82</v>
      </c>
      <c r="C494" t="s">
        <v>119</v>
      </c>
    </row>
    <row r="495" spans="1:3" hidden="1" x14ac:dyDescent="0.25">
      <c r="A495">
        <v>74</v>
      </c>
      <c r="B495" t="s">
        <v>81</v>
      </c>
      <c r="C495" t="s">
        <v>119</v>
      </c>
    </row>
    <row r="496" spans="1:3" hidden="1" x14ac:dyDescent="0.25">
      <c r="A496">
        <v>63</v>
      </c>
      <c r="B496" t="s">
        <v>82</v>
      </c>
      <c r="C496" t="s">
        <v>119</v>
      </c>
    </row>
    <row r="497" spans="1:3" hidden="1" x14ac:dyDescent="0.25">
      <c r="A497">
        <v>68</v>
      </c>
      <c r="B497" t="s">
        <v>82</v>
      </c>
      <c r="C497" t="s">
        <v>119</v>
      </c>
    </row>
    <row r="498" spans="1:3" hidden="1" x14ac:dyDescent="0.25">
      <c r="A498">
        <v>86</v>
      </c>
      <c r="B498" t="s">
        <v>82</v>
      </c>
      <c r="C498" t="s">
        <v>119</v>
      </c>
    </row>
    <row r="499" spans="1:3" hidden="1" x14ac:dyDescent="0.25">
      <c r="A499">
        <v>88</v>
      </c>
      <c r="B499" t="s">
        <v>82</v>
      </c>
      <c r="C499" t="s">
        <v>119</v>
      </c>
    </row>
    <row r="500" spans="1:3" hidden="1" x14ac:dyDescent="0.25">
      <c r="A500">
        <v>37</v>
      </c>
      <c r="B500" t="s">
        <v>82</v>
      </c>
      <c r="C500" t="s">
        <v>119</v>
      </c>
    </row>
    <row r="501" spans="1:3" hidden="1" x14ac:dyDescent="0.25">
      <c r="A501">
        <v>5</v>
      </c>
      <c r="B501" t="s">
        <v>82</v>
      </c>
      <c r="C501" t="s">
        <v>119</v>
      </c>
    </row>
    <row r="502" spans="1:3" hidden="1" x14ac:dyDescent="0.25">
      <c r="A502">
        <v>49</v>
      </c>
      <c r="B502" t="s">
        <v>81</v>
      </c>
      <c r="C502" t="s">
        <v>119</v>
      </c>
    </row>
    <row r="503" spans="1:3" hidden="1" x14ac:dyDescent="0.25">
      <c r="A503">
        <v>21</v>
      </c>
      <c r="B503" t="s">
        <v>81</v>
      </c>
      <c r="C503" t="s">
        <v>119</v>
      </c>
    </row>
    <row r="504" spans="1:3" hidden="1" x14ac:dyDescent="0.25">
      <c r="A504">
        <v>76</v>
      </c>
      <c r="B504" t="s">
        <v>82</v>
      </c>
      <c r="C504" t="s">
        <v>119</v>
      </c>
    </row>
    <row r="505" spans="1:3" hidden="1" x14ac:dyDescent="0.25">
      <c r="A505">
        <v>45</v>
      </c>
      <c r="B505" t="s">
        <v>82</v>
      </c>
      <c r="C505" t="s">
        <v>119</v>
      </c>
    </row>
    <row r="506" spans="1:3" hidden="1" x14ac:dyDescent="0.25">
      <c r="A506">
        <v>45</v>
      </c>
      <c r="B506" t="s">
        <v>82</v>
      </c>
      <c r="C506" t="s">
        <v>119</v>
      </c>
    </row>
    <row r="507" spans="1:3" hidden="1" x14ac:dyDescent="0.25">
      <c r="A507">
        <v>53</v>
      </c>
      <c r="B507" t="s">
        <v>82</v>
      </c>
      <c r="C507" t="s">
        <v>119</v>
      </c>
    </row>
    <row r="508" spans="1:3" hidden="1" x14ac:dyDescent="0.25">
      <c r="A508">
        <v>31</v>
      </c>
      <c r="B508" t="s">
        <v>82</v>
      </c>
      <c r="C508" t="s">
        <v>119</v>
      </c>
    </row>
    <row r="509" spans="1:3" hidden="1" x14ac:dyDescent="0.25">
      <c r="A509">
        <v>67</v>
      </c>
      <c r="B509" t="s">
        <v>81</v>
      </c>
      <c r="C509" t="s">
        <v>119</v>
      </c>
    </row>
    <row r="510" spans="1:3" hidden="1" x14ac:dyDescent="0.25">
      <c r="A510">
        <v>45</v>
      </c>
      <c r="B510" t="s">
        <v>82</v>
      </c>
      <c r="C510" t="s">
        <v>119</v>
      </c>
    </row>
    <row r="511" spans="1:3" hidden="1" x14ac:dyDescent="0.25">
      <c r="A511">
        <v>1</v>
      </c>
      <c r="B511" t="s">
        <v>82</v>
      </c>
      <c r="C511" t="s">
        <v>119</v>
      </c>
    </row>
    <row r="512" spans="1:3" hidden="1" x14ac:dyDescent="0.25">
      <c r="A512">
        <v>63</v>
      </c>
      <c r="B512" t="s">
        <v>82</v>
      </c>
      <c r="C512" t="s">
        <v>119</v>
      </c>
    </row>
    <row r="513" spans="1:3" hidden="1" x14ac:dyDescent="0.25">
      <c r="A513">
        <v>33</v>
      </c>
      <c r="B513" t="s">
        <v>82</v>
      </c>
      <c r="C513" t="s">
        <v>119</v>
      </c>
    </row>
    <row r="514" spans="1:3" hidden="1" x14ac:dyDescent="0.25">
      <c r="A514">
        <v>26</v>
      </c>
      <c r="B514" t="s">
        <v>81</v>
      </c>
      <c r="C514" t="s">
        <v>119</v>
      </c>
    </row>
    <row r="515" spans="1:3" hidden="1" x14ac:dyDescent="0.25">
      <c r="A515">
        <v>23</v>
      </c>
      <c r="B515" t="s">
        <v>81</v>
      </c>
      <c r="C515" t="s">
        <v>119</v>
      </c>
    </row>
    <row r="516" spans="1:3" hidden="1" x14ac:dyDescent="0.25">
      <c r="A516">
        <v>78</v>
      </c>
      <c r="B516" t="s">
        <v>82</v>
      </c>
      <c r="C516" t="s">
        <v>119</v>
      </c>
    </row>
    <row r="517" spans="1:3" hidden="1" x14ac:dyDescent="0.25">
      <c r="A517">
        <v>34</v>
      </c>
      <c r="B517" t="s">
        <v>81</v>
      </c>
      <c r="C517" t="s">
        <v>119</v>
      </c>
    </row>
    <row r="518" spans="1:3" hidden="1" x14ac:dyDescent="0.25">
      <c r="A518">
        <v>48</v>
      </c>
      <c r="B518" t="s">
        <v>82</v>
      </c>
      <c r="C518" t="s">
        <v>119</v>
      </c>
    </row>
    <row r="519" spans="1:3" hidden="1" x14ac:dyDescent="0.25">
      <c r="A519">
        <v>38</v>
      </c>
      <c r="B519" t="s">
        <v>82</v>
      </c>
      <c r="C519" t="s">
        <v>119</v>
      </c>
    </row>
    <row r="520" spans="1:3" hidden="1" x14ac:dyDescent="0.25">
      <c r="A520">
        <v>64</v>
      </c>
      <c r="B520" t="s">
        <v>81</v>
      </c>
      <c r="C520" t="s">
        <v>119</v>
      </c>
    </row>
    <row r="521" spans="1:3" hidden="1" x14ac:dyDescent="0.25">
      <c r="A521">
        <v>23</v>
      </c>
      <c r="B521" t="s">
        <v>82</v>
      </c>
      <c r="C521" t="s">
        <v>119</v>
      </c>
    </row>
    <row r="522" spans="1:3" hidden="1" x14ac:dyDescent="0.25">
      <c r="A522">
        <v>37</v>
      </c>
      <c r="B522" t="s">
        <v>81</v>
      </c>
      <c r="C522" t="s">
        <v>119</v>
      </c>
    </row>
    <row r="523" spans="1:3" hidden="1" x14ac:dyDescent="0.25">
      <c r="A523">
        <v>27</v>
      </c>
      <c r="B523" t="s">
        <v>82</v>
      </c>
      <c r="C523" t="s">
        <v>119</v>
      </c>
    </row>
    <row r="524" spans="1:3" x14ac:dyDescent="0.25">
      <c r="A524">
        <v>18</v>
      </c>
      <c r="B524" t="s">
        <v>82</v>
      </c>
      <c r="C524" t="s">
        <v>119</v>
      </c>
    </row>
    <row r="525" spans="1:3" hidden="1" x14ac:dyDescent="0.25">
      <c r="A525">
        <v>61</v>
      </c>
      <c r="B525" t="s">
        <v>82</v>
      </c>
      <c r="C525" t="s">
        <v>119</v>
      </c>
    </row>
    <row r="526" spans="1:3" hidden="1" x14ac:dyDescent="0.25">
      <c r="A526">
        <v>31</v>
      </c>
      <c r="B526" t="s">
        <v>82</v>
      </c>
      <c r="C526" t="s">
        <v>119</v>
      </c>
    </row>
    <row r="527" spans="1:3" hidden="1" x14ac:dyDescent="0.25">
      <c r="A527">
        <v>20</v>
      </c>
      <c r="B527" t="s">
        <v>82</v>
      </c>
      <c r="C527" t="s">
        <v>119</v>
      </c>
    </row>
    <row r="528" spans="1:3" hidden="1" x14ac:dyDescent="0.25">
      <c r="A528">
        <v>57</v>
      </c>
      <c r="B528" t="s">
        <v>82</v>
      </c>
      <c r="C528" t="s">
        <v>119</v>
      </c>
    </row>
    <row r="529" spans="1:3" hidden="1" x14ac:dyDescent="0.25">
      <c r="A529">
        <v>49</v>
      </c>
      <c r="B529" t="s">
        <v>82</v>
      </c>
      <c r="C529" t="s">
        <v>119</v>
      </c>
    </row>
    <row r="530" spans="1:3" hidden="1" x14ac:dyDescent="0.25">
      <c r="A530">
        <v>88</v>
      </c>
      <c r="B530" t="s">
        <v>82</v>
      </c>
      <c r="C530" t="s">
        <v>119</v>
      </c>
    </row>
    <row r="531" spans="1:3" hidden="1" x14ac:dyDescent="0.25">
      <c r="A531">
        <v>60</v>
      </c>
      <c r="B531" t="s">
        <v>82</v>
      </c>
      <c r="C531" t="s">
        <v>119</v>
      </c>
    </row>
    <row r="532" spans="1:3" hidden="1" x14ac:dyDescent="0.25">
      <c r="A532">
        <v>3</v>
      </c>
      <c r="B532" t="s">
        <v>82</v>
      </c>
      <c r="C532" t="s">
        <v>119</v>
      </c>
    </row>
    <row r="533" spans="1:3" hidden="1" x14ac:dyDescent="0.25">
      <c r="A533">
        <v>68</v>
      </c>
      <c r="B533" t="s">
        <v>81</v>
      </c>
      <c r="C533" t="s">
        <v>119</v>
      </c>
    </row>
    <row r="534" spans="1:3" hidden="1" x14ac:dyDescent="0.25">
      <c r="A534">
        <v>47</v>
      </c>
      <c r="B534" t="s">
        <v>82</v>
      </c>
      <c r="C534" t="s">
        <v>119</v>
      </c>
    </row>
    <row r="535" spans="1:3" hidden="1" x14ac:dyDescent="0.25">
      <c r="A535">
        <v>6</v>
      </c>
      <c r="B535" t="s">
        <v>81</v>
      </c>
      <c r="C535" t="s">
        <v>119</v>
      </c>
    </row>
    <row r="536" spans="1:3" hidden="1" x14ac:dyDescent="0.25">
      <c r="A536">
        <v>27</v>
      </c>
      <c r="B536" t="s">
        <v>82</v>
      </c>
      <c r="C536" t="s">
        <v>119</v>
      </c>
    </row>
    <row r="537" spans="1:3" hidden="1" x14ac:dyDescent="0.25">
      <c r="A537">
        <v>37</v>
      </c>
      <c r="B537" t="s">
        <v>82</v>
      </c>
      <c r="C537" t="s">
        <v>119</v>
      </c>
    </row>
    <row r="538" spans="1:3" hidden="1" x14ac:dyDescent="0.25">
      <c r="A538">
        <v>81</v>
      </c>
      <c r="B538" t="s">
        <v>81</v>
      </c>
      <c r="C538" t="s">
        <v>119</v>
      </c>
    </row>
    <row r="539" spans="1:3" hidden="1" x14ac:dyDescent="0.25">
      <c r="A539">
        <v>41</v>
      </c>
      <c r="B539" t="s">
        <v>82</v>
      </c>
      <c r="C539" t="s">
        <v>119</v>
      </c>
    </row>
    <row r="540" spans="1:3" hidden="1" x14ac:dyDescent="0.25">
      <c r="A540">
        <v>6</v>
      </c>
      <c r="B540" t="s">
        <v>82</v>
      </c>
      <c r="C540" t="s">
        <v>119</v>
      </c>
    </row>
    <row r="541" spans="1:3" hidden="1" x14ac:dyDescent="0.25">
      <c r="A541">
        <v>74</v>
      </c>
      <c r="B541" t="s">
        <v>82</v>
      </c>
      <c r="C541" t="s">
        <v>119</v>
      </c>
    </row>
    <row r="542" spans="1:3" hidden="1" x14ac:dyDescent="0.25">
      <c r="A542">
        <v>27</v>
      </c>
      <c r="B542" t="s">
        <v>82</v>
      </c>
      <c r="C542" t="s">
        <v>119</v>
      </c>
    </row>
    <row r="543" spans="1:3" hidden="1" x14ac:dyDescent="0.25">
      <c r="A543">
        <v>59</v>
      </c>
      <c r="B543" t="s">
        <v>81</v>
      </c>
      <c r="C543" t="s">
        <v>119</v>
      </c>
    </row>
    <row r="544" spans="1:3" hidden="1" x14ac:dyDescent="0.25">
      <c r="A544">
        <v>48</v>
      </c>
      <c r="B544" t="s">
        <v>81</v>
      </c>
      <c r="C544" t="s">
        <v>119</v>
      </c>
    </row>
    <row r="545" spans="1:3" hidden="1" x14ac:dyDescent="0.25">
      <c r="A545">
        <v>37</v>
      </c>
      <c r="B545" t="s">
        <v>82</v>
      </c>
      <c r="C545" t="s">
        <v>119</v>
      </c>
    </row>
    <row r="546" spans="1:3" hidden="1" x14ac:dyDescent="0.25">
      <c r="A546">
        <v>73</v>
      </c>
      <c r="B546" t="s">
        <v>81</v>
      </c>
      <c r="C546" t="s">
        <v>119</v>
      </c>
    </row>
    <row r="547" spans="1:3" hidden="1" x14ac:dyDescent="0.25">
      <c r="A547">
        <v>90</v>
      </c>
      <c r="B547" t="s">
        <v>82</v>
      </c>
      <c r="C547" t="s">
        <v>119</v>
      </c>
    </row>
    <row r="548" spans="1:3" hidden="1" x14ac:dyDescent="0.25">
      <c r="A548">
        <v>34</v>
      </c>
      <c r="B548" t="s">
        <v>82</v>
      </c>
      <c r="C548" t="s">
        <v>119</v>
      </c>
    </row>
    <row r="549" spans="1:3" hidden="1" x14ac:dyDescent="0.25">
      <c r="A549">
        <v>58</v>
      </c>
      <c r="B549" t="s">
        <v>81</v>
      </c>
      <c r="C549" t="s">
        <v>119</v>
      </c>
    </row>
    <row r="550" spans="1:3" hidden="1" x14ac:dyDescent="0.25">
      <c r="A550">
        <v>1</v>
      </c>
      <c r="B550" t="s">
        <v>82</v>
      </c>
      <c r="C550" t="s">
        <v>119</v>
      </c>
    </row>
    <row r="551" spans="1:3" hidden="1" x14ac:dyDescent="0.25">
      <c r="A551">
        <v>66</v>
      </c>
      <c r="B551" t="s">
        <v>81</v>
      </c>
      <c r="C551" t="s">
        <v>119</v>
      </c>
    </row>
    <row r="552" spans="1:3" hidden="1" x14ac:dyDescent="0.25">
      <c r="A552">
        <v>26</v>
      </c>
      <c r="B552" t="s">
        <v>81</v>
      </c>
      <c r="C552" t="s">
        <v>119</v>
      </c>
    </row>
    <row r="553" spans="1:3" hidden="1" x14ac:dyDescent="0.25">
      <c r="A553">
        <v>46</v>
      </c>
      <c r="B553" t="s">
        <v>82</v>
      </c>
      <c r="C553" t="s">
        <v>119</v>
      </c>
    </row>
    <row r="554" spans="1:3" hidden="1" x14ac:dyDescent="0.25">
      <c r="A554">
        <v>42</v>
      </c>
      <c r="B554" t="s">
        <v>81</v>
      </c>
      <c r="C554" t="s">
        <v>119</v>
      </c>
    </row>
    <row r="555" spans="1:3" x14ac:dyDescent="0.25">
      <c r="A555">
        <v>19</v>
      </c>
      <c r="B555" t="s">
        <v>82</v>
      </c>
      <c r="C555" t="s">
        <v>119</v>
      </c>
    </row>
    <row r="556" spans="1:3" hidden="1" x14ac:dyDescent="0.25">
      <c r="A556">
        <v>38</v>
      </c>
      <c r="B556" t="s">
        <v>81</v>
      </c>
      <c r="C556" t="s">
        <v>119</v>
      </c>
    </row>
    <row r="557" spans="1:3" hidden="1" x14ac:dyDescent="0.25">
      <c r="A557">
        <v>27</v>
      </c>
      <c r="B557" t="s">
        <v>81</v>
      </c>
      <c r="C557" t="s">
        <v>119</v>
      </c>
    </row>
    <row r="558" spans="1:3" hidden="1" x14ac:dyDescent="0.25">
      <c r="A558">
        <v>18</v>
      </c>
      <c r="B558" t="s">
        <v>81</v>
      </c>
      <c r="C558" t="s">
        <v>119</v>
      </c>
    </row>
    <row r="559" spans="1:3" hidden="1" x14ac:dyDescent="0.25">
      <c r="A559">
        <v>2</v>
      </c>
      <c r="B559" t="s">
        <v>82</v>
      </c>
      <c r="C559" t="s">
        <v>119</v>
      </c>
    </row>
    <row r="560" spans="1:3" hidden="1" x14ac:dyDescent="0.25">
      <c r="A560">
        <v>26</v>
      </c>
      <c r="B560" t="s">
        <v>82</v>
      </c>
      <c r="C560" t="s">
        <v>119</v>
      </c>
    </row>
    <row r="561" spans="1:3" hidden="1" x14ac:dyDescent="0.25">
      <c r="A561">
        <v>17</v>
      </c>
      <c r="B561" t="s">
        <v>81</v>
      </c>
      <c r="C561" t="s">
        <v>119</v>
      </c>
    </row>
    <row r="562" spans="1:3" hidden="1" x14ac:dyDescent="0.25">
      <c r="A562">
        <v>1</v>
      </c>
      <c r="B562" t="s">
        <v>82</v>
      </c>
      <c r="C562" t="s">
        <v>119</v>
      </c>
    </row>
    <row r="563" spans="1:3" hidden="1" x14ac:dyDescent="0.25">
      <c r="A563">
        <v>59</v>
      </c>
      <c r="B563" t="s">
        <v>82</v>
      </c>
      <c r="C563" t="s">
        <v>119</v>
      </c>
    </row>
    <row r="564" spans="1:3" hidden="1" x14ac:dyDescent="0.25">
      <c r="A564">
        <v>55</v>
      </c>
      <c r="B564" t="s">
        <v>81</v>
      </c>
      <c r="C564" t="s">
        <v>119</v>
      </c>
    </row>
    <row r="565" spans="1:3" hidden="1" x14ac:dyDescent="0.25">
      <c r="A565">
        <v>24</v>
      </c>
      <c r="B565" t="s">
        <v>82</v>
      </c>
      <c r="C565" t="s">
        <v>119</v>
      </c>
    </row>
    <row r="566" spans="1:3" hidden="1" x14ac:dyDescent="0.25">
      <c r="A566">
        <v>19</v>
      </c>
      <c r="B566" t="s">
        <v>81</v>
      </c>
      <c r="C566" t="s">
        <v>119</v>
      </c>
    </row>
    <row r="567" spans="1:3" hidden="1" x14ac:dyDescent="0.25">
      <c r="A567">
        <v>35</v>
      </c>
      <c r="B567" t="s">
        <v>81</v>
      </c>
      <c r="C567" t="s">
        <v>119</v>
      </c>
    </row>
    <row r="568" spans="1:3" hidden="1" x14ac:dyDescent="0.25">
      <c r="A568">
        <v>71</v>
      </c>
      <c r="B568" t="s">
        <v>82</v>
      </c>
      <c r="C568" t="s">
        <v>119</v>
      </c>
    </row>
    <row r="569" spans="1:3" hidden="1" x14ac:dyDescent="0.25">
      <c r="A569">
        <v>17</v>
      </c>
      <c r="B569" t="s">
        <v>81</v>
      </c>
      <c r="C569" t="s">
        <v>119</v>
      </c>
    </row>
    <row r="570" spans="1:3" hidden="1" x14ac:dyDescent="0.25">
      <c r="A570">
        <v>30</v>
      </c>
      <c r="B570" t="s">
        <v>81</v>
      </c>
      <c r="C570" t="s">
        <v>119</v>
      </c>
    </row>
    <row r="571" spans="1:3" hidden="1" x14ac:dyDescent="0.25">
      <c r="A571">
        <v>1</v>
      </c>
      <c r="B571" t="s">
        <v>82</v>
      </c>
      <c r="C571" t="s">
        <v>119</v>
      </c>
    </row>
    <row r="572" spans="1:3" hidden="1" x14ac:dyDescent="0.25">
      <c r="A572">
        <v>55</v>
      </c>
      <c r="B572" t="s">
        <v>81</v>
      </c>
      <c r="C572" t="s">
        <v>119</v>
      </c>
    </row>
    <row r="573" spans="1:3" hidden="1" x14ac:dyDescent="0.25">
      <c r="A573">
        <v>17</v>
      </c>
      <c r="B573" t="s">
        <v>82</v>
      </c>
      <c r="C573" t="s">
        <v>119</v>
      </c>
    </row>
    <row r="574" spans="1:3" hidden="1" x14ac:dyDescent="0.25">
      <c r="A574">
        <v>48</v>
      </c>
      <c r="B574" t="s">
        <v>82</v>
      </c>
      <c r="C574" t="s">
        <v>119</v>
      </c>
    </row>
    <row r="575" spans="1:3" hidden="1" x14ac:dyDescent="0.25">
      <c r="A575">
        <v>2</v>
      </c>
      <c r="B575" t="s">
        <v>82</v>
      </c>
      <c r="C575" t="s">
        <v>119</v>
      </c>
    </row>
    <row r="576" spans="1:3" hidden="1" x14ac:dyDescent="0.25">
      <c r="A576">
        <v>17</v>
      </c>
      <c r="B576" t="s">
        <v>82</v>
      </c>
      <c r="C576" t="s">
        <v>119</v>
      </c>
    </row>
    <row r="577" spans="1:3" hidden="1" x14ac:dyDescent="0.25">
      <c r="A577">
        <v>19</v>
      </c>
      <c r="B577" t="s">
        <v>81</v>
      </c>
      <c r="C577" t="s">
        <v>119</v>
      </c>
    </row>
    <row r="578" spans="1:3" hidden="1" x14ac:dyDescent="0.25">
      <c r="A578">
        <v>39</v>
      </c>
      <c r="B578" t="s">
        <v>82</v>
      </c>
      <c r="C578" t="s">
        <v>119</v>
      </c>
    </row>
    <row r="579" spans="1:3" hidden="1" x14ac:dyDescent="0.25">
      <c r="A579">
        <v>70</v>
      </c>
      <c r="B579" t="s">
        <v>81</v>
      </c>
      <c r="C579" t="s">
        <v>119</v>
      </c>
    </row>
    <row r="580" spans="1:3" hidden="1" x14ac:dyDescent="0.25">
      <c r="A580">
        <v>36</v>
      </c>
      <c r="B580" t="s">
        <v>82</v>
      </c>
      <c r="C580" t="s">
        <v>119</v>
      </c>
    </row>
    <row r="581" spans="1:3" hidden="1" x14ac:dyDescent="0.25">
      <c r="A581">
        <v>53</v>
      </c>
      <c r="B581" t="s">
        <v>81</v>
      </c>
      <c r="C581" t="s">
        <v>119</v>
      </c>
    </row>
    <row r="582" spans="1:3" hidden="1" x14ac:dyDescent="0.25">
      <c r="A582">
        <v>1</v>
      </c>
      <c r="B582" t="s">
        <v>82</v>
      </c>
      <c r="C582" t="s">
        <v>119</v>
      </c>
    </row>
    <row r="583" spans="1:3" hidden="1" x14ac:dyDescent="0.25">
      <c r="A583">
        <v>49</v>
      </c>
      <c r="B583" t="s">
        <v>82</v>
      </c>
      <c r="C583" t="s">
        <v>119</v>
      </c>
    </row>
    <row r="584" spans="1:3" hidden="1" x14ac:dyDescent="0.25">
      <c r="A584">
        <v>45</v>
      </c>
      <c r="B584" t="s">
        <v>81</v>
      </c>
      <c r="C584" t="s">
        <v>119</v>
      </c>
    </row>
    <row r="585" spans="1:3" hidden="1" x14ac:dyDescent="0.25">
      <c r="A585">
        <v>44</v>
      </c>
      <c r="B585" t="s">
        <v>82</v>
      </c>
      <c r="C585" t="s">
        <v>119</v>
      </c>
    </row>
    <row r="586" spans="1:3" hidden="1" x14ac:dyDescent="0.25">
      <c r="A586">
        <v>37</v>
      </c>
      <c r="B586" t="s">
        <v>81</v>
      </c>
      <c r="C586" t="s">
        <v>119</v>
      </c>
    </row>
    <row r="587" spans="1:3" hidden="1" x14ac:dyDescent="0.25">
      <c r="A587">
        <v>89</v>
      </c>
      <c r="B587" t="s">
        <v>82</v>
      </c>
      <c r="C587" t="s">
        <v>119</v>
      </c>
    </row>
    <row r="588" spans="1:3" hidden="1" x14ac:dyDescent="0.25">
      <c r="A588">
        <v>54</v>
      </c>
      <c r="B588" t="s">
        <v>82</v>
      </c>
      <c r="C588" t="s">
        <v>119</v>
      </c>
    </row>
    <row r="589" spans="1:3" hidden="1" x14ac:dyDescent="0.25">
      <c r="A589">
        <v>67</v>
      </c>
      <c r="B589" t="s">
        <v>81</v>
      </c>
      <c r="C589" t="s">
        <v>119</v>
      </c>
    </row>
    <row r="590" spans="1:3" hidden="1" x14ac:dyDescent="0.25">
      <c r="A590">
        <v>31</v>
      </c>
      <c r="B590" t="s">
        <v>82</v>
      </c>
      <c r="C590" t="s">
        <v>119</v>
      </c>
    </row>
    <row r="591" spans="1:3" hidden="1" x14ac:dyDescent="0.25">
      <c r="A591">
        <v>17</v>
      </c>
      <c r="B591" t="s">
        <v>82</v>
      </c>
      <c r="C591" t="s">
        <v>119</v>
      </c>
    </row>
    <row r="592" spans="1:3" hidden="1" x14ac:dyDescent="0.25">
      <c r="A592">
        <v>4</v>
      </c>
      <c r="B592" t="s">
        <v>81</v>
      </c>
      <c r="C592" t="s">
        <v>119</v>
      </c>
    </row>
    <row r="593" spans="1:3" hidden="1" x14ac:dyDescent="0.25">
      <c r="A593">
        <v>26</v>
      </c>
      <c r="B593" t="s">
        <v>81</v>
      </c>
      <c r="C593" t="s">
        <v>119</v>
      </c>
    </row>
    <row r="594" spans="1:3" hidden="1" x14ac:dyDescent="0.25">
      <c r="A594">
        <v>85</v>
      </c>
      <c r="B594" t="s">
        <v>82</v>
      </c>
      <c r="C594" t="s">
        <v>119</v>
      </c>
    </row>
    <row r="595" spans="1:3" hidden="1" x14ac:dyDescent="0.25">
      <c r="A595">
        <v>3</v>
      </c>
      <c r="B595" t="s">
        <v>81</v>
      </c>
      <c r="C595" t="s">
        <v>119</v>
      </c>
    </row>
    <row r="596" spans="1:3" hidden="1" x14ac:dyDescent="0.25">
      <c r="A596">
        <v>38</v>
      </c>
      <c r="B596" t="s">
        <v>81</v>
      </c>
      <c r="C596" t="s">
        <v>119</v>
      </c>
    </row>
    <row r="597" spans="1:3" hidden="1" x14ac:dyDescent="0.25">
      <c r="A597">
        <v>52</v>
      </c>
      <c r="B597" t="s">
        <v>82</v>
      </c>
      <c r="C597" t="s">
        <v>119</v>
      </c>
    </row>
    <row r="598" spans="1:3" hidden="1" x14ac:dyDescent="0.25">
      <c r="A598">
        <v>69</v>
      </c>
      <c r="B598" t="s">
        <v>82</v>
      </c>
      <c r="C598" t="s">
        <v>119</v>
      </c>
    </row>
    <row r="599" spans="1:3" hidden="1" x14ac:dyDescent="0.25">
      <c r="A599">
        <v>82</v>
      </c>
      <c r="B599" t="s">
        <v>82</v>
      </c>
      <c r="C599" t="s">
        <v>119</v>
      </c>
    </row>
    <row r="600" spans="1:3" hidden="1" x14ac:dyDescent="0.25">
      <c r="A600">
        <v>48</v>
      </c>
      <c r="B600" t="s">
        <v>82</v>
      </c>
      <c r="C600" t="s">
        <v>119</v>
      </c>
    </row>
    <row r="601" spans="1:3" hidden="1" x14ac:dyDescent="0.25">
      <c r="A601">
        <v>56</v>
      </c>
      <c r="B601" t="s">
        <v>81</v>
      </c>
      <c r="C601" t="s">
        <v>119</v>
      </c>
    </row>
    <row r="602" spans="1:3" x14ac:dyDescent="0.25">
      <c r="A602">
        <v>19</v>
      </c>
      <c r="B602" t="s">
        <v>82</v>
      </c>
      <c r="C602" t="s">
        <v>119</v>
      </c>
    </row>
    <row r="603" spans="1:3" hidden="1" x14ac:dyDescent="0.25">
      <c r="A603">
        <v>28</v>
      </c>
      <c r="B603" t="s">
        <v>81</v>
      </c>
      <c r="C603" t="s">
        <v>119</v>
      </c>
    </row>
    <row r="604" spans="1:3" hidden="1" x14ac:dyDescent="0.25">
      <c r="A604">
        <v>59</v>
      </c>
      <c r="B604" t="s">
        <v>81</v>
      </c>
      <c r="C604" t="s">
        <v>119</v>
      </c>
    </row>
    <row r="605" spans="1:3" x14ac:dyDescent="0.25">
      <c r="A605">
        <v>19</v>
      </c>
      <c r="B605" t="s">
        <v>82</v>
      </c>
      <c r="C605" t="s">
        <v>119</v>
      </c>
    </row>
    <row r="606" spans="1:3" hidden="1" x14ac:dyDescent="0.25">
      <c r="A606">
        <v>62</v>
      </c>
      <c r="B606" t="s">
        <v>81</v>
      </c>
      <c r="C606" t="s">
        <v>119</v>
      </c>
    </row>
    <row r="607" spans="1:3" hidden="1" x14ac:dyDescent="0.25">
      <c r="A607">
        <v>75</v>
      </c>
      <c r="B607" t="s">
        <v>82</v>
      </c>
      <c r="C607" t="s">
        <v>119</v>
      </c>
    </row>
    <row r="608" spans="1:3" hidden="1" x14ac:dyDescent="0.25">
      <c r="A608">
        <v>89</v>
      </c>
      <c r="B608" t="s">
        <v>81</v>
      </c>
      <c r="C608" t="s">
        <v>119</v>
      </c>
    </row>
    <row r="609" spans="1:3" hidden="1" x14ac:dyDescent="0.25">
      <c r="A609">
        <v>16</v>
      </c>
      <c r="B609" t="s">
        <v>82</v>
      </c>
      <c r="C609" t="s">
        <v>119</v>
      </c>
    </row>
    <row r="610" spans="1:3" hidden="1" x14ac:dyDescent="0.25">
      <c r="A610">
        <v>52</v>
      </c>
      <c r="B610" t="s">
        <v>82</v>
      </c>
      <c r="C610" t="s">
        <v>119</v>
      </c>
    </row>
    <row r="611" spans="1:3" hidden="1" x14ac:dyDescent="0.25">
      <c r="A611">
        <v>14</v>
      </c>
      <c r="B611" t="s">
        <v>82</v>
      </c>
      <c r="C611" t="s">
        <v>119</v>
      </c>
    </row>
    <row r="612" spans="1:3" hidden="1" x14ac:dyDescent="0.25">
      <c r="A612">
        <v>24</v>
      </c>
      <c r="B612" t="s">
        <v>81</v>
      </c>
      <c r="C612" t="s">
        <v>119</v>
      </c>
    </row>
    <row r="613" spans="1:3" hidden="1" x14ac:dyDescent="0.25">
      <c r="A613">
        <v>1</v>
      </c>
      <c r="B613" t="s">
        <v>82</v>
      </c>
      <c r="C613" t="s">
        <v>119</v>
      </c>
    </row>
    <row r="614" spans="1:3" hidden="1" x14ac:dyDescent="0.25">
      <c r="A614">
        <v>23</v>
      </c>
      <c r="B614" t="s">
        <v>82</v>
      </c>
      <c r="C614" t="s">
        <v>119</v>
      </c>
    </row>
    <row r="615" spans="1:3" hidden="1" x14ac:dyDescent="0.25">
      <c r="A615">
        <v>68</v>
      </c>
      <c r="B615" t="s">
        <v>82</v>
      </c>
      <c r="C615" t="s">
        <v>119</v>
      </c>
    </row>
    <row r="616" spans="1:3" hidden="1" x14ac:dyDescent="0.25">
      <c r="A616">
        <v>50</v>
      </c>
      <c r="B616" t="s">
        <v>82</v>
      </c>
      <c r="C616" t="s">
        <v>119</v>
      </c>
    </row>
    <row r="617" spans="1:3" hidden="1" x14ac:dyDescent="0.25">
      <c r="A617">
        <v>75</v>
      </c>
      <c r="B617" t="s">
        <v>81</v>
      </c>
      <c r="C617" t="s">
        <v>119</v>
      </c>
    </row>
    <row r="618" spans="1:3" hidden="1" x14ac:dyDescent="0.25">
      <c r="A618">
        <v>52</v>
      </c>
      <c r="B618" t="s">
        <v>81</v>
      </c>
      <c r="C618" t="s">
        <v>119</v>
      </c>
    </row>
    <row r="619" spans="1:3" hidden="1" x14ac:dyDescent="0.25">
      <c r="A619">
        <v>48</v>
      </c>
      <c r="B619" t="s">
        <v>81</v>
      </c>
      <c r="C619" t="s">
        <v>119</v>
      </c>
    </row>
    <row r="620" spans="1:3" hidden="1" x14ac:dyDescent="0.25">
      <c r="A620">
        <v>101</v>
      </c>
      <c r="B620" t="s">
        <v>82</v>
      </c>
      <c r="C620" t="s">
        <v>119</v>
      </c>
    </row>
    <row r="621" spans="1:3" hidden="1" x14ac:dyDescent="0.25">
      <c r="A621">
        <v>37</v>
      </c>
      <c r="B621" t="s">
        <v>82</v>
      </c>
      <c r="C621" t="s">
        <v>119</v>
      </c>
    </row>
    <row r="622" spans="1:3" hidden="1" x14ac:dyDescent="0.25">
      <c r="A622">
        <v>2</v>
      </c>
      <c r="B622" t="s">
        <v>81</v>
      </c>
      <c r="C622" t="s">
        <v>119</v>
      </c>
    </row>
    <row r="623" spans="1:3" hidden="1" x14ac:dyDescent="0.25">
      <c r="A623">
        <v>1</v>
      </c>
      <c r="B623" t="s">
        <v>82</v>
      </c>
      <c r="C623" t="s">
        <v>119</v>
      </c>
    </row>
    <row r="624" spans="1:3" hidden="1" x14ac:dyDescent="0.25">
      <c r="A624" t="s">
        <v>114</v>
      </c>
      <c r="B624" t="s">
        <v>82</v>
      </c>
      <c r="C624" t="s">
        <v>119</v>
      </c>
    </row>
    <row r="625" spans="1:3" hidden="1" x14ac:dyDescent="0.25">
      <c r="A625">
        <v>24</v>
      </c>
      <c r="B625" t="s">
        <v>82</v>
      </c>
      <c r="C625" t="s">
        <v>119</v>
      </c>
    </row>
    <row r="626" spans="1:3" hidden="1" x14ac:dyDescent="0.25">
      <c r="A626">
        <v>62</v>
      </c>
      <c r="B626" t="s">
        <v>81</v>
      </c>
      <c r="C626" t="s">
        <v>119</v>
      </c>
    </row>
    <row r="627" spans="1:3" hidden="1" x14ac:dyDescent="0.25">
      <c r="A627">
        <v>66</v>
      </c>
      <c r="B627" t="s">
        <v>81</v>
      </c>
      <c r="C627" t="s">
        <v>119</v>
      </c>
    </row>
    <row r="628" spans="1:3" hidden="1" x14ac:dyDescent="0.25">
      <c r="A628">
        <v>70</v>
      </c>
      <c r="B628" t="s">
        <v>82</v>
      </c>
      <c r="C628" t="s">
        <v>119</v>
      </c>
    </row>
  </sheetData>
  <autoFilter ref="A2:C628" xr:uid="{00000000-0009-0000-0000-000015000000}">
    <filterColumn colId="0">
      <filters>
        <filter val="18"/>
        <filter val="19"/>
      </filters>
    </filterColumn>
    <filterColumn colId="1">
      <filters>
        <filter val="m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DASHBOARD</vt:lpstr>
      <vt:lpstr>MONTH</vt:lpstr>
      <vt:lpstr>Monthly</vt:lpstr>
      <vt:lpstr>Sheet1</vt:lpstr>
      <vt:lpstr>Male</vt:lpstr>
      <vt:lpstr>Female</vt:lpstr>
      <vt:lpstr>Paediatric</vt:lpstr>
      <vt:lpstr>BLK F</vt:lpstr>
      <vt:lpstr>BLK G</vt:lpstr>
      <vt:lpstr>BLK H</vt:lpstr>
      <vt:lpstr>Neonatal</vt:lpstr>
      <vt:lpstr>Male Emergency</vt:lpstr>
      <vt:lpstr>Female Emergency</vt:lpstr>
      <vt:lpstr>AGE_VT</vt:lpstr>
      <vt:lpstr>Ages</vt:lpstr>
      <vt:lpstr>Ages Auto</vt:lpstr>
      <vt:lpstr>Print</vt:lpstr>
      <vt:lpstr>Statement of Inpatient</vt:lpstr>
      <vt:lpstr>Deaths</vt:lpstr>
      <vt:lpstr>COD 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2018-06-02T20:27:18Z</dcterms:created>
  <dcterms:modified xsi:type="dcterms:W3CDTF">2026-02-02T13:14:38Z</dcterms:modified>
</cp:coreProperties>
</file>